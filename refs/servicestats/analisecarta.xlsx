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asePrefRio" sheetId="1" r:id="rId1"/>
    <sheet name="Tabela dinâmica 5" sheetId="2" r:id="rId2"/>
    <sheet name="Agregação" sheetId="3" r:id="rId3"/>
    <sheet name="Subtarefas" sheetId="4" r:id="rId4"/>
    <sheet name="Gerenciamento" sheetId="5" r:id="rId5"/>
    <sheet name="Tabela dinâmica 3" sheetId="6" r:id="rId6"/>
    <sheet name="Relatórios" sheetId="7" r:id="rId7"/>
    <sheet name="Quanti" sheetId="8" r:id="rId8"/>
  </sheets>
  <definedNames>
    <definedName name="Z_719E6F43_DA1C_4EBA_863C_73B0DC8061C2_.wvu.FilterData" localSheetId="0" hidden="1">BasePrefRio!$A$1:$M$1066</definedName>
    <definedName name="Z_78EEAC16_F2F5_47E0_8883_81398F3465BE_.wvu.FilterData" localSheetId="0" hidden="1">BasePrefRio!$A$1:$M$1066</definedName>
  </definedNames>
  <calcPr calcId="191029"/>
  <customWorkbookViews>
    <customWorkbookView name="Filtro JM" guid="{78EEAC16-F2F5-47E0-8883-81398F3465BE}" maximized="1" windowWidth="0" windowHeight="0" activeSheetId="0"/>
    <customWorkbookView name="Filtro Ana Flávia" guid="{719E6F43-DA1C-4EBA-863C-73B0DC8061C2}" maximized="1" windowWidth="0" windowHeight="0" activeSheetId="0"/>
  </customWorkbookViews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<sst xmlns="http://schemas.openxmlformats.org/spreadsheetml/2006/main" count="16163" uniqueCount="1615">
  <si>
    <t>titulo_servico</t>
  </si>
  <si>
    <t>analise_relevancia</t>
  </si>
  <si>
    <t>agregar_servico</t>
  </si>
  <si>
    <t>de_para</t>
  </si>
  <si>
    <t>detalhamento</t>
  </si>
  <si>
    <t>Nome Zendesk/Carioca</t>
  </si>
  <si>
    <t>Teste nome</t>
  </si>
  <si>
    <t>Atualização Nome/join Realizada</t>
  </si>
  <si>
    <t>nome_orgao</t>
  </si>
  <si>
    <t>categoria</t>
  </si>
  <si>
    <t>sub_categoria</t>
  </si>
  <si>
    <t>status_do_servico</t>
  </si>
  <si>
    <t>id_temp</t>
  </si>
  <si>
    <t>CADRio Agendamento</t>
  </si>
  <si>
    <t>Não fica - validado</t>
  </si>
  <si>
    <t>Não</t>
  </si>
  <si>
    <t>Informações sobre inscrição e atualização do Cadastro Único</t>
  </si>
  <si>
    <t>Duplicação</t>
  </si>
  <si>
    <t>Secretaria Municipal de Assistência Social</t>
  </si>
  <si>
    <t>Cidadania</t>
  </si>
  <si>
    <t>Assistência social</t>
  </si>
  <si>
    <t>Publicado</t>
  </si>
  <si>
    <t>IPTU 2026</t>
  </si>
  <si>
    <t>Fica - Validado</t>
  </si>
  <si>
    <t xml:space="preserve">Fica por ainda estar no ano vigente. Para o  próximo ano precisará de alteração no script. </t>
  </si>
  <si>
    <t>Secretaria Municipal de Fazenda</t>
  </si>
  <si>
    <t>Tributos</t>
  </si>
  <si>
    <t>IPTU</t>
  </si>
  <si>
    <t>Alvará - Consulta Prévia de Local</t>
  </si>
  <si>
    <t>Coordenadoria de Licenciamento e Fiscalização</t>
  </si>
  <si>
    <t>Licenças</t>
  </si>
  <si>
    <t>Alvará</t>
  </si>
  <si>
    <t>IPTU - Certidão de Situação Fiscal e Enfitêutica</t>
  </si>
  <si>
    <t>Solicitado pelo Carioca digital</t>
  </si>
  <si>
    <t>Informações sobre Inscrição e atualização do Cadastro Único</t>
  </si>
  <si>
    <t>Inscrição e atualização do Cadastro Único</t>
  </si>
  <si>
    <t>Informações sobre o Cadastro Único</t>
  </si>
  <si>
    <t>Duplicado "Informações sobre inscrição e atualização do Cadastro Único"</t>
  </si>
  <si>
    <t>Família</t>
  </si>
  <si>
    <t>Em Edição</t>
  </si>
  <si>
    <t>Licença Sanitária de Funcionamento</t>
  </si>
  <si>
    <t>Instituto Municipal de Vigilância Sanitária, Vigilância de Zoonoses e de Inspeção Agropecuária</t>
  </si>
  <si>
    <t>ITBI - Simulação de valor e pedido de guia</t>
  </si>
  <si>
    <t>ITBI</t>
  </si>
  <si>
    <t>Fiscalização de estacionamento irregular de veículo</t>
  </si>
  <si>
    <t>Guarda Municipal do Rio de Janeiro</t>
  </si>
  <si>
    <t>Ordem Pública</t>
  </si>
  <si>
    <t>Estacionamento irregular</t>
  </si>
  <si>
    <t>IPTU 2025 e anteriores - cobrança na Fazenda</t>
  </si>
  <si>
    <t>ISS - Comprovante de Inscrição e de Situação Cadastral</t>
  </si>
  <si>
    <t>Certidões</t>
  </si>
  <si>
    <t>ISS - Certidão de Situação Fiscal</t>
  </si>
  <si>
    <t>Multa de trânsito - Consulta de multa</t>
  </si>
  <si>
    <t>Secretaria Municipal de Transportes</t>
  </si>
  <si>
    <t>Transporte</t>
  </si>
  <si>
    <t>Processos</t>
  </si>
  <si>
    <t>Consulta de contracheques</t>
  </si>
  <si>
    <t>Secretaria Municipal de Administração</t>
  </si>
  <si>
    <t>Servidor</t>
  </si>
  <si>
    <t>Pagamentos</t>
  </si>
  <si>
    <t>IPTU - Certidão de Elementos Cadastrais</t>
  </si>
  <si>
    <t>Remoção de entulho</t>
  </si>
  <si>
    <t>Companhia Municipal de Limpeza Urbana</t>
  </si>
  <si>
    <t>Cidade</t>
  </si>
  <si>
    <t>Limpeza urbana</t>
  </si>
  <si>
    <t>ITBI - Impressão de guia para pagamento</t>
  </si>
  <si>
    <t>Emissão de certidão de Dívida Ativa</t>
  </si>
  <si>
    <t>Procuradoria Geral do Município do Rio de Janeiro</t>
  </si>
  <si>
    <t>Dívida Ativa</t>
  </si>
  <si>
    <t>ITBI - Emissão da certidão de pagamento</t>
  </si>
  <si>
    <t>Multa de Trânsito - Defesa Prévia de Autuação</t>
  </si>
  <si>
    <t>Reparo de luminária</t>
  </si>
  <si>
    <t>Companhia Municipal de Energia e Iluminação</t>
  </si>
  <si>
    <t>Iluminação pública</t>
  </si>
  <si>
    <t>Multa de Trânsito - Informações sobre como pagar</t>
  </si>
  <si>
    <t>Veículos</t>
  </si>
  <si>
    <t>ISS - Emissão de DARM para pagamento</t>
  </si>
  <si>
    <t>Imposto</t>
  </si>
  <si>
    <t>IPTU – Parcelamento 2025 – Solicitação e emissão de boletos</t>
  </si>
  <si>
    <t>Provavelmente fique com alteração das informações do script com base no ano vigente</t>
  </si>
  <si>
    <t xml:space="preserve">Consultar Declaração de Escolaridade  </t>
  </si>
  <si>
    <t>Solicitação de declaração de escolaridade</t>
  </si>
  <si>
    <t>Secretaria Municipal de Educação</t>
  </si>
  <si>
    <t>Educação</t>
  </si>
  <si>
    <t>Vida escolar</t>
  </si>
  <si>
    <t>IPTU - Notificação de Lançamento (inclusive guias extraordinárias)</t>
  </si>
  <si>
    <t>O cidadão consegue o histórico de IPTU desde 2013. Consegue ver processos administrativos vinculados e inclusive, beneficio fiscal do imóvel, caso tenha.</t>
  </si>
  <si>
    <r>
      <rPr>
        <sz val="10"/>
        <color theme="1"/>
        <rFont val="Calibri"/>
        <charset val="134"/>
      </rPr>
      <t xml:space="preserve">Solicitação de orientações sobre </t>
    </r>
    <r>
      <rPr>
        <strike/>
        <sz val="10"/>
        <color theme="1"/>
        <rFont val="Calibri"/>
        <charset val="134"/>
      </rPr>
      <t>o</t>
    </r>
    <r>
      <rPr>
        <sz val="10"/>
        <color theme="1"/>
        <rFont val="Calibri"/>
        <charset val="134"/>
      </rPr>
      <t xml:space="preserve"> alvará pela internet</t>
    </r>
  </si>
  <si>
    <t>Solicitação de orientações sobre alvará pela internet</t>
  </si>
  <si>
    <t>Fiscalização de perturbação do sossego</t>
  </si>
  <si>
    <t>Perturbação do sossego</t>
  </si>
  <si>
    <t>Reparo de buraco, deformação ou afundamento na pista</t>
  </si>
  <si>
    <t>Secretaria Municipal de Conservação e Serviços Públicos</t>
  </si>
  <si>
    <t>Conservação</t>
  </si>
  <si>
    <t>Consulta de débitos de IPTU em Dívida Ativa</t>
  </si>
  <si>
    <t>IPTU – Regularização de Recolhimentos (parcelamento, restituição, alegação e transposição)</t>
  </si>
  <si>
    <t>Duplicidade</t>
  </si>
  <si>
    <t>IPTU - Alteração de nome do proprietário</t>
  </si>
  <si>
    <t>Informações sobre matrícula na rede municipal - 2026</t>
  </si>
  <si>
    <t>Sazonal</t>
  </si>
  <si>
    <t>Matrícula</t>
  </si>
  <si>
    <t>IPTU - Consulta a pagamentos e débito automático</t>
  </si>
  <si>
    <t>solicitado pelo Carioca digital</t>
  </si>
  <si>
    <t>Cartão de estacionamento para pessoas com deficiência - PCD</t>
  </si>
  <si>
    <t>IPTU - Certidão de Valor Venal</t>
  </si>
  <si>
    <t>Licenciamento de eventos - Autorização Transitória</t>
  </si>
  <si>
    <t>Riocentro S.A. - Centro de Feiras, Exposições e Congressos do Rio de Janeiro</t>
  </si>
  <si>
    <t>Alvará a Jato</t>
  </si>
  <si>
    <t>Contracheque de servidor inativo e pensionista</t>
  </si>
  <si>
    <t>Instituto de Previdência e Assistência do Município do Rio de Janeiro</t>
  </si>
  <si>
    <t>Declaração do Imposto de Renda na Fonte para aposentados e pensionistas</t>
  </si>
  <si>
    <t>Manutenção/Desobstrução de ramais de águas pluviais e ralos</t>
  </si>
  <si>
    <t>IPTU - Atualização de CPF/CNPJ</t>
  </si>
  <si>
    <t>Serviço informativo</t>
  </si>
  <si>
    <t>Multa de trânsito - Troca do Real Infrator</t>
  </si>
  <si>
    <t>Controle de roedores e caramujos africanos</t>
  </si>
  <si>
    <t>Solicitação de correção de falhas e de cadastro no portal e app 1746</t>
  </si>
  <si>
    <t>Suporte técnico para canais digitais do 1746</t>
  </si>
  <si>
    <t>Secretaria Municipal da Casa Civil</t>
  </si>
  <si>
    <t>Suporte técnico e teleatendimento</t>
  </si>
  <si>
    <t>Remoção de resíduos em vias públicas</t>
  </si>
  <si>
    <t>Parcelamento de débitos em Dívida Ativa</t>
  </si>
  <si>
    <t>Informações sobre o Programa Bolsa Família</t>
  </si>
  <si>
    <t>Fiscalização de má conduta do motorista/despachante</t>
  </si>
  <si>
    <t>Ônibus</t>
  </si>
  <si>
    <t>Poda de árvore em vias públicas</t>
  </si>
  <si>
    <t>Meio Ambiente</t>
  </si>
  <si>
    <t>Árvores</t>
  </si>
  <si>
    <t>Verificação de frequência irregular da coleta domiciliar com retirada do resíduo</t>
  </si>
  <si>
    <t>Verificação de frequência irregular da coleta domiciliar</t>
  </si>
  <si>
    <t>Atendimento em unidades de Atenção Primária em Saúde</t>
  </si>
  <si>
    <t>Secretaria Municipal de Saúde</t>
  </si>
  <si>
    <t>Saúde</t>
  </si>
  <si>
    <t>Atendimento ambulatorial</t>
  </si>
  <si>
    <t>Informações sobre os Centro de Referência de Assistência Social - CRAS</t>
  </si>
  <si>
    <t>Informação sobre unidade de atendimento</t>
  </si>
  <si>
    <r>
      <rPr>
        <sz val="10"/>
        <color theme="1"/>
        <rFont val="Calibri"/>
        <charset val="134"/>
      </rPr>
      <t>Informações sobre os Centro</t>
    </r>
    <r>
      <rPr>
        <b/>
        <sz val="10"/>
        <color theme="1"/>
        <rFont val="Calibri"/>
        <charset val="134"/>
      </rPr>
      <t>s</t>
    </r>
    <r>
      <rPr>
        <sz val="10"/>
        <color theme="1"/>
        <rFont val="Calibri"/>
        <charset val="134"/>
      </rPr>
      <t xml:space="preserve"> de Referência de Assistência Social - CRAS</t>
    </r>
  </si>
  <si>
    <t>IPTU – Certidão de Histórico Fiscal</t>
  </si>
  <si>
    <t>item é apenas informativo, sendo necessário a abertura presencial do processo administrativo.</t>
  </si>
  <si>
    <t>Autorização e legalização de comércio ambulante</t>
  </si>
  <si>
    <t>Resgate de animais silvestres</t>
  </si>
  <si>
    <t>Secretaria Municipal de Meio Ambiente e Clima</t>
  </si>
  <si>
    <t>Proteção</t>
  </si>
  <si>
    <t>Informações sobre liberação de veículos rebocados</t>
  </si>
  <si>
    <t>Secretaria Municipal de Ordem Pública</t>
  </si>
  <si>
    <t>Emissão de guia de pagamento de Dívida Ativa em atraso</t>
  </si>
  <si>
    <t>Histórico de Tarifas</t>
  </si>
  <si>
    <t>Fica</t>
  </si>
  <si>
    <t>Eu acho que este serviço não deveria existir. As tarifas devem estar nos serviços sobre os modais e no geral "Informações sobre transporte público"</t>
  </si>
  <si>
    <t>Jaé</t>
  </si>
  <si>
    <t>IPTU - Regularização, parcelamento, restituição, alegação ou transposição</t>
  </si>
  <si>
    <t>Item é apenas informativo, sendo necessário a abertura presencial do processo administrativo.</t>
  </si>
  <si>
    <t>Informações sobre gratuidade no transporte municipal</t>
  </si>
  <si>
    <t>Gratuidade</t>
  </si>
  <si>
    <t>ISS – Consulta de Pendências com o Fisco Municipal para Ingresso no Simples Nacional</t>
  </si>
  <si>
    <t>ISS - Consulta de pendências</t>
  </si>
  <si>
    <t>Multa de Trânsito - Cancelamento (1ª Instância)</t>
  </si>
  <si>
    <t>ISS – Profissional Autônomo: Autônomo Estabelecido, Autônomo  Equiparado a Empresa e Autônomo não Estabelecido</t>
  </si>
  <si>
    <t xml:space="preserve">ISS – Profissional Autônomo </t>
  </si>
  <si>
    <t>ISS</t>
  </si>
  <si>
    <t>Aguardando Aprovação</t>
  </si>
  <si>
    <t>Varrição de vias públicas</t>
  </si>
  <si>
    <t>Capina em vias públicas</t>
  </si>
  <si>
    <t>Informações sobre o Plano de Saúde do Servidor Municipal - PSSM</t>
  </si>
  <si>
    <t>Saúde do servidor</t>
  </si>
  <si>
    <t>Consulta e emissão de Auto de Infração - Coordenadoria de Controle Urbano</t>
  </si>
  <si>
    <t xml:space="preserve">Consulta e emissão de Auto de Infração </t>
  </si>
  <si>
    <t>Novo nome</t>
  </si>
  <si>
    <t>Coordenadoria de Controle Urbano</t>
  </si>
  <si>
    <t>Imóveis</t>
  </si>
  <si>
    <t>Pesquisa de existência de alvará</t>
  </si>
  <si>
    <t>Certidão Negativa de Débito (Nada Consta)</t>
  </si>
  <si>
    <t>Reparo de sinal de trânsito apagado</t>
  </si>
  <si>
    <t>Companhia de Engenharia de Tráfego do Rio de Janeiro</t>
  </si>
  <si>
    <t>Informações sobre o portal SISREG</t>
  </si>
  <si>
    <t>Consultas e Exames</t>
  </si>
  <si>
    <t>Empréstimo Consignado e Margem Consignável</t>
  </si>
  <si>
    <t>Benefícios</t>
  </si>
  <si>
    <t>Minhas Empresas/Cadastrar Procurador de Empresa</t>
  </si>
  <si>
    <t>Cadastro de procurador de Empresa</t>
  </si>
  <si>
    <t>ISS – Acompanhamento da formalização da opção pelo Simples Nacional</t>
  </si>
  <si>
    <t>ISS –Formalização da opção pelo Simples Nacional</t>
  </si>
  <si>
    <t>Castração gratuita de cães e gatos - Programa Bicho Rio</t>
  </si>
  <si>
    <t>Sim</t>
  </si>
  <si>
    <t>Agendamento de castração de animais domésticos (Novo)</t>
  </si>
  <si>
    <t>Rever em 2027 (Agendamento de castração de animais domésticos (Novo))</t>
  </si>
  <si>
    <t>Secretaria Municipal de Proteção e Defesa dos Animais</t>
  </si>
  <si>
    <t>Animais</t>
  </si>
  <si>
    <t>Atendimento clínico</t>
  </si>
  <si>
    <t>Autorização para exibição de publicidade</t>
  </si>
  <si>
    <t>Talvez</t>
  </si>
  <si>
    <t>Mesclar com "Autorização para publicidade vinculada a eventos"</t>
  </si>
  <si>
    <t>Remoção de veículo abandonado em via pública</t>
  </si>
  <si>
    <t>ISS – Alíquotas, Base de Cálculo e Código de Atividades</t>
  </si>
  <si>
    <t>ITBI - Autenticação da certidão de pagamento</t>
  </si>
  <si>
    <t>Recadastramento anual de servidores inativos e pensionistas</t>
  </si>
  <si>
    <t>Vistoria veicular e atualização documental - Táxi</t>
  </si>
  <si>
    <t>Táxi - Vistoria veicular e atualização documental  (ele tb não deveria acompanhar a lógica do ISS e outros? )</t>
  </si>
  <si>
    <t>Táxi e Mototáxi</t>
  </si>
  <si>
    <t>Carteira Digital de Trânsito - CDT</t>
  </si>
  <si>
    <t>Serviço informativo e abertura pelo canal digital direto à SMTR</t>
  </si>
  <si>
    <t>IPTU - Formulário de alteração de titularidade</t>
  </si>
  <si>
    <t>Concessão de alvará para eventos</t>
  </si>
  <si>
    <t xml:space="preserve">Solicitação de alvará para eventos </t>
  </si>
  <si>
    <t>Verificação de ar condicionado inoperante no ônibus</t>
  </si>
  <si>
    <t>Informações sobre a Carteira da Pessoa Idosa</t>
  </si>
  <si>
    <t>Fiscalização de obras em imóvel privado</t>
  </si>
  <si>
    <t>Secretaria Municipal de Desenvolvimento Urbano e Licenciamento</t>
  </si>
  <si>
    <t>Emissão de 2ª via do IPTU</t>
  </si>
  <si>
    <t>Visitação ao Museu do Universo no Planetário do Rio</t>
  </si>
  <si>
    <t>Fundação Planetário da Cidade do Rio de Janeiro</t>
  </si>
  <si>
    <t>Cultura</t>
  </si>
  <si>
    <t>Equipamentos culturais</t>
  </si>
  <si>
    <t>Informações sobre o Programa Cartão Família Carioca</t>
  </si>
  <si>
    <t>Este script deve ser desativado, pois trata de uma informação de um serviço que não é mais oferecido pelo órgão.</t>
  </si>
  <si>
    <t>Fiscalização de má condição do ônibus</t>
  </si>
  <si>
    <t>ITBI – Processo de Reconhecimento de Isenção</t>
  </si>
  <si>
    <t>ISS - Emissão de DARM de ISS trimestral de contribuintes autônomos</t>
  </si>
  <si>
    <t>ISS - Emissão de DARM trimestral de autônomos</t>
  </si>
  <si>
    <t>Multa de Trânsito - Acompanhamento de recurso</t>
  </si>
  <si>
    <t>Informações sobre o Bilhete Único Carioca</t>
  </si>
  <si>
    <t>Pode ser retirado porque no script geral de trasnporte tem as informações sobre todos os cartões</t>
  </si>
  <si>
    <t>Multa de Trânsito - Solicitação de cópia do Auto de Infração (AIT ou foto)</t>
  </si>
  <si>
    <t>Informações sobre o Programa Carioca Paga Meia</t>
  </si>
  <si>
    <t>Institucional</t>
  </si>
  <si>
    <t>Secretaria Municipal de Cultura</t>
  </si>
  <si>
    <t>Castração de cães e gatos agendamento on-line</t>
  </si>
  <si>
    <t>Animais domésticos</t>
  </si>
  <si>
    <t>Patrimônio – Aviso do foreiro</t>
  </si>
  <si>
    <t xml:space="preserve">Vamos falar sobre o título e o script. </t>
  </si>
  <si>
    <t>Superintendência Executiva de Patrimônio Imobiliário</t>
  </si>
  <si>
    <t>ISS - Baixa de inscrição/exclusão de atividades</t>
  </si>
  <si>
    <t>Multa de Trânsito - 2ª Instância</t>
  </si>
  <si>
    <t>ITBI – Processo de Restituição total ou parcial</t>
  </si>
  <si>
    <t>Nâo pode ser só ITBI - Restituição total ou parcial ?</t>
  </si>
  <si>
    <t>ISS - Confissão de dívida, parcelamento e reparcelamento de débito não inscrito em Dívida Ativa</t>
  </si>
  <si>
    <t>ISS - Dívida e parcelmando de débito não inscrito em Dívida Ativa</t>
  </si>
  <si>
    <t>ITBI – Processo de Revisão de valor e Reconsideração de decisão</t>
  </si>
  <si>
    <t>ITBI – Revisão de valor e Reconsideração de decisão</t>
  </si>
  <si>
    <t>Segunda via de alvará</t>
  </si>
  <si>
    <t>Coordenadorias Regionais de Educação (CREs)</t>
  </si>
  <si>
    <t xml:space="preserve">Institucional </t>
  </si>
  <si>
    <t>Conselho de Contribuintes</t>
  </si>
  <si>
    <t>Fiscalização de buraco na calçada</t>
  </si>
  <si>
    <t>Número da inscrição imobiliária</t>
  </si>
  <si>
    <t>Concessão de alvará de licença de estabelecimento pela internet</t>
  </si>
  <si>
    <t xml:space="preserve">ha 2 artigos sobre concessão de alvará </t>
  </si>
  <si>
    <t>ITBI- Processo de Reconhecimento de Não incidência</t>
  </si>
  <si>
    <t>Reposição de grelha ou tampão</t>
  </si>
  <si>
    <t>Vistoria em foco de Aedes aegypti (Dengue, Chikungunya e Zika)</t>
  </si>
  <si>
    <t>É um serviço necessário porém ele é sazonal</t>
  </si>
  <si>
    <t>Dengue</t>
  </si>
  <si>
    <t>Atendimento clínico em animais</t>
  </si>
  <si>
    <t>Consulta de Situação Cadastral por Permissão</t>
  </si>
  <si>
    <t>Sugiro indicar que o serviço é voltado  para os Taxistas</t>
  </si>
  <si>
    <t>Remoção de resíduos de poda</t>
  </si>
  <si>
    <t xml:space="preserve">É um serviço que tem demanda visto que a comlurb em muitos casos, não recolhe os residuos da poda no dia, podendo levar até 72 horas após o serviço. </t>
  </si>
  <si>
    <t>Denúncia de corrupção e/ou improbidade administrativa</t>
  </si>
  <si>
    <t>Secretaria Municipal de Integridade e Transparência</t>
  </si>
  <si>
    <t>Central Anticorrupção</t>
  </si>
  <si>
    <t>Denúncia</t>
  </si>
  <si>
    <t>Pedido de Acesso à Informação (LAI)</t>
  </si>
  <si>
    <t>Informações sobre Portal da Transparência Rio [Transparência e Acesso à informação (Novo)]</t>
  </si>
  <si>
    <t>Talvez vire uma categoria no novo sistema</t>
  </si>
  <si>
    <t>Lei de Acesso à Informação (LAI)</t>
  </si>
  <si>
    <t>Transparência</t>
  </si>
  <si>
    <t>IPTU - Consulta ao valor do m² por nome de rua (logradouro)</t>
  </si>
  <si>
    <t>Legalização de obras com contrapartida (Mais Valia)</t>
  </si>
  <si>
    <t>Informações sobre atividades esportivas gratuitas</t>
  </si>
  <si>
    <t>Secretaria Municipal de Esportes</t>
  </si>
  <si>
    <t>Auxílios</t>
  </si>
  <si>
    <t>IPTU – Revisão de lançamento</t>
  </si>
  <si>
    <t>ISS – Confirmação de Autenticidade de Certidão</t>
  </si>
  <si>
    <t>Informações sobre o Auxílio Educação</t>
  </si>
  <si>
    <t>IPTU – Declaração de existência/não existência de imóveis</t>
  </si>
  <si>
    <t>Informações sobre cadastro no Programa Minha Casa, Minha Vida</t>
  </si>
  <si>
    <t>Secretaria Municipal de Habitação</t>
  </si>
  <si>
    <t>Consulta e encaminhamento para vagas de emprego</t>
  </si>
  <si>
    <t>Secretaria Municipal de Trabalho e Renda</t>
  </si>
  <si>
    <t>Emissão de certidões do IPTU</t>
  </si>
  <si>
    <t>Solicitação de atendimento do Conselho Tutelar</t>
  </si>
  <si>
    <t>Informações sobre o Conselho Tutelar / Informações sobre Conselho Tutelar e justiça contra criança e/ou adolescente</t>
  </si>
  <si>
    <t>Quando o atendimento é pela Ouvidoria e quando é feito pelo Conselho Tutelar?</t>
  </si>
  <si>
    <t>Fiscalização de obstáculo fixo na calçada</t>
  </si>
  <si>
    <t>Fiscalização de atividades econômicas sem alvará</t>
  </si>
  <si>
    <t>IPTU – Autenticidade da Certidão de Situação Fiscal e Enfitêutica do Imóvel</t>
  </si>
  <si>
    <t>Limpeza de ralos</t>
  </si>
  <si>
    <t>Limpeza de praças e parques</t>
  </si>
  <si>
    <t>Praças e Parques</t>
  </si>
  <si>
    <t>Informações sobre pagamento do IPTU</t>
  </si>
  <si>
    <t>Fiscalização da atuação do guardador de estacionamento Rio Rotativo</t>
  </si>
  <si>
    <t>Solicitação de emissão de BRAT em acidente de trânsito sem vítima</t>
  </si>
  <si>
    <t>Informações sobre o acolhimento institucional de adultos, famílias, idosos em vulnerabilidade</t>
  </si>
  <si>
    <t>ISS – Prazos de Pagamento</t>
  </si>
  <si>
    <t>Fiscalização sanitária em serviços de alimentos e ensino</t>
  </si>
  <si>
    <t>Vigilância Sanitária</t>
  </si>
  <si>
    <t>Emissão de Relatório de Informação Urbanística (RIU)</t>
  </si>
  <si>
    <t>Solicitação de serviços para os povos e comunidades tradicionais</t>
  </si>
  <si>
    <t>O pref.rio nao é inclusivo?</t>
  </si>
  <si>
    <t>Autorização para colocação de mesas e cadeiras em área pública</t>
  </si>
  <si>
    <t>Avaliação de risco de queda da árvore</t>
  </si>
  <si>
    <t>Inclusão ou exclusão de motorista auxiliar de táxi</t>
  </si>
  <si>
    <t>Verificação de negligência com idoso, abandono ou autonegligência</t>
  </si>
  <si>
    <t>Secretaria Municipal do Envelhecimento Saudável e Qualidade de Vida</t>
  </si>
  <si>
    <t>Atendimento ao consumidor - Procon Carioca</t>
  </si>
  <si>
    <t>Secretaria Especial de Proteção e Defesa do Consumidor</t>
  </si>
  <si>
    <t>Procon carioca</t>
  </si>
  <si>
    <t>Informações sobre tarifas de táxi</t>
  </si>
  <si>
    <t>Atendimento em Hospitais de Emergência e Pronto Atendimento</t>
  </si>
  <si>
    <t>Pronto Atendimento</t>
  </si>
  <si>
    <t>IPTU - Alteração de dados do destinatário</t>
  </si>
  <si>
    <t>Vistoria em imóvel com rachadura e infiltração</t>
  </si>
  <si>
    <t>Subsecretaria de Proteção e Defesa Civil</t>
  </si>
  <si>
    <t>Cópia digital de Planta de Arquitetura</t>
  </si>
  <si>
    <t>ITBI - Correção de dados da guia paga (folha suplementar)</t>
  </si>
  <si>
    <t>Duplicado ?</t>
  </si>
  <si>
    <t>Solicitação de transporte da gestante para a maternidade</t>
  </si>
  <si>
    <t>Cegonha carioca</t>
  </si>
  <si>
    <t>Autorização de poda ou remoção de árvore em área particular</t>
  </si>
  <si>
    <t>Fundação Parques e Jardins</t>
  </si>
  <si>
    <t>Certidão de Habite-se/Aceitação</t>
  </si>
  <si>
    <t>Declaração de rendimentos de servidor ativo</t>
  </si>
  <si>
    <t>Informações sobre o Benefício de Prestação Continuada</t>
  </si>
  <si>
    <t>Isenção de Imposto de Renda</t>
  </si>
  <si>
    <t>Informações sobre pedido de aposentadoria</t>
  </si>
  <si>
    <t>Previ-Rio – atendimento ao público</t>
  </si>
  <si>
    <t>Reviver Centro</t>
  </si>
  <si>
    <t>Apesar de não ser solicitável, tem alto acesso</t>
  </si>
  <si>
    <t>Reparo de cabo de iluminação pública</t>
  </si>
  <si>
    <t>Cadastramento de vagas de emprego</t>
  </si>
  <si>
    <t>Fiscalização da ocupação irregular de área pública por estabelecimentos comerciais, industriais ou serviços</t>
  </si>
  <si>
    <t>Informações sobre reboque ou remoção de veículos enguiçados ou acidentados</t>
  </si>
  <si>
    <t>Emissão de guia para pagamento à vista em Dívida Ativa</t>
  </si>
  <si>
    <t>Alistamento Militar nas Gerências Executivas Locais (GEL’s)</t>
  </si>
  <si>
    <t>Serviço em âmbito federal previsto nas juntas militares que podem ser nos endereços de GELs ou não</t>
  </si>
  <si>
    <t>Secretaria Municipal de Coordenação Governamental</t>
  </si>
  <si>
    <t>Limpeza de papeleira, contêiner e caçamba da COMLURB</t>
  </si>
  <si>
    <t>Solicitação de autorização de filmagem - Rio Film Commission</t>
  </si>
  <si>
    <t>Distribuidora de Filmes S.A. - RIOFILME</t>
  </si>
  <si>
    <t>Solicitação de atendimento social</t>
  </si>
  <si>
    <t>Quando o atendimento é pela Ouvidoria e quando é feito pelo CRAS?</t>
  </si>
  <si>
    <t>Certidão Municipal de Inexigibilidade de Licenciamento Ambiental para atividades industriais, de comércio e serviços (CMI)</t>
  </si>
  <si>
    <t>Taxa de incêndio - Informações</t>
  </si>
  <si>
    <t>Serviço do Estado RJ</t>
  </si>
  <si>
    <t>Atendimento em Unidades de Pronto Atendimento (UPA 24 Horas)</t>
  </si>
  <si>
    <t>Notificação ao proprietário para limpeza de resíduos em terreno baldio</t>
  </si>
  <si>
    <t>Cópia ou Certidão de inteiro teor de documento ou processo</t>
  </si>
  <si>
    <t>Subsecretaria de Transformação Digital e Cidade Inteligente</t>
  </si>
  <si>
    <t>Reparo de buraco em calçada de Pedra Portuguesa</t>
  </si>
  <si>
    <t>Reparo de buraco na calçada (com formulário)</t>
  </si>
  <si>
    <t>Cartão de estacionamento para idosos</t>
  </si>
  <si>
    <t>Atendimento em Policlínicas</t>
  </si>
  <si>
    <t>Imóveis penhorados como garantia para o pagamento de Execuções Fiscais</t>
  </si>
  <si>
    <t>Distribuição de kit enxoval do bebê</t>
  </si>
  <si>
    <t>Reparo em equipamentos de poste de iluminação pública</t>
  </si>
  <si>
    <t>Taxas – Taxa de Coleta Domiciliar de Lixo (TCL)</t>
  </si>
  <si>
    <t>IPTU - Autenticidade da Certidão de Elementos Cadastrais</t>
  </si>
  <si>
    <t>Informações sobre desentupimento ou reparo de rede de esgoto em logradouros públicos</t>
  </si>
  <si>
    <t>Fundação Instituto das Águas do Município do Rio de Janeiro</t>
  </si>
  <si>
    <t>Informações sobre o material Rioeduca</t>
  </si>
  <si>
    <t>Remoção de carcaça de veículo não identificável</t>
  </si>
  <si>
    <t>Informações sobre avaliação de aluno incluído</t>
  </si>
  <si>
    <t>Educação especial</t>
  </si>
  <si>
    <t>Verificação do número do processo aberto na Secretaria Municipal de Transportes</t>
  </si>
  <si>
    <t>Patrimônio – Remição de Foro</t>
  </si>
  <si>
    <t>Manutenção de mobiliário, brinquedos e equipamentos esportivos em praças e parques públicos</t>
  </si>
  <si>
    <t>Informações sobre pecúlio</t>
  </si>
  <si>
    <t>Informações sobre fiscalização de irregularidades em linhas de ônibus</t>
  </si>
  <si>
    <t>Reinstalação de ponto de luz</t>
  </si>
  <si>
    <t>Licenciamento Truck Rio</t>
  </si>
  <si>
    <t>Solicitação de vacinação em domicílio</t>
  </si>
  <si>
    <t>Vacinação</t>
  </si>
  <si>
    <t>Requerimento de adiantamento de décimo terceiro salário para servidor ativo</t>
  </si>
  <si>
    <t>Programa Trabalha Rio</t>
  </si>
  <si>
    <t>Trabalho</t>
  </si>
  <si>
    <t>Emprego e estágio</t>
  </si>
  <si>
    <t>Reparo de poste caído ou em risco de queda</t>
  </si>
  <si>
    <t>Fornecedores de bens e serviços – solicitação de cadastro</t>
  </si>
  <si>
    <t>Licitação e pregão</t>
  </si>
  <si>
    <t>Informações sobre ações de acolhimento a pessoas em situação de rua</t>
  </si>
  <si>
    <t>ISS – Casos de Responsabilidade e Retenção</t>
  </si>
  <si>
    <t>Consultar minhas solicitações do Processo.rio</t>
  </si>
  <si>
    <t>Processo.Rio virou Sei!</t>
  </si>
  <si>
    <t>Acervo de Imagens PAA/PAL</t>
  </si>
  <si>
    <t>Fornecimento de informações sobre PAA e PAL</t>
  </si>
  <si>
    <t>Ver com o órgão. Novo nome e novo script</t>
  </si>
  <si>
    <t>Fiscalização de obras de concessionárias de serviços públicos</t>
  </si>
  <si>
    <t>Informações sobre Cartão Família Carioca e Benefício Adicional por desempenho escolar</t>
  </si>
  <si>
    <t>Duplicado</t>
  </si>
  <si>
    <t>Assistência Veterinária do programa Bicho Rio</t>
  </si>
  <si>
    <t>Reparo de erros no processamento de serviços</t>
  </si>
  <si>
    <t>portalcarioca@prefeitura.rio</t>
  </si>
  <si>
    <t>Empresa Municipal de Informática S.A.</t>
  </si>
  <si>
    <t>Autorização de poda ou remoção de árvore em área pública</t>
  </si>
  <si>
    <t>ITBI – Cumprimento de exigência em protocolo</t>
  </si>
  <si>
    <t>Sepultamento no cemitério de pequenos animais</t>
  </si>
  <si>
    <t>Procedimentos para admissão em cargo público efetivo</t>
  </si>
  <si>
    <t>Impressão de Taxa de Uso de Área Pública (TUAP) para mesas e cadeiras</t>
  </si>
  <si>
    <t>Nota Carioca – Códigos de atividades e códigos de serviços</t>
  </si>
  <si>
    <t>Nota Carioca</t>
  </si>
  <si>
    <t>Cremação de animais</t>
  </si>
  <si>
    <t>Remoção de árvore em vias públicas</t>
  </si>
  <si>
    <t>ISS Visto Fiscal/Inclusão Predial – Parcelamento (exclusivo para Processos abertos na Gerência de Visto Fiscal)</t>
  </si>
  <si>
    <t>Licença de transformação de uso de edificação</t>
  </si>
  <si>
    <t>Retirada de protesto em Dívida Ativa</t>
  </si>
  <si>
    <t>Informações sobre o auxílio moradia</t>
  </si>
  <si>
    <t>Patrimônio – Recadastramento Enfitêutico</t>
  </si>
  <si>
    <t>Subsecretaria de Planejamento e Acompanhamento de Resultados</t>
  </si>
  <si>
    <t>Emissão de boleto para pagamento de multa (DARM) no VLT</t>
  </si>
  <si>
    <t>VLT</t>
  </si>
  <si>
    <t>ITBI – Certidão de quitação fiscal (nada consta)</t>
  </si>
  <si>
    <t>ITBI – Petição em processo administrativo já aberto</t>
  </si>
  <si>
    <t>Informações sobre o Calendário Escolar</t>
  </si>
  <si>
    <t>Informações sobre isenção de taxa de inscrição em concurso</t>
  </si>
  <si>
    <t>Limpeza de vala de drenagem</t>
  </si>
  <si>
    <t>Fiscalização de irregularidades em táxi</t>
  </si>
  <si>
    <t>Informações sobre o programa Auxílio Gás dos Brasileiros</t>
  </si>
  <si>
    <t>Informação sem link de solicitação ativo funcionando</t>
  </si>
  <si>
    <t>Informações sobre a concessão de alvará</t>
  </si>
  <si>
    <t>Duplicado "Concessão de alvará de licença de estabelecimento pela internet"</t>
  </si>
  <si>
    <t>Multa de Trânsito - Ressarcimento de valor pago</t>
  </si>
  <si>
    <t>Trânsito</t>
  </si>
  <si>
    <t>Multas</t>
  </si>
  <si>
    <t>Fiscalização de carros de som</t>
  </si>
  <si>
    <t>Atendimento à Saúde da Criança e do Adolescente</t>
  </si>
  <si>
    <t>Solicitação de Cartão Morador</t>
  </si>
  <si>
    <t>Benefícios relacionados ao falecimento do servidor</t>
  </si>
  <si>
    <t>Informações sobre Ofícios de Registro de Imóveis</t>
  </si>
  <si>
    <t>Informações institucionais</t>
  </si>
  <si>
    <t>Informações sobre o Programa Lixo Zero</t>
  </si>
  <si>
    <t>Não são "Informações sobre o Programa. " São serviços de Consulta a Multas pelo Descumprimento da Lei de Limpeza Urbana (Lixo zero)</t>
  </si>
  <si>
    <t>Segunda via de Certificado de Vistoria, CIAT ou Atualização Cadastral para taxistas</t>
  </si>
  <si>
    <t>Patrimônio – Emissão de guias para pagamento pelo uso de bens imóveis públicos</t>
  </si>
  <si>
    <t>Informações sobre o auxílio funeral</t>
  </si>
  <si>
    <t>Informações sobre creches parceiras</t>
  </si>
  <si>
    <t>Informação sobre matrículas (usa o mesmo link). No Portal 1746 não está funcionando.</t>
  </si>
  <si>
    <t>Educação infantil</t>
  </si>
  <si>
    <t>Relatório de Informações Urbanísticas</t>
  </si>
  <si>
    <t>Permissão para veículos de carga e descarga de mudanças residenciais</t>
  </si>
  <si>
    <t>Informações sobre os procedimentos para sepultamento</t>
  </si>
  <si>
    <t>Serviço funerário</t>
  </si>
  <si>
    <t>Bloqueio de pagamento de servidor aposentado e pensionista</t>
  </si>
  <si>
    <t>Alvará - Solicitação de alteração cadastral</t>
  </si>
  <si>
    <t>Atendimento domiciliar para vacinação antirrábica animal</t>
  </si>
  <si>
    <t>t</t>
  </si>
  <si>
    <t>Consulta à Legislação</t>
  </si>
  <si>
    <t>Informações de consulta</t>
  </si>
  <si>
    <t>Notificação de falta de água ou luz</t>
  </si>
  <si>
    <t>ISS Visto Fiscal/Inclusão Predial – Gerar DARM para pagamento à vista (exclusivo para Processos abertos na Gerência de Visto Fiscal)</t>
  </si>
  <si>
    <t>Informações sobre o Programa Rio + Cursos</t>
  </si>
  <si>
    <t>Link encaminha para o "Oportunidades Cariocas"</t>
  </si>
  <si>
    <t>Cursos</t>
  </si>
  <si>
    <t>Comunicação de Autovistoria</t>
  </si>
  <si>
    <t>Informações sobre autoserviço</t>
  </si>
  <si>
    <t>Nota Carioca - cancelamento e substituição de nota fiscal eletrônica</t>
  </si>
  <si>
    <t>Nota Carioca – Cadastro: alteração de dados do tomador e obrigatoriedade de cadastro</t>
  </si>
  <si>
    <t>Informações sobre o Centro de Referência Especializado para População em Situação de Rua – CENTRO POP</t>
  </si>
  <si>
    <t>Serviço de acolhimento</t>
  </si>
  <si>
    <t>Sessões de cúpula no Planetário do Rio</t>
  </si>
  <si>
    <t>Patrimônio – Consulta Enfiteuse</t>
  </si>
  <si>
    <t>Solicitação de plantio de árvore em área pública</t>
  </si>
  <si>
    <t>Informações e serviços nos postos de atendimento da Secretaria Municipal de Fazenda</t>
  </si>
  <si>
    <t>Avaliação para instalação e/ou retirada de papeleira</t>
  </si>
  <si>
    <t>Está como ouvidoria. Mas, tem um grande volume de chamados/acessos. Link do Pref.Rio não está funcionando</t>
  </si>
  <si>
    <t>ISS – Restituição de indébitos de ISS de autônomos e de taxas</t>
  </si>
  <si>
    <t>Fiscalização dos serviços de esgoto da Zona Oeste Mais Saneamento</t>
  </si>
  <si>
    <t>Reparo de calçada danificada por raiz</t>
  </si>
  <si>
    <t>Reparo de sinal de trânsito travado</t>
  </si>
  <si>
    <t>Sinalização gráfica</t>
  </si>
  <si>
    <t>Nota Carioca – Autenticidade: Verificação</t>
  </si>
  <si>
    <t>Informações sobre abertura de escola de Educação Infantil</t>
  </si>
  <si>
    <t>Realização de exames laboratoriais em animais</t>
  </si>
  <si>
    <t>Realização de exames em animais (novo nome)</t>
  </si>
  <si>
    <t>Informações sobre o GeoPAL</t>
  </si>
  <si>
    <t xml:space="preserve">Órgãos diferentes. Produtos diferentes. Mesmo interesse do cidadão. </t>
  </si>
  <si>
    <t>Fiscalização sanitária de estabelecimentos comerciais em geral</t>
  </si>
  <si>
    <t>Taxas – Emissão de DARM da Taxa de Fiscalização de Cemitérios</t>
  </si>
  <si>
    <t>Remoção de toco e raiz (destoca)</t>
  </si>
  <si>
    <t>ITBI – Revalidação de protocolo com instrumento já lavrado (fiscalização)</t>
  </si>
  <si>
    <t>Autorização de Táxi/Mototáxi para Motoristas Auxiliares - Abertura de Termo</t>
  </si>
  <si>
    <t>Consulta ao andamento de processos administrativos da Coordenadoria de Licenciamento e Fiscalização</t>
  </si>
  <si>
    <t>Consulta a processos administrativos</t>
  </si>
  <si>
    <t>Manter um único script sobre "Consulta a processos". Assim como esse, temos da Vigilância, SMTR, etc, e não é bom termos o mesmo assunto segregado por secretarias.</t>
  </si>
  <si>
    <t>ISS - Restituição e crédito na Nota Carioca de ISS/Taxas, autônomos e Visto Fiscal</t>
  </si>
  <si>
    <t>ITBI – Dúvidas sobre avaliação, interpretação e aplicação da legislação tributária</t>
  </si>
  <si>
    <t>Informações sobre Família Acolhedora – FACO</t>
  </si>
  <si>
    <t>Nome com sigla</t>
  </si>
  <si>
    <t>Concessão de autorização de matrícula nova em Feiras Livres, Feiras Móveis, Feiras Especiais e Antiquários</t>
  </si>
  <si>
    <t>ITBI – Cumprimento de exigência em processo administrativo</t>
  </si>
  <si>
    <t>Consulta de multas por permissão em táxi</t>
  </si>
  <si>
    <t>Informações sobre aferição dos equipamentos de fiscalização eletrônica</t>
  </si>
  <si>
    <t>Certidão de cadastro de taxista/mototaxista - Verificação do tempo de serviço</t>
  </si>
  <si>
    <t>IPTU – Verificação da Autenticidade da Certidão de Valor Venal</t>
  </si>
  <si>
    <t>Emissão de carta de isenção tributária por permissão de Táxi/Mototáxi</t>
  </si>
  <si>
    <t>ISS – Apropriação de guia de pagamento (exceto código de receita 129-5)</t>
  </si>
  <si>
    <t>Tesouro – Auto de Infração Administrativo SMFP</t>
  </si>
  <si>
    <t>Em avaliação SMF</t>
  </si>
  <si>
    <t>Informações sobre empresas conveniadas com a Prefeitura</t>
  </si>
  <si>
    <t>Certidão Municipal de Dispensa de Licenciamento Ambiental (CMD)</t>
  </si>
  <si>
    <t>ID Jovem</t>
  </si>
  <si>
    <t>Informações sobre os Centro de Referência Especializado de Assistência Social – CREAS</t>
  </si>
  <si>
    <t>ISS – Emissão de Certidão de Elementos Cadastrais</t>
  </si>
  <si>
    <t>Averbação de tempo de contribuição / serviço</t>
  </si>
  <si>
    <t>Fiscalização da higiene em mercados e supermercados</t>
  </si>
  <si>
    <t>Informações sobre concursos públicos</t>
  </si>
  <si>
    <t>Informações sobre o Conselho Tutelar</t>
  </si>
  <si>
    <t>Nota Carioca – Cadastro Municipal: Número de Inscrição</t>
  </si>
  <si>
    <t>Fiscalização de poluição sonora</t>
  </si>
  <si>
    <t>Multa de trânsito paga/não recebida</t>
  </si>
  <si>
    <t>Informações sobre ações de ordenamento urbano</t>
  </si>
  <si>
    <t xml:space="preserve">nao vejo motivo para ficar </t>
  </si>
  <si>
    <t>Hub de serviços funciona como as categorias</t>
  </si>
  <si>
    <t>Fundo de proteção animal</t>
  </si>
  <si>
    <t>Contribuição para o Fundo de proteção animal</t>
  </si>
  <si>
    <t>Campanhas</t>
  </si>
  <si>
    <t>Informações sobre a transferência de titularidade de jazigo</t>
  </si>
  <si>
    <t>Cadastramento de profissional na Rio-Águas</t>
  </si>
  <si>
    <t>Atendimento da Coordenadoria Técnica de Perícias Médicas</t>
  </si>
  <si>
    <t>ISS - Impugnação a auto de infração ou nota de lançamento</t>
  </si>
  <si>
    <t>Agendamento e atendimento de audiências</t>
  </si>
  <si>
    <t>Entendo ser relevante devido ao número de acessos acima de 250 por mês.</t>
  </si>
  <si>
    <t>Emissão de taxas por permissão em táxi</t>
  </si>
  <si>
    <t>Realização de visita guiada à maternidade</t>
  </si>
  <si>
    <t>Informação sobre a situação dos imóveis no Município do Rio de Janeiro</t>
  </si>
  <si>
    <t>Informações sobre o PIS/PASEP</t>
  </si>
  <si>
    <t>Licença Municipal de Operação (LMO)</t>
  </si>
  <si>
    <t>Estudar a ideia de criar um único script sobre "Licenças Municipais" e agrupar os mais diversos temas.</t>
  </si>
  <si>
    <t>Alvará de Licença de Estabelecimento - Solicitação de baixa da atividade</t>
  </si>
  <si>
    <t>Alvará de Licença de Estabelecimento (Novo)</t>
  </si>
  <si>
    <t>Interessante criar um único script hub sobre "Alvará de Licença de Estabelecimento" e adicionar infos sobre "baixa", "alteração de atividade" e "concessão via internet"</t>
  </si>
  <si>
    <t>Fiscalização sanitária em serviços de saúde</t>
  </si>
  <si>
    <t>Patrimônio – Transferência do foreiro</t>
  </si>
  <si>
    <t>Informações sobre o uso de quadras de esporte no Aterro</t>
  </si>
  <si>
    <t>Redução de carga horária do servidor</t>
  </si>
  <si>
    <t>Informações sobre leilão de veículos rebocados</t>
  </si>
  <si>
    <t>Informações sobre Planta Aerofotogramétrica (Planta Cadastral)</t>
  </si>
  <si>
    <t>Instituto Municipal de Urbanismo Pereira Passos</t>
  </si>
  <si>
    <t>Cancelamento de cobrança em Dívida Ativa</t>
  </si>
  <si>
    <t>Certidão de inexistência de atividade econômica</t>
  </si>
  <si>
    <t>Informações sobre a inclusão de alunos da Educação Especial</t>
  </si>
  <si>
    <t>Inclusão?</t>
  </si>
  <si>
    <t>Manutenção de sinalização gráfica horizontal viária</t>
  </si>
  <si>
    <t>Licença de edificação unifamiliar ou bifamiliar</t>
  </si>
  <si>
    <t>Informações sobre o Super Centro Carioca de Saúde</t>
  </si>
  <si>
    <t>Atendimento médico</t>
  </si>
  <si>
    <t>Fiscalização de corte ou sacrifício de árvore</t>
  </si>
  <si>
    <t>Verificação de alteração indevida de itinerário de ônibus</t>
  </si>
  <si>
    <t>Informações sobre desvios e interdições de vias</t>
  </si>
  <si>
    <t>Informativo</t>
  </si>
  <si>
    <t>ISS – Certidão de Pagamento de ISS ou Taxa</t>
  </si>
  <si>
    <t>Informações sobre o auxílio medicamento</t>
  </si>
  <si>
    <t>ISS – Acréscimos Moratórios</t>
  </si>
  <si>
    <t>Fiscalização de poluição do ar</t>
  </si>
  <si>
    <t>Poluição do ar</t>
  </si>
  <si>
    <t>Fiscalização de eventos com exposição de animais</t>
  </si>
  <si>
    <t>Informações sobre os endereços da Rio-Águas e Zona Oeste Mais Saneamento</t>
  </si>
  <si>
    <t>Desentupimento de esgotos já existe</t>
  </si>
  <si>
    <t>Licença de demolição de edificação</t>
  </si>
  <si>
    <t>Segunda via de cotas de pagamento em Dívida Ativa</t>
  </si>
  <si>
    <t>ISS – Visto Fiscal/Inclusão Predial – Ciência de Nota de Lançamento</t>
  </si>
  <si>
    <t>Fiscalização de marquises e estruturas</t>
  </si>
  <si>
    <t>Instalação e manutenção de placas de identificação de rua</t>
  </si>
  <si>
    <t>Informações sobre consulta e estorno de pagamento de benefícios / auxílios</t>
  </si>
  <si>
    <t>Requerimento para acumulação de cargos, empregos e funções na Administração Direta e Indireta</t>
  </si>
  <si>
    <t>Nota Carioca – Denúncia de não emissão da nota</t>
  </si>
  <si>
    <t>Fiscalização de transporte complementar</t>
  </si>
  <si>
    <t>Transporte complementar</t>
  </si>
  <si>
    <t>Instalação do Validador Jaé</t>
  </si>
  <si>
    <t>Requerimento para emissão do Perfil Profissiográfico Previdenciário – PPP</t>
  </si>
  <si>
    <t>Nota Carioca – Retenção: tomadores de serviços de outros municípios</t>
  </si>
  <si>
    <t>Nota Carioca – Cadastramento no sistema e Certificado digital</t>
  </si>
  <si>
    <t>Informações sobre o Pró-Carioca - Programa de Fomento à Cultura Carioca</t>
  </si>
  <si>
    <t>Criar um script único sobre programas de incentivo, já conversado com a SMC</t>
  </si>
  <si>
    <t>Incentivo Cultural</t>
  </si>
  <si>
    <t>Informações sobre o sistema de custo de obras</t>
  </si>
  <si>
    <t>Secretaria Municipal de Infraestrutura</t>
  </si>
  <si>
    <t>Informações sobre Auto de Interdição da Defesa Civil</t>
  </si>
  <si>
    <t>Feiras Especiais de Artes - Feirartes</t>
  </si>
  <si>
    <t>Transformar em script de informação</t>
  </si>
  <si>
    <t>Certidão de Histórico de Revisão de Numeração</t>
  </si>
  <si>
    <t>Consulta de validade de contracheques</t>
  </si>
  <si>
    <t>Insatisfação com o atendimento da Central 1746</t>
  </si>
  <si>
    <t>Licenciamento de reparo emergencial em vias públicas</t>
  </si>
  <si>
    <t>RECRED – Programa de Recuperação de Créditos de Multas Disciplinares</t>
  </si>
  <si>
    <t xml:space="preserve">Prazo encerrou em 31/12/24 - Precisa rever o script. Tem  do ano de 2025 também, que já encerrou o prazo. Avaliar com o órgão. </t>
  </si>
  <si>
    <t>Solicitação de orientação do COMDEF-RIO</t>
  </si>
  <si>
    <t>acho que deve ir pro site da SMPD</t>
  </si>
  <si>
    <t>Participação Social das pessoas com deficiência junto ao Conselho Municipal dos Direitos da Pessoa com Deficiência (COMDEF-RIO)</t>
  </si>
  <si>
    <t>Secretaria Municipal da Pessoa com Deficiência</t>
  </si>
  <si>
    <t>Acessibilidade</t>
  </si>
  <si>
    <t>Reparo de tampão ou poste danificado ou fora de prumo</t>
  </si>
  <si>
    <t>Informações sobre acolhimento institucional de adultos idosos e famílias em vulnerabilidade</t>
  </si>
  <si>
    <t>Patrimônio – Parcelamento de foros anuais em atraso</t>
  </si>
  <si>
    <t>ISS – Paralisação temporária da atividade</t>
  </si>
  <si>
    <t>ISS - Certidão de Visto Fiscal para fins de "Habite-se" ou aceitação da obra</t>
  </si>
  <si>
    <t>Emissão de Declaração de Tempo de Contribuição</t>
  </si>
  <si>
    <t>ISS – Declaração de Pessoa Não Inscrita</t>
  </si>
  <si>
    <t>Transação individualizada em Dívida Ativa</t>
  </si>
  <si>
    <t>Patrimônio – Permissão de uso de imóvel municipal</t>
  </si>
  <si>
    <t>Em avaliação SUPPA</t>
  </si>
  <si>
    <t>Atendimento clínico para animais com Esporotricose</t>
  </si>
  <si>
    <t>Troca de endereço de correspondência / e-mail de inativo ou pensionista no Previ-rio</t>
  </si>
  <si>
    <t>ITBI – Abertura de processo sem formulário específico</t>
  </si>
  <si>
    <t>Limpeza de praias</t>
  </si>
  <si>
    <t>ITBI – Processo de Parcelamento de crédito</t>
  </si>
  <si>
    <t>Fiscalização de banca de jornal</t>
  </si>
  <si>
    <t>Vista de processo ou requerimento em Dívida Ativa</t>
  </si>
  <si>
    <t>Nota Carioca - Simples Nacional: emissão de nota carioca e procedimentos</t>
  </si>
  <si>
    <t>Informações sobre ressarcimento de danos à terceiros no caso de acidentes com veículos e/ou equipamentos da COMLURB</t>
  </si>
  <si>
    <t>Rever o nome</t>
  </si>
  <si>
    <t>Licença Municipal Simplificada (LMS)</t>
  </si>
  <si>
    <t>Fiscalização de obras em Área de Especial Interesse Social ou Comunidade</t>
  </si>
  <si>
    <t>Programa de Atenção Domiciliar ao Idoso (PADI)</t>
  </si>
  <si>
    <t>Informações sobre o auxílio adoção</t>
  </si>
  <si>
    <t>Atendimento em maternidades</t>
  </si>
  <si>
    <t>Informações sobre poda de árvores em áreas privadas</t>
  </si>
  <si>
    <t>Licenciamento para execução de obra e/ou reparo programados em vias públicas</t>
  </si>
  <si>
    <t>Mesclar com "Licença de obras" a fim de criar um script único</t>
  </si>
  <si>
    <t>Autorização para publicidade vinculada a eventos</t>
  </si>
  <si>
    <t>Mesclar com "Autorização para exibição de publicidade"</t>
  </si>
  <si>
    <t>Mensagens de alerta da Defesa Civil</t>
  </si>
  <si>
    <t>Segurança</t>
  </si>
  <si>
    <t>Informações sobre o treinamento para taxistas</t>
  </si>
  <si>
    <t>Licença para construção de muro ou gradis</t>
  </si>
  <si>
    <t>Captura para análise de morcegos caídos ou que atacaram pessoas e/ou animais</t>
  </si>
  <si>
    <t>Animais silvestres</t>
  </si>
  <si>
    <t>Declaração eletrônica de Nada Consta do servidor</t>
  </si>
  <si>
    <t>Controladoria Geral do Município do Rio de Janeiro</t>
  </si>
  <si>
    <t>ISS – Emissão de declaração de realização de eventos</t>
  </si>
  <si>
    <t>Carteira de Trabalho Digital</t>
  </si>
  <si>
    <t>A CTB é emitida pelo gov federeal. Mudar o nome.</t>
  </si>
  <si>
    <t>Usucapião Extrajudicial</t>
  </si>
  <si>
    <t>Informação sobre conceito. FAQ. Ajustar nome e script.</t>
  </si>
  <si>
    <t>Carta de cobrança e informações sobre existência de débitos</t>
  </si>
  <si>
    <t>Nota Carioca - Emissão: autorização e procedimento</t>
  </si>
  <si>
    <t>Cadastramento de CPF/CNPJ</t>
  </si>
  <si>
    <t xml:space="preserve">fica com alteração do nome. É um serviço da SMF - IPTU </t>
  </si>
  <si>
    <t>Cursos de Astronomia no Planetário do Rio</t>
  </si>
  <si>
    <t>Página não está funcionando. Verificar um alternativa para acesso da população ao conteúdo (Instagram)</t>
  </si>
  <si>
    <t>Emissão de Certidão de Pagamento de ITBI - 2ª via</t>
  </si>
  <si>
    <t>Frequência irregular de coleta seletiva</t>
  </si>
  <si>
    <t>Ouvidoria?</t>
  </si>
  <si>
    <t>Eleições para Conselheiro Tutelar do Rio de Janeiro</t>
  </si>
  <si>
    <t>Última atualização do script no CD foi em 05/2023. O script ficaria em edição e atualizações constantes</t>
  </si>
  <si>
    <t>Reparo em gradis e guarda-corpo de viadutos e pontes</t>
  </si>
  <si>
    <t>Fiscalização do atendimento prestado pela Zona Oeste Mais Saneamento</t>
  </si>
  <si>
    <t>Rever script pois o tipo de serviço prestado é reclamado na própria concessionária.</t>
  </si>
  <si>
    <t>Ouvidoria</t>
  </si>
  <si>
    <t>Reclamação</t>
  </si>
  <si>
    <t>Nota Carioca - Informações sobre carta de correção</t>
  </si>
  <si>
    <t>Informações sobre a administração de medicamentos em Unidade Escolar</t>
  </si>
  <si>
    <t>Apesar de ser um tema importante, acredito que essa informação seja consultada primeiramente na unidade escolar e não no site da Prefeitura.</t>
  </si>
  <si>
    <t>ITBI – Relatório de Reposição (inventário e separação/divórcio) ou de Extinção de Condomínio após o pagamento da guia</t>
  </si>
  <si>
    <t>Requerimento para implantação ou reposição de equipamento de fiscalização eletrônica (CET-Rio)</t>
  </si>
  <si>
    <t>Retirada de caçamba particular cheia</t>
  </si>
  <si>
    <t>Manutenção de banheiros públicos</t>
  </si>
  <si>
    <t>Inclusão de veículos em Modais de Transporte</t>
  </si>
  <si>
    <t>Licença para construção ou modificação de edificação/ LICIN, prorrogação de licença</t>
  </si>
  <si>
    <t>Informações sobre doação de livros</t>
  </si>
  <si>
    <t>Como o órgão atua</t>
  </si>
  <si>
    <t>Bibliotecas</t>
  </si>
  <si>
    <t>Cadastramento de imóvel de benfeitoria/posse</t>
  </si>
  <si>
    <t>Só consta no 1746 atualmente</t>
  </si>
  <si>
    <t>Requerimento para implantação de quebra-molas</t>
  </si>
  <si>
    <t>ITBI – Impugnação de lançamento e recurso de decisão</t>
  </si>
  <si>
    <t>Relação de licenças ambientais emitidas</t>
  </si>
  <si>
    <t>Solicitação de implantação ou remanejamento de ponto de ônibus</t>
  </si>
  <si>
    <t>Informações sobre o Censo Cadastral Previdenciário</t>
  </si>
  <si>
    <t>Requerimento para instalação de sinal de trânsito</t>
  </si>
  <si>
    <t>Restituição de indébito em Dívida Ativa</t>
  </si>
  <si>
    <t>ISS – Cálculo do valor atualizado de débito não inscrito em Dívida Ativa</t>
  </si>
  <si>
    <t>Alvará - Recurso de Consulta Prévia</t>
  </si>
  <si>
    <t>Requerimento para implantação de área para carga e descarga comum ou temporária para obras</t>
  </si>
  <si>
    <t>ISS - Solicitação de envio de débito de ISS para Dívida Ativa</t>
  </si>
  <si>
    <t>Consulta de requerimentos na Vigilância Sanitária</t>
  </si>
  <si>
    <t>Alteração no nome do proprietário no cadastro do IPTU</t>
  </si>
  <si>
    <t>Observação do Céu no Planetário do Rio</t>
  </si>
  <si>
    <t>Alteração na escolaridade nos cargos de merendeira, agente educador e inspetor para aposentados</t>
  </si>
  <si>
    <t>É referente a um decreto de 2018</t>
  </si>
  <si>
    <t>Informações sobre o Sistema de Notificação Eletrônica (SNE)</t>
  </si>
  <si>
    <t>Informações sobre sinaleiras de garagem</t>
  </si>
  <si>
    <t>Provável FAQ. Não orienta o cidadão.</t>
  </si>
  <si>
    <t>Informações sobre desaparecimento/remoção de ossada humana em cemitério</t>
  </si>
  <si>
    <t>Informação útil. Olhar de forma conjunta para todos os scripts que falam de cemitério.</t>
  </si>
  <si>
    <t>Fiscalização de desmatamento</t>
  </si>
  <si>
    <t>Realização de exames de imagem em animais</t>
  </si>
  <si>
    <t>ISS - Informações sobre reconhecimento de imunidade, não incidência, isenção e redução de ISS</t>
  </si>
  <si>
    <t>Notificação de casos de intolerância étnico-racial</t>
  </si>
  <si>
    <t>Secretaria Especial de Direitos Humanos e Igualdade Racial</t>
  </si>
  <si>
    <t>Intolerância religiosa e racial</t>
  </si>
  <si>
    <t>Multa de Trânsito - Solicitação de cópia de Aviso de Recebimento</t>
  </si>
  <si>
    <t>Solicitação de reforma de jardins de praças ou de canteiros centrais</t>
  </si>
  <si>
    <t>Credenciamento de profissionais e empresas na Fundação Parques e Jardins</t>
  </si>
  <si>
    <t>Informações sobre as Embaixadas Cariocas</t>
  </si>
  <si>
    <t>Informações sobre atividades nas Embaixadas Cariocas</t>
  </si>
  <si>
    <t>Secretaria Especial de Integração Metropolitana</t>
  </si>
  <si>
    <t>Informações sobre Acolhimento Institucional de crianças e adolescentes</t>
  </si>
  <si>
    <t>Informações sobre portabilidade bancária (troca de Banco) para aposentados e pensionistas</t>
  </si>
  <si>
    <t>Ingresso ou baixa em cooperativa, associação ou prestadora de serviço de táxi</t>
  </si>
  <si>
    <t>Vistoria pós-incêndio</t>
  </si>
  <si>
    <t>Acompanhamento de solicitação no Procon Carioca</t>
  </si>
  <si>
    <t>Informação genérica dos canais para acompanhamento de demandas do CzRM</t>
  </si>
  <si>
    <t>Reparo de luminária fora de posição</t>
  </si>
  <si>
    <t>Vistoria em ônibus</t>
  </si>
  <si>
    <t>Baixa de veículos dos modais de transporte</t>
  </si>
  <si>
    <t>Registro de engenheiros e empresas do ramo de aparelhos de transporte</t>
  </si>
  <si>
    <t>Emissão de Cópia Autêntica (Defesa Civil)</t>
  </si>
  <si>
    <t>Cópia autêntica de laudo de vistoria</t>
  </si>
  <si>
    <t>Cadastro Moto.Rio</t>
  </si>
  <si>
    <t xml:space="preserve">O serviço não teve continuidade. Não existe o app. </t>
  </si>
  <si>
    <t>Remoção de animais mortos em via pública</t>
  </si>
  <si>
    <t>Informações sobre o Arquivo Geral da Cidade</t>
  </si>
  <si>
    <t>Consulta ao arquiivo geral</t>
  </si>
  <si>
    <t>Informações sobre endereços de cemitérios e serviços funerários</t>
  </si>
  <si>
    <t>Consulta a andamento de processos físicos de licenciamento ambiental</t>
  </si>
  <si>
    <t>Legalização de obra e/ou reparo em vias públicas</t>
  </si>
  <si>
    <t>Reparo de poste ou tampão da Rioluz dando choque</t>
  </si>
  <si>
    <t>Manutenção de equipamentos das Academias da Terceira Idade (ATI)</t>
  </si>
  <si>
    <t>Fiscalização sanitária em serviços de embelezamento e atividades físicas</t>
  </si>
  <si>
    <t>Habilitação prévia de beneficiário para recebimento do Pecúlio</t>
  </si>
  <si>
    <t>Verificação de Autenticidade de Documentos de Processos Administrativos</t>
  </si>
  <si>
    <t xml:space="preserve">temos que ver com Thiago </t>
  </si>
  <si>
    <t>Processo.rio</t>
  </si>
  <si>
    <t>Informações sobre Portal da Transparência Rio</t>
  </si>
  <si>
    <t>[Transparência e Acesso à informação (Novo)]</t>
  </si>
  <si>
    <t>Informações sobre como o órgão atua</t>
  </si>
  <si>
    <t>Inclusão de pessoas com deficiência no mercado de trabalho</t>
  </si>
  <si>
    <t>Minhas Bancas de jornais e revistas</t>
  </si>
  <si>
    <r>
      <rPr>
        <sz val="10"/>
        <color theme="1"/>
        <rFont val="Calibri"/>
        <charset val="134"/>
      </rPr>
      <t>Ajustar nome do script para "</t>
    </r>
    <r>
      <rPr>
        <sz val="10"/>
        <color rgb="FFFF0000"/>
        <rFont val="Calibri"/>
        <charset val="134"/>
      </rPr>
      <t>Cadastro de Inscrição Municipal de bancas de jornais e revistas</t>
    </r>
    <r>
      <rPr>
        <sz val="10"/>
        <color theme="1"/>
        <rFont val="Calibri"/>
        <charset val="134"/>
      </rPr>
      <t>"</t>
    </r>
  </si>
  <si>
    <t>Solicitação de desinterdição à Defesa Civil</t>
  </si>
  <si>
    <t>Autorização de Remoção de Vegetação (ARV)</t>
  </si>
  <si>
    <t>Verificação de ocorrências na conexão BRT</t>
  </si>
  <si>
    <t>Companhia Municipal de Transportes Coletivos</t>
  </si>
  <si>
    <t>BRT</t>
  </si>
  <si>
    <t>Informações sobre bolsa de estudo</t>
  </si>
  <si>
    <t>Nota Carioca - mensagem de erro no sistema da Nota pela opção do Simples Nacional</t>
  </si>
  <si>
    <t>ISS – Retirada de bloqueio da inscrição municipal</t>
  </si>
  <si>
    <t>Distribuição de insumos para tratamento de diabetes com insulina</t>
  </si>
  <si>
    <t>Medicamentos</t>
  </si>
  <si>
    <t>Informações sobre a instalação de quebra-molas (após avaliação favorável da CET-RIO)</t>
  </si>
  <si>
    <t>Informações sobre os endereços e canais de contato da Zona Oeste Mais Saneamento</t>
  </si>
  <si>
    <t>Institucional - Já existe um sobre desentupimento de esgotos e saneamento</t>
  </si>
  <si>
    <t>Informações sobre Conselho Tutelar e justiça contra criança e/ou adolescente</t>
  </si>
  <si>
    <t>Fiscalização de danos ao patrimônio público</t>
  </si>
  <si>
    <t>Casas da Mulher Carioca</t>
  </si>
  <si>
    <t>Informações sobre atendimento à mulher vítima de violência (CEAM)</t>
  </si>
  <si>
    <t>Secretaria Especial de Políticas para Mulheres e Cuidados</t>
  </si>
  <si>
    <t>Mulher carioca</t>
  </si>
  <si>
    <t>Alegação de pagamento em Dívida Ativa</t>
  </si>
  <si>
    <t>TAXI.RIO Cidades - Informações sobre utilização do aplicativo</t>
  </si>
  <si>
    <t>Recurso contra negativa ou omissão de Acesso à Informação</t>
  </si>
  <si>
    <t>Possível categoria equivalente a Reclamação em LAI</t>
  </si>
  <si>
    <t>Fiscalização de drenagem irregular</t>
  </si>
  <si>
    <t>Recurso para auto de infração de atividade econômica</t>
  </si>
  <si>
    <t>Me pareceu ser o mesmo conteúdo de "Recurso de notificação de atividade econômica"</t>
  </si>
  <si>
    <t>Reparo de tampão de sinal de trânsito quebrado ou ausente e de cabos expostos de sinal de transito</t>
  </si>
  <si>
    <t>ISS – Vista de Processo da Gerência de Fiscalização</t>
  </si>
  <si>
    <t>Projeto NUPDEC – Núcleo de Proteção e Defesa Civil</t>
  </si>
  <si>
    <t>Monitoramento das ameaças nas áreas vulneráveis</t>
  </si>
  <si>
    <t>Enquadramento de nível por curso de formação para professores</t>
  </si>
  <si>
    <t>Criação de Conta Mobilidade Rio – Bilhetagem Digital Jaé</t>
  </si>
  <si>
    <t>Reconhecimento e sugestão de nominação de logradouros</t>
  </si>
  <si>
    <t>Nota Carioca – Emissão: casos de isentos, imunes e devedores do ISS</t>
  </si>
  <si>
    <t>Programa Selo de Acessibilidade e Inclusão</t>
  </si>
  <si>
    <t>Solicitação de selo...</t>
  </si>
  <si>
    <t>Fiscalização de poluição do solo</t>
  </si>
  <si>
    <t>Informações sobre senha para os benefícios</t>
  </si>
  <si>
    <t>Fiscalização de abrigos para idosos (casas de repouso) por relatos de maus tratos</t>
  </si>
  <si>
    <t>Valor das alíquotas e base de cálculo</t>
  </si>
  <si>
    <t>Tesouro – Cadastro dos dados bancários de Pessoas Físicas e Jurídicas</t>
  </si>
  <si>
    <t>Alteração de autorização de comércio ambulante</t>
  </si>
  <si>
    <t>Comércio</t>
  </si>
  <si>
    <t>Solicitação de alteração ou implantação de ponto de táxi</t>
  </si>
  <si>
    <t>Fiscalização de poluição da água</t>
  </si>
  <si>
    <t>Poluição da água</t>
  </si>
  <si>
    <t>Licenciamento de aparelhos de transporte</t>
  </si>
  <si>
    <t>Limpeza de margens de rios</t>
  </si>
  <si>
    <t>Calendário da rede de Rodas de Samba</t>
  </si>
  <si>
    <t>Informações estão disponíveis em site institucional, tanto editais para participação quanto o mapa das rodas de samba.</t>
  </si>
  <si>
    <t>Provavelmente fica</t>
  </si>
  <si>
    <t>este script está totalmente sem informação</t>
  </si>
  <si>
    <t>Esportes e Lazer</t>
  </si>
  <si>
    <t>Informações sobre merenda escolar</t>
  </si>
  <si>
    <t>Informações sobre como os órgãos atuam</t>
  </si>
  <si>
    <t>Certificado de Proteção do Imóvel</t>
  </si>
  <si>
    <t>Informações sobre o Programa de Apoio ao Ensino Médio</t>
  </si>
  <si>
    <t>Educação Fundamental</t>
  </si>
  <si>
    <t>Informações sobre cadastro no Auxílio Habitacional Temporário</t>
  </si>
  <si>
    <t>Programa Cadeira Cativa - Ingressos gratuitos</t>
  </si>
  <si>
    <t>Importância do programa, porém é preciso haver uma reformulação no script. Atualmente ele trata de inscrições (empresas) e não sobre como o cidadão garante a gratuidade em eventos</t>
  </si>
  <si>
    <t>Informações sobre Licitação e Pregão</t>
  </si>
  <si>
    <t>Conceitual</t>
  </si>
  <si>
    <t>Suspensão do abono de permanência</t>
  </si>
  <si>
    <t>Informações sobre o Sistema BRT do Rio de Janeiro</t>
  </si>
  <si>
    <t>Fiscalização de animais silvestres em cativeiro</t>
  </si>
  <si>
    <t>Fiscalização de caça e/ou captura de animais silvestres / Fiscalização de comércio ilegal de animais silvestres</t>
  </si>
  <si>
    <t>Mesmos interesses do cidadão</t>
  </si>
  <si>
    <t>Licença Ambiental Municipal Comunicada para atividades industriais, de comércio e serviços (LAC)</t>
  </si>
  <si>
    <t>Plano de Saúde - movimentações</t>
  </si>
  <si>
    <t>Informações sobre cursos da Vigilância Sanitária</t>
  </si>
  <si>
    <t>Fiscalização da exposição de publicidade irregular</t>
  </si>
  <si>
    <t>Requerimento de licença para trato de interesses particulares</t>
  </si>
  <si>
    <t>Permuta de veículo – Táxi/Mototáxi</t>
  </si>
  <si>
    <t>Retirando o Mototáxi do texto</t>
  </si>
  <si>
    <t>Relação de empresas licenciadas para receber resíduos da construção civil (RCC)</t>
  </si>
  <si>
    <t>Conservação e manutenção de passarelas, viadutos, pontes e túneis revestidos</t>
  </si>
  <si>
    <t>Informações do Jaé no MetrôRio</t>
  </si>
  <si>
    <t>Instalação, remoção e manutenção de placa com nome de rua</t>
  </si>
  <si>
    <t>ISS – Pagamento de Auto de Infração de ISS com desconto</t>
  </si>
  <si>
    <t>Informações sobre vacinação humana</t>
  </si>
  <si>
    <t>Informações sobre acerto de vida escolar (avanço ou retenção de ano)</t>
  </si>
  <si>
    <t>Não é solicitável de forma alguma</t>
  </si>
  <si>
    <t>Informações sobre Painel de Transparência de Obras do município do Rio de Janeiro</t>
  </si>
  <si>
    <t>Informações sobre sinalização indicativa de serviço</t>
  </si>
  <si>
    <t>Prorrogação de prazo para vistoria de táxi</t>
  </si>
  <si>
    <t>Requerimento de readaptação do servidor</t>
  </si>
  <si>
    <t>Informações sobre os Centros de Atenção Psicossocial (CAPS)</t>
  </si>
  <si>
    <t>Multa de trânsito - Verificação da troca de Real Infrator</t>
  </si>
  <si>
    <t>Licenciamento de serviço em vias públicas</t>
  </si>
  <si>
    <t>Reparo de rampa de acesso em vias públicas</t>
  </si>
  <si>
    <t>Cadastramento de Protetores Voluntários e de Protetores de Colônias</t>
  </si>
  <si>
    <t>Informações sobre cadastramento para obtenção de gratuidade especial do Jaé</t>
  </si>
  <si>
    <t>Projeto Agente Experiente</t>
  </si>
  <si>
    <t>Sugiro mudança no nome do serviço</t>
  </si>
  <si>
    <t>Informações sobre cobrança antecipada (tabelada) de corridas de táxi</t>
  </si>
  <si>
    <t>Informações sobre endereços de escolas municipais</t>
  </si>
  <si>
    <t>Base de informações sobre os órgãos/serviços</t>
  </si>
  <si>
    <t>Implantação de equipamentos de lazer em parques, praças e áreas verdes da cidade</t>
  </si>
  <si>
    <t>Avaliação de surto por doença transmitida por alimentos e água</t>
  </si>
  <si>
    <t>Planejamento urbano local e regional</t>
  </si>
  <si>
    <t>Provavelmente não fica</t>
  </si>
  <si>
    <t>Sugestão de planejamento urbano. Pode ser inserida em outro serviço?</t>
  </si>
  <si>
    <t>Nota Carioca - Emissão de nota fiscal eletrônica</t>
  </si>
  <si>
    <t>Casas de Convivência e Lazer para pessoas idosas</t>
  </si>
  <si>
    <t>Nota Carioca – Retenção: tributos federais e ISS</t>
  </si>
  <si>
    <t>Inclusão de veículo - Táxi/Mototáxi</t>
  </si>
  <si>
    <t>Fiscalização de quiosque de praia</t>
  </si>
  <si>
    <t>TAXI.RIO Cidades - Verificação de problemas no aplicativo</t>
  </si>
  <si>
    <t>Desvinculação em Dívida Ativa</t>
  </si>
  <si>
    <t>Gestão de contratos e/ou créditos habitacionais dos imóveis construídos pela RIO-URBE</t>
  </si>
  <si>
    <t>Empresa Municipal de Urbanização - RIO-URBE</t>
  </si>
  <si>
    <t>Baixa de Autorização de Publicidade</t>
  </si>
  <si>
    <t>Homologação de materiais e equipamentos de iluminação pública</t>
  </si>
  <si>
    <t>Solicitação para ligação de águas pluviais na rede pública</t>
  </si>
  <si>
    <t>Licença Municipal Prévia e de Instalação (LMPI)</t>
  </si>
  <si>
    <t>Certificado de Adequação de Imóvel (CAI) Protegidos pelo Patrimônio Cultural</t>
  </si>
  <si>
    <t>Vistoria em ameaça ou queda de revestimento externo</t>
  </si>
  <si>
    <t>Informações sobre cópia de plantas de cursos d’água e redes de drenagem</t>
  </si>
  <si>
    <t>Alterações cadastrais em Dívida Ativa</t>
  </si>
  <si>
    <t>Informações sobre cremação de corpo ou membros</t>
  </si>
  <si>
    <t>Informações sobre valores de serviços funerários e recadastramento de jazigos</t>
  </si>
  <si>
    <t>Serviços funerários</t>
  </si>
  <si>
    <t>Projeto Vida Ativa</t>
  </si>
  <si>
    <t>Vistoria em ameaça de deslizamento de barreira, encosta e talude</t>
  </si>
  <si>
    <t>ISS – Cadastro de Contribuintes Autônomos no Emissor Nacional (NFS-e)</t>
  </si>
  <si>
    <t>ISS - Recurso Voluntário</t>
  </si>
  <si>
    <t>ISS – Impugnação ao indeferimento da opção pelo Simples Nacional</t>
  </si>
  <si>
    <t>Infração ao Código Disciplinar de Transporte de Passageiros - Defesa Prévia</t>
  </si>
  <si>
    <t>Circuito Carioca de Economia Solidária</t>
  </si>
  <si>
    <t>Autorização de pesquisa em Unidades de Conservação</t>
  </si>
  <si>
    <t>Cadastro no ‘Push Processo’ para mensagens sobre o andamento de Processos Físicos</t>
  </si>
  <si>
    <t xml:space="preserve">galera do sei pediu pra ficar, mas tem que mudar título.  </t>
  </si>
  <si>
    <t>Informação pra saber sobre tramitação de processo físico</t>
  </si>
  <si>
    <t>ISS – Cumprimento de Exigência da Gerência de Fiscalização do ISS</t>
  </si>
  <si>
    <t>Vistoria em ameaça ou queda de passarela, ponte, viaduto e demais estruturas públicas</t>
  </si>
  <si>
    <t>Informações sobre distribuição de uniformes e material escolar</t>
  </si>
  <si>
    <t>Baixa de veículo - Táxi/Mototáxi</t>
  </si>
  <si>
    <t>Informações sobre os desfiles das Escolas de Samba das Séries Prata e Bronze e Blocos de Enredo</t>
  </si>
  <si>
    <t xml:space="preserve"> Concordo que deve virar um script sobre carnaval no rio e levar para o hotsite do ano</t>
  </si>
  <si>
    <t>Talvez criar um script único sobre Desfiles no Carnaval</t>
  </si>
  <si>
    <t>Empresa de Turismo do Município do Rio de Janeiro</t>
  </si>
  <si>
    <t>Carnaval</t>
  </si>
  <si>
    <t>Fiscalização/inspeção de Feiras Livres, Feiras de Artes e Feiras Especiais</t>
  </si>
  <si>
    <t>Feiras</t>
  </si>
  <si>
    <t>Solicitação de palestras da Secretaria de Proteção e Defesa dos Animais</t>
  </si>
  <si>
    <t>Informações sobre o programa de educação animal</t>
  </si>
  <si>
    <t>Requerimento de gratificação por substituição de cargo de confiança de direção</t>
  </si>
  <si>
    <t>Informações sobre surto psicótico</t>
  </si>
  <si>
    <t>Nota Carioca – Emissão de Nota para tomador estrangeiro</t>
  </si>
  <si>
    <t>Informações sobre Esgotamento Sanitário</t>
  </si>
  <si>
    <t>Serviço de desentupimento de esgoto e saneamento</t>
  </si>
  <si>
    <t>Usucapião</t>
  </si>
  <si>
    <t>Artigo informacional</t>
  </si>
  <si>
    <t>Nota Carioca – Sistema: formas de acesso</t>
  </si>
  <si>
    <t>Nota Carioca – Recibo Provisório de Serviços: cancelamento, conversão e emissão</t>
  </si>
  <si>
    <t>Recurso para recuperação de mercadorias e equipamentos apreendidos</t>
  </si>
  <si>
    <t>Verificação de irregularidades na Bilhetagem Eletrônica</t>
  </si>
  <si>
    <t>Comprovação do auxílio-creche</t>
  </si>
  <si>
    <t>Campanha de adoção com os animais da Fazenda Modelo: “Maratona de Adoção”</t>
  </si>
  <si>
    <t>este é um script super útil e acho que ele não é so campanha. Você pode ir lá a qualquer momento. Se for isto, vamos apenas alterar o nome para "Adoação de animais da fazenda Modelo"</t>
  </si>
  <si>
    <t>Atenção: Mudar o nome do serviço e rever script. Adoação de animais da fazenda Modelo</t>
  </si>
  <si>
    <t>Informações sobre o Projeto de Empreendedorismo Comunitário</t>
  </si>
  <si>
    <t>Serviço precisa ser revisado. Está ruim. Seerá que já não está no Oportunidades cariocas??</t>
  </si>
  <si>
    <t>Relevância do assunto</t>
  </si>
  <si>
    <t>Abertura de termo para transporte escolar</t>
  </si>
  <si>
    <t>Transporte escolar</t>
  </si>
  <si>
    <t>Reparação pós-destoca</t>
  </si>
  <si>
    <t>Manutenção de relógio digital</t>
  </si>
  <si>
    <t>Implantação de praças</t>
  </si>
  <si>
    <t>Vistoria em deslizamento de barreira, encosta e talude</t>
  </si>
  <si>
    <t>ISS – Ciência de Decisão da Gerência de Fiscalização do ISS</t>
  </si>
  <si>
    <t>Solicitação para implantação de canteiros  e dispositivos especiais</t>
  </si>
  <si>
    <t>Informações sobre pensão alimentícia de dependente de servidor inativo ou pensionista</t>
  </si>
  <si>
    <t>ISS – Atividade de incorporação-construção imobiliária</t>
  </si>
  <si>
    <t>Revisão de Projeto de Alinhamento (P.A.)</t>
  </si>
  <si>
    <t>Informações sobre implantação de área para embarque e desembarque</t>
  </si>
  <si>
    <t>Estacionamento</t>
  </si>
  <si>
    <t>Conservação e manutenção de monumentos e chafarizes</t>
  </si>
  <si>
    <t>Locação de Espaços no Planetário do Rio</t>
  </si>
  <si>
    <t>Pode atender a necessidade da população em utilizar os espaços</t>
  </si>
  <si>
    <t>Informações sobre multas da SMDU</t>
  </si>
  <si>
    <t>Informações sobre o Programa Hortas Cariocas</t>
  </si>
  <si>
    <t>Informações sobre a Contribuição para Custeio do Serviço de Iluminação Pública (COSIP)</t>
  </si>
  <si>
    <t>Registro de engenheiros e empresas do ramo de ar-condicionado e ventilação mecânica</t>
  </si>
  <si>
    <t>ISS – Prorrogação de prazo para apresentação de impugnação ou recurso</t>
  </si>
  <si>
    <t>Revisão de pensão por falecimento</t>
  </si>
  <si>
    <t>Informações sobre implantação de área de lazer</t>
  </si>
  <si>
    <t>Nota Carioca – Microempreendedor Individual</t>
  </si>
  <si>
    <t>Instalação de rampa de acesso em vias públicas</t>
  </si>
  <si>
    <t>Nota Carioca - Pagamento ou recurso de auto de infração</t>
  </si>
  <si>
    <t>Nota Carioca – Declaração de ausência de movimento</t>
  </si>
  <si>
    <t>Certificado de Aceitação das Condições de Acessibilidade</t>
  </si>
  <si>
    <t>Transferência de matrícula por falecimento em Feiras Livres, Feiras Móveis, Feiras Especiais e Feirartes</t>
  </si>
  <si>
    <t>Limpeza, desassoreamento e manutenção de rios e canais</t>
  </si>
  <si>
    <t>Vai mudara para Limpeza e desobstrução de rios e canais</t>
  </si>
  <si>
    <t>Serviço "Limpeza, desassoreamento e manutenção de rios e canais" no Carioca não encaminha para o serviço "Limpeza de vala de drenagem" no 1746 que, em tese, seria o mesmo</t>
  </si>
  <si>
    <t>Informações sobre o Centro de Referência de Inclusão Produtiva - CRIP</t>
  </si>
  <si>
    <t>Serviço de atendimento em programa assistencialista, pop de rua</t>
  </si>
  <si>
    <t>Atendimento para pessoas vítimas de violência</t>
  </si>
  <si>
    <t>Fora do âmbito do município</t>
  </si>
  <si>
    <t>Histórico de pagamentos em Dívida Ativa</t>
  </si>
  <si>
    <t>Licença Ambiental Municipal Prévia (LMP)</t>
  </si>
  <si>
    <t>Nota Carioca - Informações sobre crédito pendente</t>
  </si>
  <si>
    <t>Informações sobre o sistema Veritas</t>
  </si>
  <si>
    <t>Desconto em contracheque de débito de encerramento de folha-servidor aposentado</t>
  </si>
  <si>
    <t>Solicitação de desinterdição em serviços de alimentos e ensino</t>
  </si>
  <si>
    <t>Isenção de TUAP para Feiras Livres, Feiras Móveis, Feiras Especiais e Feirartes</t>
  </si>
  <si>
    <t>Instalação de equipamentos fotovoltaicos em imóveis protegidos</t>
  </si>
  <si>
    <t>Tema importante de ser mantido, porém há a necessidade de simplificar o tempo "fotovoltaico". Talvez Instalação de placas solares / Instalação de equipamentos de energia solar...</t>
  </si>
  <si>
    <t>Licença para instalação de antenas</t>
  </si>
  <si>
    <t>Informações sobre cães e gatos agressivos ou agressores</t>
  </si>
  <si>
    <t>Informação sobre campanha</t>
  </si>
  <si>
    <t>Informações sobre assistência financeira para funeral de dependente</t>
  </si>
  <si>
    <t>Fiscalização de aterro, terraplanagem ou extração mineral irregular</t>
  </si>
  <si>
    <t>Nota Carioca - Alteração de usuário, definição de perfil, acesso do contador</t>
  </si>
  <si>
    <t>Notificação de descumprimento de acordo - Procon Carioca</t>
  </si>
  <si>
    <t>ISS – Pedido de exclusão do nome do responsável, pessoa jurídica (escritório contábil) ou contador, do perfil da Nota Carioca</t>
  </si>
  <si>
    <t>Projeto Voluntários para atuação em proteção e Defesa Civil</t>
  </si>
  <si>
    <t>Consulta sobre a regularidade de funcionamento de escola privada de Educação Infantil</t>
  </si>
  <si>
    <t>Centros Municipais de Referência da Pessoa com Deficiência</t>
  </si>
  <si>
    <t>Endereços/Informações institucionais</t>
  </si>
  <si>
    <t>Informações sobre financiamento imobiliário (carta de crédito)</t>
  </si>
  <si>
    <t>Desarquivamento de processo na Secretaria Municipal de Transportes</t>
  </si>
  <si>
    <t>Solicitação de Licença para tratamento de saúde para servidores municipais</t>
  </si>
  <si>
    <t>Fiscalização de captação irregular de água</t>
  </si>
  <si>
    <t>Legislação do Regulamento do IPTU</t>
  </si>
  <si>
    <t>Fiscalização de obras de contenção em andamento</t>
  </si>
  <si>
    <t>Fundação Instituto de Geotécnica do Município do Rio de Janeiro</t>
  </si>
  <si>
    <t>CAD – Conselho de Administração do Previ-Rio</t>
  </si>
  <si>
    <t>Confirmar com o órgao se tem base legal pra ficar - Zé Maurício vai verificar
&gt;&gt; Segundo o órgão há demandas de jornalistas. Entendo que o artigo vai na linha do "Como o órgão atua". Entendo que não deve ficar. INSTITUCIONAL</t>
  </si>
  <si>
    <t>Cadastro de animais no Sisbicho</t>
  </si>
  <si>
    <t>Editais Rio Capital Mundial do Livro 2025</t>
  </si>
  <si>
    <t>Talvez criar um script único sobre programas de incentivo, já conversado com a SMC</t>
  </si>
  <si>
    <t>Informações sobre o Programa Zonas de Cultura</t>
  </si>
  <si>
    <t>Não é solicitável de forma alguma. é apenas uma informação institucional</t>
  </si>
  <si>
    <t>Informações sobre contagem volumétrica de veículos</t>
  </si>
  <si>
    <t xml:space="preserve">Atualizar script </t>
  </si>
  <si>
    <t>Precisa solicitar alteração na página institucional pois a atualização volumétrica de veículos está até 2024. Não poderia ser feito pedido via formulário 1746???</t>
  </si>
  <si>
    <t>Imposto de Renda para servidor inativo residente no exterior</t>
  </si>
  <si>
    <t>Informações sobre troca de agência do Banco Santander para servidor inativo e pensionista</t>
  </si>
  <si>
    <t>Isenção de ISS para empresas que realizaram obras em imóveis protegidos</t>
  </si>
  <si>
    <t>Informações sobre a fiscalização ambiental</t>
  </si>
  <si>
    <t>pra mim não fica, pois os scripts de fiscalização dão conta das informações especificas. Não faz sentido</t>
  </si>
  <si>
    <t>Informação muito genérica</t>
  </si>
  <si>
    <t>Licença Municipal de Instalação (LMI)</t>
  </si>
  <si>
    <t>Arborização para liberação de Habite-se</t>
  </si>
  <si>
    <t>Vistoria em ameaça de rolamento de pedra</t>
  </si>
  <si>
    <t>Laudo Técnico de imóveis com data de construção igual ou anterior a 1938 e imóveis situados no entorno de bens tombados</t>
  </si>
  <si>
    <t>Informações sobre desapropriação de imóvel para obras de Infraestrutura da SMI</t>
  </si>
  <si>
    <t>Solicitação de transferência de titularidade de comércio ambulante</t>
  </si>
  <si>
    <t>Licença de obras</t>
  </si>
  <si>
    <r>
      <rPr>
        <sz val="10"/>
        <color theme="1"/>
        <rFont val="Calibri"/>
        <charset val="134"/>
      </rPr>
      <t>Mesclar com "</t>
    </r>
    <r>
      <rPr>
        <sz val="10"/>
        <color rgb="FFFF0000"/>
        <rFont val="Calibri"/>
        <charset val="134"/>
      </rPr>
      <t>Licenciamento para execução de obra e/ou reparo programados em vias públicas</t>
    </r>
    <r>
      <rPr>
        <sz val="10"/>
        <color theme="1"/>
        <rFont val="Calibri"/>
        <charset val="134"/>
      </rPr>
      <t>"; "</t>
    </r>
    <r>
      <rPr>
        <sz val="10"/>
        <color rgb="FFFF0000"/>
        <rFont val="Calibri"/>
        <charset val="134"/>
      </rPr>
      <t>Legalização de obra e/ou reparo em vias públicas</t>
    </r>
    <r>
      <rPr>
        <sz val="10"/>
        <color theme="1"/>
        <rFont val="Calibri"/>
        <charset val="134"/>
      </rPr>
      <t>", "</t>
    </r>
    <r>
      <rPr>
        <sz val="10"/>
        <color rgb="FFFF0000"/>
        <rFont val="Calibri"/>
        <charset val="134"/>
      </rPr>
      <t>Licenciamento de Obra para Atendimento ao Consumidor em Vias Públicas</t>
    </r>
    <r>
      <rPr>
        <sz val="10"/>
        <color theme="1"/>
        <rFont val="Calibri"/>
        <charset val="134"/>
      </rPr>
      <t>", "</t>
    </r>
    <r>
      <rPr>
        <sz val="10"/>
        <color rgb="FFFF0000"/>
        <rFont val="Calibri"/>
        <charset val="134"/>
      </rPr>
      <t>Licenciamento de serviço em vias públicas</t>
    </r>
    <r>
      <rPr>
        <sz val="10"/>
        <color theme="1"/>
        <rFont val="Calibri"/>
        <charset val="134"/>
      </rPr>
      <t>", pois se trata do mesmo assunto. No final das contas é tudo licença de obra.</t>
    </r>
  </si>
  <si>
    <t>Licença Municipal de Instalação e Operação (LMIO)</t>
  </si>
  <si>
    <t>Informações sobre vacinação de idosos contra a gripe em domicílio</t>
  </si>
  <si>
    <t>Projetos para novas construções no mesmo lote de imóveis protegidos</t>
  </si>
  <si>
    <t>Corregedoria da Procuradoria Geral do Município do Rio de Janeiro</t>
  </si>
  <si>
    <t>Vistoria anual obrigatória - Transporte Complementar</t>
  </si>
  <si>
    <t>Informações sobre a Família Acolhedora</t>
  </si>
  <si>
    <t>Informações sobre o Parque Nacional da Tijuca</t>
  </si>
  <si>
    <t>Informações sobre fiscalização das instalações de aparelhos de transporte</t>
  </si>
  <si>
    <t>Busca e cadastramento de locações para produção audiovisual - Rio Film Commission</t>
  </si>
  <si>
    <t>Audiovisual</t>
  </si>
  <si>
    <t>Programa Idoso em Família</t>
  </si>
  <si>
    <t>Possível ajuste de script/nome</t>
  </si>
  <si>
    <t>Cópia de acordo de parcelamento em Dívida Ativa</t>
  </si>
  <si>
    <t>Informações sobre o Projeto de Volta à Terra Natal</t>
  </si>
  <si>
    <t>Informações sobre Educação de Jovens e Adultos (EJA)</t>
  </si>
  <si>
    <t>Verificação de achados e perdidos em táxis</t>
  </si>
  <si>
    <t>Cursos para Servidor Público Municipal - Informações</t>
  </si>
  <si>
    <t xml:space="preserve">acho que não faz sentido. porque o serviço não tem nenhuma informação e só direciona. </t>
  </si>
  <si>
    <t>Precisa verificar a descrição pois o email é educorporativa.sma@rio.rj.gov.br (antigo) e foi atualizado em 01/01/23. Link https://prefeitura.rio/web/servicoscompartilhados  não está entrando</t>
  </si>
  <si>
    <t>Restituição de indébito de ISS</t>
  </si>
  <si>
    <t>Suspensão ou não reversão de pensão para filha solteira</t>
  </si>
  <si>
    <t>Informações sobre inscrição para estágio na Riotur</t>
  </si>
  <si>
    <t>Acho interessante devido a relevância do assunto, mas temo ser o único script do tema para mantermos.</t>
  </si>
  <si>
    <t>Turismo</t>
  </si>
  <si>
    <t>Encerramento de folha de pagamento do servidor público ativo</t>
  </si>
  <si>
    <t>Naves do Conhecimento</t>
  </si>
  <si>
    <t>Secretaria Municipal de Ciência, Tecnologia e Inovação</t>
  </si>
  <si>
    <t>Cadastro para acesso às Cozinhas Comunitárias</t>
  </si>
  <si>
    <t>Informações sobre Restaurantes Populares</t>
  </si>
  <si>
    <t>Busca e cadastramento de prestadores de serviço para produção audiovisual - Rio Film Commission</t>
  </si>
  <si>
    <t>Informações sobre a MultiRio</t>
  </si>
  <si>
    <t>Já existe outro "Informações sobre os produtos e projetos da MultiRio"</t>
  </si>
  <si>
    <t>MULTIRIO - Empresa Municipal de Multimeios Ltda.</t>
  </si>
  <si>
    <t>MultiRio</t>
  </si>
  <si>
    <t>Licenciamento de obra para atendimento ao consumidor em vias públicas</t>
  </si>
  <si>
    <t>Instalação de temporizador de iluminação pública</t>
  </si>
  <si>
    <t>"A solicitação deve ser acompanhada de um abaixo-assinado"</t>
  </si>
  <si>
    <t>Informações sobre Cartilha de Educação Animal</t>
  </si>
  <si>
    <t>Abertura de termo para transporte fretamento - Turismo / Eventos</t>
  </si>
  <si>
    <t>Termo Municipal de Encerramento (TME)</t>
  </si>
  <si>
    <t>Nota Carioca – Base de Cálculo: Deduções</t>
  </si>
  <si>
    <t>Autorização para Manejo de Fauna (AMF)</t>
  </si>
  <si>
    <t>Informações sobre Educação Ambiental no município do Rio de Janeiro</t>
  </si>
  <si>
    <t>Inscrição em Programa de Tratamento Antitabagismo</t>
  </si>
  <si>
    <t>Procuradoria Administrativa – PADM</t>
  </si>
  <si>
    <t>É informativo - Procuradoria da Prefeitura</t>
  </si>
  <si>
    <t>Informações sobre posicionamento por tempo de serviço</t>
  </si>
  <si>
    <t>Postos de Informações Turísticas da RIOTUR</t>
  </si>
  <si>
    <t>Informações sobre o Programa Documenta Rio</t>
  </si>
  <si>
    <t>Cartão de Estacionamento para prestadores de serviços de utilidade pública</t>
  </si>
  <si>
    <t>Inclusão de Auxiliar - Transporte Complementar</t>
  </si>
  <si>
    <t>Informações sobre Isenção / Imunidade / Não incidência no ISS</t>
  </si>
  <si>
    <t>Solicitação de desinterdição em serviços de saúde, embelezamento e atividades físicas</t>
  </si>
  <si>
    <t>Processo de Desapropriação</t>
  </si>
  <si>
    <t>Proteção de bens culturais de natureza material e imaterial</t>
  </si>
  <si>
    <t>Pagamento do financiamento imobiliário do Previ-Rio – 2ª via de boleto bancário</t>
  </si>
  <si>
    <t>Carteira de Projetos Urbanísticos Estruturantes da SMDU/SUBPU</t>
  </si>
  <si>
    <t>Baixo volume</t>
  </si>
  <si>
    <t>Patrimônio – Parcelamento de débitos pelo uso de imóvel público do patrimônio municipal</t>
  </si>
  <si>
    <t>Verificação de desrespeito à gratuidade</t>
  </si>
  <si>
    <t>Verificação de ocorrências no BRT</t>
  </si>
  <si>
    <t>ISS – Impugnação ao Termo de Exclusão do Simples Nacional</t>
  </si>
  <si>
    <t>Constituição de Pessoa Jurídica para atividade dispensada de alvará de licença de estabelecimento</t>
  </si>
  <si>
    <t>Requerimento para aprovação de projeto técnico de pavimentação</t>
  </si>
  <si>
    <t>Atualização cadastral - Transporte Complementar</t>
  </si>
  <si>
    <t>TAXI.RIO Cidades - Informações sobre objeto perdido e verificação de irregularidades em táxi</t>
  </si>
  <si>
    <t>Parcelamento em casos de posse em Dívida Ativa</t>
  </si>
  <si>
    <t>Notificação de casos de intolerância religiosa</t>
  </si>
  <si>
    <t>Informações sobre o DATA.RIO</t>
  </si>
  <si>
    <t>Acesso a informações sobre a cedade</t>
  </si>
  <si>
    <t>Informação sobre autorização para funcionamento de cemitérios e serviços funerários</t>
  </si>
  <si>
    <t>Informações sobre emissão de licença para obras de contenção de encosta e de extração mineral</t>
  </si>
  <si>
    <t>Pontos de referência, garagens e áreas de uso comum</t>
  </si>
  <si>
    <t>É informativo - IPTU</t>
  </si>
  <si>
    <t>Fiscalização sanitária em criações de animais para fins comerciais</t>
  </si>
  <si>
    <t>Informações sobre Medicina Alternativa para servidores</t>
  </si>
  <si>
    <t>Optaria por colocar como informação interna dos órgãos no Nivel central, pois divulga telefone e é restrito a servidores e agendamento prévio. sUPRE A ausencia da intranet</t>
  </si>
  <si>
    <t>SERVIDOR CELETISTA – Atualização da carteira de trabalho do servidor celetista</t>
  </si>
  <si>
    <t>Informação individuais dos órgãos</t>
  </si>
  <si>
    <t>Informações sobre concurso de bandas especializadas em Carnaval</t>
  </si>
  <si>
    <t>Divulgações realizadas em DO</t>
  </si>
  <si>
    <t>Reativação de autorização de comércio ambulante</t>
  </si>
  <si>
    <t>Manutenção de obras de drenagem</t>
  </si>
  <si>
    <t>Informações sobre o Conselho Municipal de Defesa dos Direitos da Pessoa Idosa (COMDEPI-RIO)</t>
  </si>
  <si>
    <t>Autorização de início de obra de drenagem urbana - AIO</t>
  </si>
  <si>
    <t>Informações sobre desconto e isenção do imposto sindical</t>
  </si>
  <si>
    <t>Averbação de Licenças e Certidões (AVB)</t>
  </si>
  <si>
    <t>Informações sobre a participação da Defesa Civil em eventos</t>
  </si>
  <si>
    <t>Comunicação institucional</t>
  </si>
  <si>
    <t>Orientação para obter o Cartão Nacional SUS (CNS)</t>
  </si>
  <si>
    <t>Análise de criação, extinção ou alteração de linha de ônibus (SPPO)</t>
  </si>
  <si>
    <t>Vistoria em local com presença de insetos (mosquito, aranha e lacraia)</t>
  </si>
  <si>
    <t>Informações sobre Herança Jacente</t>
  </si>
  <si>
    <t>Informação sobre licenciamento de produtos da MultiRio</t>
  </si>
  <si>
    <t>Solicitação de</t>
  </si>
  <si>
    <t>Fiscalização de transporte de fretamento</t>
  </si>
  <si>
    <t>Fiscalização de bens adotados</t>
  </si>
  <si>
    <t>Transferência de matrícula por renúncia em Feiras Livres, Feiras Móveis, Feiras Especiais e  Feirartes</t>
  </si>
  <si>
    <t>Atendimento em Hospitais Gerais e Especializados</t>
  </si>
  <si>
    <t>Informações sobre acidentes com viaturas/equipamentos da Rioluz</t>
  </si>
  <si>
    <t>Encerramento de termo - Táxi/Mototáxi</t>
  </si>
  <si>
    <t>Informações sobre encerramento de folha de pagamento de servidor</t>
  </si>
  <si>
    <t>Arrematação em Dívida Ativa</t>
  </si>
  <si>
    <t>Infração ao Código Disciplinar de Transporte de Passageiros – Segunda Instância</t>
  </si>
  <si>
    <t>Agendamento, consulta e cancelamento de vistoria por permissão - Transporte Complementar</t>
  </si>
  <si>
    <t>Informações sobre empréstimo de livros nas bibliotecas populares</t>
  </si>
  <si>
    <t>Informações sobre apoio indireto (ISS - Lei de Incentivo à Cultura)</t>
  </si>
  <si>
    <t>Fiscalização de pesca predatória</t>
  </si>
  <si>
    <t>Informações sobre trabalho ou estágio na MultiRio</t>
  </si>
  <si>
    <t xml:space="preserve">acho que não faz sentido ficar. É política dos órgãos e muitos têm estágios. deve estar no site institucional </t>
  </si>
  <si>
    <t>Entrar em contato com ouvidoria para melhoria de script</t>
  </si>
  <si>
    <t>Retirada ou adequação de quebra-molas (após avaliação favorável da CET-RIO).</t>
  </si>
  <si>
    <t>ISS – Visto Fiscal/Inclusão Predial – Reenvio da Certidão de Visto Fiscal</t>
  </si>
  <si>
    <t>Fiscalização de transporte escolar</t>
  </si>
  <si>
    <t>ISS – Recurso especial</t>
  </si>
  <si>
    <t>Programa Rio Dignidade</t>
  </si>
  <si>
    <t>Mesmo serviço</t>
  </si>
  <si>
    <t>Juntada de documentos em Dívida Ativa</t>
  </si>
  <si>
    <t>Vistoria em imóvel apresentando trepidação</t>
  </si>
  <si>
    <t>Script fala que não atende emergência mas coloca prazo de atendimento de emergência</t>
  </si>
  <si>
    <t>Solicitação de autorização para do desfile de Blocos de Rua</t>
  </si>
  <si>
    <t>Licença Municipal de Recuperação e Operação (LMRO)</t>
  </si>
  <si>
    <t>Nota Carioca – Arquivos: envio em lote (notas convencionais recebidas) e importação</t>
  </si>
  <si>
    <t>Alteração de endereço para atividades dispensadas de alvará</t>
  </si>
  <si>
    <t>Informações sobre autorização para realização de pesquisa acadêmica</t>
  </si>
  <si>
    <t>Balcão de informações</t>
  </si>
  <si>
    <t>ISS – Incorporação de Empresas</t>
  </si>
  <si>
    <t>Licença Municipal Simplificada de Habitação (LSH)</t>
  </si>
  <si>
    <t>Emissão de TUAP para feirantes</t>
  </si>
  <si>
    <t>Informações sobre a vacina antirrábica em humanos</t>
  </si>
  <si>
    <t>Projeto de arborização para urbanização de endereço</t>
  </si>
  <si>
    <t>Fiscalização sanitária de fumo em mercados, supermercados e agroindústria</t>
  </si>
  <si>
    <t>Certificado de Adequação de Imóvel (CAI) em Unidades de Conservação Ambiental</t>
  </si>
  <si>
    <t>Fiscalização de ocupação por atividade irregular na natureza</t>
  </si>
  <si>
    <t>Infração ao Código Disciplinar de Transporte de Passageiros - Cancelamento (Primeira Instância)</t>
  </si>
  <si>
    <t>Fiscalização de obras em passarela, viaduto, ponte e túnel revestido</t>
  </si>
  <si>
    <t>Informações sobre o Terreirão do Samba</t>
  </si>
  <si>
    <t xml:space="preserve">juntar em um script sobre o carnal para levar pro institucional. Tem outro tb que complementa este sobre os grupos prata e bronze e de avaliação </t>
  </si>
  <si>
    <t>Baixa procura e a informação pode ser encontrada na íntegra dentro do site institucional.</t>
  </si>
  <si>
    <t>Informações sobre a Política Nacional Aldir Blanc (PNAB)</t>
  </si>
  <si>
    <t xml:space="preserve">acho que editais em geral poderiam estar no site institucional dos órgãos e não na carta de serviços </t>
  </si>
  <si>
    <t>Licenciamento Sacolão Volante</t>
  </si>
  <si>
    <t>Atendimento em Centro de Emergência Regional (CER)</t>
  </si>
  <si>
    <t>Autorização para cemitérios e crematórios particulares de animais</t>
  </si>
  <si>
    <t>Programa de visitas à CGM</t>
  </si>
  <si>
    <t>Vistoria em escavação ou aterro irregular</t>
  </si>
  <si>
    <t>Declaração de Conformidade Ambiental (DCA)</t>
  </si>
  <si>
    <t>Solicitação de desinterdição em estabelecimentos comerciais em geral</t>
  </si>
  <si>
    <t>ITBI – Petição para depósito administrativo do crédito tributário</t>
  </si>
  <si>
    <t>Situação de nota de débito na SMDU</t>
  </si>
  <si>
    <t>Informações sobre o monitoramento da qualidade do ar</t>
  </si>
  <si>
    <t>Prova de Vida - Feirantes, Expositores e Ambulantes em feiras</t>
  </si>
  <si>
    <t>Recurso de notificação de atividade econômica</t>
  </si>
  <si>
    <t>Me pareceu ser o mesmo conteúdo de "Recurso para auto de infração de atividade econômica"</t>
  </si>
  <si>
    <t>Emissão de segunda via do CIAT - Transporte Complementar</t>
  </si>
  <si>
    <t>Requerimento de fruição de valor de cargo de confiança</t>
  </si>
  <si>
    <t>Recurso de notificação e intimação emitidas pela Rio-Águas</t>
  </si>
  <si>
    <t>Responsabilidade tributária</t>
  </si>
  <si>
    <t>Acho que não deveria ficar, pois é informação sobre legislação. não faz sentido.</t>
  </si>
  <si>
    <t>Informações sobre o tratamento de dados pessoais pela Prefeitura do Rio de Janeiro</t>
  </si>
  <si>
    <t xml:space="preserve">Podemos ver com ana se não pode ficar apenas em ouvidoria e LAI. </t>
  </si>
  <si>
    <t xml:space="preserve">Portal da Prefeitura/ Podemos ver com ana se não pode ficar apenas em ouvidoria e LAI. </t>
  </si>
  <si>
    <t>Lei Geral de Proteção de Dados (LGPD)</t>
  </si>
  <si>
    <t>Informações</t>
  </si>
  <si>
    <t>Desfile Blocos de Embalo e Enredo</t>
  </si>
  <si>
    <t xml:space="preserve">colocar no script sobre carnaval </t>
  </si>
  <si>
    <t>Baixa procura e a informação pode ser encontrada na íntegra dentro do site institucional. Além de ser infromação sazonal.</t>
  </si>
  <si>
    <t>Informações sobre imposto sindical</t>
  </si>
  <si>
    <t>Informações sobre uso de espaços para projetos culturais</t>
  </si>
  <si>
    <t>Informações sobre compensação das emissões de gases do efeito estufa de obras (Resolução Conjunta nº 14/2009)</t>
  </si>
  <si>
    <t>Alteração do sentido de circulação de vias</t>
  </si>
  <si>
    <t>Criação de novas Feiras Livres, Feiras Móveis, Feiras Especiais e Feirartes</t>
  </si>
  <si>
    <t>Cadastro Nacional de Estabelecimento de Saúde</t>
  </si>
  <si>
    <t>Fiscalização sanitária de fumo em estabelecimentos fechados de alimento ou de ensino</t>
  </si>
  <si>
    <t>Fiscalização da manutenção da pavimentação de vias privatizadas – Linha Amarela</t>
  </si>
  <si>
    <t>Fiscalização</t>
  </si>
  <si>
    <t>Pesquisa ao acervo arqueológico do Laboratório Aberto de Arqueologia Urbana (LAAU)</t>
  </si>
  <si>
    <t>Relevância do assunto / Acesso à informação</t>
  </si>
  <si>
    <t>Consulta Prévia de Imóveis em Área de Entorno de Bens Tombados</t>
  </si>
  <si>
    <t>Incluir no script sobre consulta prévia em outros lugares?</t>
  </si>
  <si>
    <t>Fiscalização sanitária de fumo em estabelecimentos comerciais em geral</t>
  </si>
  <si>
    <t>Vistoria de Táxi - 1ª Autonomia, Inclusão e Permuta de Veículo e Vistoria Extra</t>
  </si>
  <si>
    <t>Informações sobre atendimento em Classe Domiciliar</t>
  </si>
  <si>
    <t>Informações sobre o Programa Territórios Sociais</t>
  </si>
  <si>
    <t>Consulta Prévia - Intervenções em espaços públicos protegidos pelo Patrimônio Cultural</t>
  </si>
  <si>
    <t>Concurso de Folião Original</t>
  </si>
  <si>
    <t>a informação fica no site de carnaval que terá uma única entrada na carta de serviços</t>
  </si>
  <si>
    <t>Levantamento de depósito em Dívida Ativa</t>
  </si>
  <si>
    <t>Atualização de dados cadastrais em Feiras Livres, Feiras Móveis, Feiras Especiais e  Feirartes</t>
  </si>
  <si>
    <t>Processo de fatura para fornecedor da Rio-Águas</t>
  </si>
  <si>
    <t>Inclusão e exclusão de substituto ou preposto em Feiras Livres, Feiras Móveis, Feiras Especiais e  Feirartes</t>
  </si>
  <si>
    <t>Exames laboratoriais para diagnóstico de Raiva animal</t>
  </si>
  <si>
    <t>Manutenção do túnel Marcelo Alencar (Mergulhão)</t>
  </si>
  <si>
    <t>Secretaria Municipal de Desenvolvimento Econômico</t>
  </si>
  <si>
    <t>Solicitação de rebaixamento de meio fio para acesso de veículos</t>
  </si>
  <si>
    <t>Emissão de segunda via de carteira e cartão em Feiras Livres, Feiras Móveis, Feiras Especiais e Feirartes</t>
  </si>
  <si>
    <t>Mesclar com o script de emissão de carteira/cartão em Feiras</t>
  </si>
  <si>
    <t>Sinalização gráfica horizontal viária</t>
  </si>
  <si>
    <t>Informações sobre as Casas da Juventude</t>
  </si>
  <si>
    <t>o script diz tudo sobre o serviço e ainda leva para o Oportunidades cariocas</t>
  </si>
  <si>
    <t>O script não diz qual serviço é prestado</t>
  </si>
  <si>
    <t>Secretaria Especial da Juventude Carioca</t>
  </si>
  <si>
    <t>Participa.Rio – População</t>
  </si>
  <si>
    <t>Consulta Prévia para imóveis em área do Sitio Paisagens Cariocas, bem como instalação de mobiliário e publicidade em áreas urbanas protegidas.</t>
  </si>
  <si>
    <t>Este serviço precisa ser totalmente revisto, mas ele é ums erviço de fato. Mos seu enfoque deveria ser "Consulta prévia para intervenções de áreas de preservação cultural"</t>
  </si>
  <si>
    <t>Muito específico e pouco demandado</t>
  </si>
  <si>
    <t>Projeto de arborização para loteamento</t>
  </si>
  <si>
    <t>Atendimento em Centros Especializados de Reabilitação</t>
  </si>
  <si>
    <t>Licença Ambiental Municipal Comunicada para obras públicas de infraestrutura (LAC)</t>
  </si>
  <si>
    <t>Certidão Municipal de Inexigibilidade de Licenciamento Ambiental para obras</t>
  </si>
  <si>
    <t>Informações sobre seguro contra danos físicos de imóvel financiado pelo Previ-Rio</t>
  </si>
  <si>
    <t>Solicitação de fiscalização de instalações de ar-condicionado central</t>
  </si>
  <si>
    <t>Valores pagos indevidamente ao Previ-Rio - Ressarcimento</t>
  </si>
  <si>
    <t>ISS – Recurso contra Declaração de Perempção</t>
  </si>
  <si>
    <t>TAXI.RIO Cidades - Solicitação de devolução de pagamento</t>
  </si>
  <si>
    <t>Acolhimento em Residência Inclusiva para pessoas com deficiência</t>
  </si>
  <si>
    <t>Desarquivamento em Dívida Ativa</t>
  </si>
  <si>
    <t>Manutenção de bicicletas do sistema Bike Rio</t>
  </si>
  <si>
    <t>Bicicletas</t>
  </si>
  <si>
    <t>Disponibilização do acervo da Biblioteca da PGM</t>
  </si>
  <si>
    <t>Este serviço deve ficar, mas precisa ter seu título e script revistos: "Biblioteca da Procuradoria Geral do Município"</t>
  </si>
  <si>
    <t>Consulta à Comissão de Integridade Pública</t>
  </si>
  <si>
    <t>Fiscalização de árvore plantada em local irregular</t>
  </si>
  <si>
    <t>Serviços de Iluminação na Transolímpica</t>
  </si>
  <si>
    <t>Fiscalização de plantio recente de árvore em vias públicas</t>
  </si>
  <si>
    <t>Instalação de publicidade, gradil e toldos em Imóveis protegidos</t>
  </si>
  <si>
    <t>Apesar da baixa procura, é um ponto importante</t>
  </si>
  <si>
    <t>Informações sobre monumentos e chafarizes</t>
  </si>
  <si>
    <t>Informações enciclopédicas</t>
  </si>
  <si>
    <t>Notificação de irregularidades em contratos de empresas terceirizadas da Secretaria de Educação</t>
  </si>
  <si>
    <t>Apoio à produções audiovisuais - Rio Film Commission</t>
  </si>
  <si>
    <t>Apesar da baixa procura, acredito ser importante devido ao conteúdo</t>
  </si>
  <si>
    <t>Participa.Rio – Gestores da Prefeitura</t>
  </si>
  <si>
    <t>Solicitação de fiscalização de instalações de exaustão mecânica de cozinha industrial</t>
  </si>
  <si>
    <t>Reparo de píer de madeira</t>
  </si>
  <si>
    <t>Colocação de mesas e cadeiras em Área de Proteção do Ambiente Cultural (APAC) ou em Áreas de Entorno de Bem Tombado (AEBT)</t>
  </si>
  <si>
    <t>Licença Municipal de Recuperação (LMR)</t>
  </si>
  <si>
    <t>Suspensão de cobrança em Dívida Ativa</t>
  </si>
  <si>
    <t>Afastamento por licença em Feiras Livres, Feiras Móveis, Feiras Especiais e Feirartes</t>
  </si>
  <si>
    <t>Vistoria de imóvel para emissão de laudo técnico de ausência de animais em demolições</t>
  </si>
  <si>
    <t>Solicitação de revisão do FGTS do servidor celetista</t>
  </si>
  <si>
    <t>Nota Carioca – Benefícios para pessoa jurídica: prestador e tomador de serviços</t>
  </si>
  <si>
    <t>Fiscalização de comércio ilegal de animais silvestres</t>
  </si>
  <si>
    <t>Licenciamento de reparos de emergência especiais em vias públicas</t>
  </si>
  <si>
    <t>Extinção de serviço de transporte de passageiros complementar comunitário (STPC)</t>
  </si>
  <si>
    <t>É informativo</t>
  </si>
  <si>
    <t>Pesquisa arqueológica nas obras de intervenção urbana</t>
  </si>
  <si>
    <t>informa e orienta sobre a obrigatoriedade em intervenções sinalizadas em processo de licenciamento de obra.  Não tem caminho para consulta de fato</t>
  </si>
  <si>
    <t>Baixa de Auxiliar - Transporte Complementar</t>
  </si>
  <si>
    <t>É informativo. Como proceder pra retirar o taxista auxiliar.</t>
  </si>
  <si>
    <t>Emissão da Certidão Municipal de Cumprimento de Condicionantes (CMCC)</t>
  </si>
  <si>
    <t>Solicitação de Certidão ...</t>
  </si>
  <si>
    <t>Necessário rever script. Não tem documentação necessária.</t>
  </si>
  <si>
    <t>Cartão de estacionamento para veículos prestadores de serviços de mobiliário urbano</t>
  </si>
  <si>
    <t xml:space="preserve">Autorização de estacionamento </t>
  </si>
  <si>
    <t>Planta de Demarcação Faixa Non Aedificandi (FNA) ou Faixa Marginal de Proteção (FMP)</t>
  </si>
  <si>
    <t>Informações sobre Plano Diretor de Arborização Urbana</t>
  </si>
  <si>
    <t>Informação pouco acessada. Deveria ser pública</t>
  </si>
  <si>
    <t>Procuradoria de Serviços Públicos – PSE</t>
  </si>
  <si>
    <t>Baixa de matrícula em Feiras Livres, Feiras Móveis, Feiras Especiais e  Feirartes</t>
  </si>
  <si>
    <t>Informações sobre atendimento em Classe Hospitalar</t>
  </si>
  <si>
    <t>Revisão dos valores da declaração de rendimentos inativos e pensionistas – DIRF</t>
  </si>
  <si>
    <t>Vistoria em rolamento de pedra</t>
  </si>
  <si>
    <t>Campanha/como o órgão atua</t>
  </si>
  <si>
    <t>Análise de alteração de linha de STPL</t>
  </si>
  <si>
    <t>Informações técnicas sobre obras, projetos e instrução processual</t>
  </si>
  <si>
    <t>Pouco solicitado. Consulta sobre</t>
  </si>
  <si>
    <t>Informações sobre continuidade de pensão “post mortem”</t>
  </si>
  <si>
    <t>Cidade das Artes - Solicitação de pauta para espetáculos, shows e eventos</t>
  </si>
  <si>
    <t>Fundação Cidade das Artes</t>
  </si>
  <si>
    <t>Solicitação de Licença médica por acidente de trabalho para servidores municipais</t>
  </si>
  <si>
    <t>Ressarcimento de saldo remanescente de arrematação de veículo leiloado</t>
  </si>
  <si>
    <t>Informações sobre o Programa Ações Locais</t>
  </si>
  <si>
    <t>Notificação de irregularidades em contratos de empresas terceirizadas da COMLURB</t>
  </si>
  <si>
    <t>Cartão de estacionamento para veículos de imprensa</t>
  </si>
  <si>
    <t>Fiscalização do uso de fumo em estabelecimentos de saúde, estética e atividade física</t>
  </si>
  <si>
    <t>Serviço fiscalizador</t>
  </si>
  <si>
    <t>Suporte técnico à plataforma MultiRio</t>
  </si>
  <si>
    <t xml:space="preserve">Precisa melhorar o script. Está muito repetitivo </t>
  </si>
  <si>
    <t>Informações sobre o Programa de Saúde Vocal do Professor</t>
  </si>
  <si>
    <t>Verificar se ainda é um serviço ativo na SME</t>
  </si>
  <si>
    <t>Informações sobre benefícios para moradores de imóveis interditados pela Defesa Civil</t>
  </si>
  <si>
    <t>Informações sobre aumento da tarifa modal</t>
  </si>
  <si>
    <t>Serviço informativo e sazonal. Ouvidoria (temas gerais)</t>
  </si>
  <si>
    <t>Consulta de multas por permissão - Transporte Complementar</t>
  </si>
  <si>
    <t>Notificação de irregularidades em contratos de empresas terceirizadas da Secretaria da Pessoa com Deficiência</t>
  </si>
  <si>
    <t>Programa Jovens Cientistas Cariocas 2026</t>
  </si>
  <si>
    <t>Recurso de edital de atividade econômica</t>
  </si>
  <si>
    <t>Informações sobre limites de áreas protegidas</t>
  </si>
  <si>
    <t>Informação de como solicitar. è encaminhado para o Data.rio</t>
  </si>
  <si>
    <t>Informações sobre desfiles das Escolas de Samba no Sambódromo</t>
  </si>
  <si>
    <t>Informação sazonal e divulgada em página institucional</t>
  </si>
  <si>
    <t>Declaração de possibilidade de esgotamento pluvial (DPEP)</t>
  </si>
  <si>
    <t>Informações sobre abertura de processos de Licenciamento Ambiental Municipal e legislações pertinentes</t>
  </si>
  <si>
    <t>Só informa a existência de outros artigos de licenciamento ambiental. Pode até virar hub.</t>
  </si>
  <si>
    <t>Fiscalização sanitária em agroindústrias e cervejas artesanais</t>
  </si>
  <si>
    <t>Encerramento de termo dos Modais de Transporte</t>
  </si>
  <si>
    <t>Solicitação de desinterdição em mercados, supermercados e agroindústria</t>
  </si>
  <si>
    <t>Serviço pouco demandado.  Pode ser agregado ao "Solicitação de desinterdição em estabelecimentos comerciais em geral!"</t>
  </si>
  <si>
    <t>ISS - Informações sobre desconto/parcelamento para empresas no entorno da Avenida Brasil</t>
  </si>
  <si>
    <t>Relação de autorizações de remoção de vegetação emitidas</t>
  </si>
  <si>
    <t>Transparência ativa. Institucional</t>
  </si>
  <si>
    <t>Abono de faltas em Feiras Livres, Feiras Móveis, Feiras Especiais, Antiquários e Feirartes</t>
  </si>
  <si>
    <t>Autorização para instalação de paraciclos em local público</t>
  </si>
  <si>
    <t xml:space="preserve">É uma solicitação de serviço - Informações </t>
  </si>
  <si>
    <t>Declaração de Cota de Infradorso</t>
  </si>
  <si>
    <t>Serviço pouco claro, técnico e pouco demandado</t>
  </si>
  <si>
    <t>Informações sobre controle de queimadas - Incêndio florestal</t>
  </si>
  <si>
    <t xml:space="preserve">Serviço totalmente equivocado. Diz que é informação no título e no script fala que é serviço e que pode ser solicitado, mas não testá aberto pra solicitação </t>
  </si>
  <si>
    <t>Não é solicitável. Só nos Bombeiros</t>
  </si>
  <si>
    <t>Fiscalização de queimadas</t>
  </si>
  <si>
    <t>Certidão de tempo de serviço em Feiras Livres, Feiras Móveis, Feiras Especiais e  Feirartes</t>
  </si>
  <si>
    <t>Consulta prévia - Rio-Águas</t>
  </si>
  <si>
    <t>Verificação de ocorrências nas bilheterias do BRT</t>
  </si>
  <si>
    <t>Informações sobre desmatamento no Parque Nacional da Tijuca</t>
  </si>
  <si>
    <t>Não é solicitável. Direciona para a administração do Parque</t>
  </si>
  <si>
    <t>Selo Amigo dos Animais</t>
  </si>
  <si>
    <t>Peticionamento</t>
  </si>
  <si>
    <t>Notificação de irregularidades em contratos de empresas terceirizadas da CET-Rio</t>
  </si>
  <si>
    <t>Notificação de irregularidades em contratos de empresas terceirizadas da Secretaria de Assistência Social</t>
  </si>
  <si>
    <t>Restabelecimento de matrícula em Feiras Livres, Feiras Móveis, Feiras Especiais, Antiquários e Feirartes</t>
  </si>
  <si>
    <t>Análise de projeto arquitetônico e pronunciamento, de acordo com a arquitetura e/ou geometria do terreno</t>
  </si>
  <si>
    <t>Fiscalização de retirada e comércio ilegal de plantas nativas</t>
  </si>
  <si>
    <t>Pouco demandado</t>
  </si>
  <si>
    <t>Abertura de termo para Serviço de Transporte de Passageiros Complementar Comunitário (STPC)</t>
  </si>
  <si>
    <t>Informações e procedimentos para o transporte "cabritinho"</t>
  </si>
  <si>
    <t>Aumento de feira em Feiras Livres e Feiras Móveis</t>
  </si>
  <si>
    <t>Licença Municipal de Recuperação e Instalação (LMRI)</t>
  </si>
  <si>
    <t>Certidão de vinculação de imóvel com unidade de conservação da natureza</t>
  </si>
  <si>
    <t>Autorização para plantio voluntário de árvore em área pública</t>
  </si>
  <si>
    <t>Fiscalização de projetos e obras executados pela RIO-URBE em unidades municipais</t>
  </si>
  <si>
    <t>Subtipo interno</t>
  </si>
  <si>
    <t>Capacitação em boas práticas e normas sanitárias para serviços veterinários e de interesse à saúde do animal</t>
  </si>
  <si>
    <t>Capacitação  - Decreto Rio nº 57.501, de 30 de janeiro de 2026</t>
  </si>
  <si>
    <t>Emissão de segunda via do Certificado de Vistoria - Transporte Complementar</t>
  </si>
  <si>
    <t>Projeto de arborização para enriquecimento florístico</t>
  </si>
  <si>
    <t>Transferência de feira em Feiras Livres, Feiras Móveis e Feirartes</t>
  </si>
  <si>
    <t>Informações sobre atendimentos pela Assistência Social em situações de desastres</t>
  </si>
  <si>
    <t>O atendimento da SMAS é acionado após a avaliação de risco pela Defesa Civil,</t>
  </si>
  <si>
    <t>Solicitação de alteração de ponto final de ônibus</t>
  </si>
  <si>
    <t>Notificação de irregularidades em contratos de empresas terceirizadas da Secretaria de Ordem Pública</t>
  </si>
  <si>
    <t>Notificação de irregularidades em contratos de empresas terceirizadas da Secretaria de Transportes</t>
  </si>
  <si>
    <t>Infração ao Código Disciplinar de Transporte de Passageiros – Baixa de recurso</t>
  </si>
  <si>
    <t>Emissão de taxas por permissão - Transporte Complementar</t>
  </si>
  <si>
    <t>Pagamento de DARM para o serviço</t>
  </si>
  <si>
    <t>Informações sobre o Calendário Oficial de Eventos da Cidade - Rio o Ano Inteiro</t>
  </si>
  <si>
    <t>Informações podem ser consultadas diretamente na página institucional (o script faz esse direcionamento)</t>
  </si>
  <si>
    <t>Funcionamento extraordinário ou em datas especiais em Feiras Livres, Feiras Móveis, Feiras Especiais e Feirartes</t>
  </si>
  <si>
    <t>Serviço de tradução e interpretação em Libras da Central Carioca de Intérpretes de Libras (CCIL)</t>
  </si>
  <si>
    <t>Programa Empreenda.Rio</t>
  </si>
  <si>
    <t>Ingresso ou baixa em Cooperativa - Transporte Complementar</t>
  </si>
  <si>
    <t>Notificação de irregularidades em contratos de empresas terceirizadas da Fundação Parques e Jardins</t>
  </si>
  <si>
    <t>Solicitação de mudança na localização de poste na calçada</t>
  </si>
  <si>
    <t>Vistoria extra para segunda via de selo - Transporte Complementar</t>
  </si>
  <si>
    <t>Certificado de isenção da Aceitação das Condições de Acessibilidade</t>
  </si>
  <si>
    <t>Notificação de irregularidades em contratos de empresas terceirizadas da Rio-Águas</t>
  </si>
  <si>
    <t>Baixa de permissão em Feiras Livres e Feiras Móveis</t>
  </si>
  <si>
    <t>Informações sobre incêndio no Parque Nacional da Tijuca</t>
  </si>
  <si>
    <t>Não é solicitável</t>
  </si>
  <si>
    <t>Licença de obra de instalação de suporte ETR's</t>
  </si>
  <si>
    <t>Verificar a possibilidade de conversar com Licença de obras</t>
  </si>
  <si>
    <t>Solicitação de desinterdição em serviços veterinários e de interesse à saúde do animal</t>
  </si>
  <si>
    <t>Encerramento de contrato de trabalho para servidor celetista</t>
  </si>
  <si>
    <t>Serviço informativo para servidores celetistas que irão se aposentar</t>
  </si>
  <si>
    <t>Autorização para ligação de efluentes sanitários</t>
  </si>
  <si>
    <t>Consulta a processos na Secretaria Municipal de Cultura</t>
  </si>
  <si>
    <t>Informações sobre concurso para eleição da Corte Real do Carnaval</t>
  </si>
  <si>
    <t>Realização de necropsia em animais de médio e pequeno porte</t>
  </si>
  <si>
    <t>Serviço antigo que se refere a exames verterinários</t>
  </si>
  <si>
    <t>Notificação de irregularidades em contratos de empresas terceirizadas da Procuradoria Geral do Município</t>
  </si>
  <si>
    <t>Informações sobre o BioParque do Rio</t>
  </si>
  <si>
    <t>Fundação Jardim Zoológico da Cidade do Rio de Janeiro</t>
  </si>
  <si>
    <t>Licença para desmonte de rocha ou estabilização de encosta</t>
  </si>
  <si>
    <t>Cumprimento de exigências do Corpo de Bombeiros, Light e CEG em Imóveis protegidos</t>
  </si>
  <si>
    <t>Informações sobre patrocínio em eventos esportivos</t>
  </si>
  <si>
    <t>Programa de Dispensação de Tecnologia Assistiva da SMS (OPM's)</t>
  </si>
  <si>
    <t>Informações sobre Programa Academia Carioca da Saúde</t>
  </si>
  <si>
    <t>Notificação de irregularidades em contratos de empresas terceirizadas do Riocentro</t>
  </si>
  <si>
    <t>Agendamento de vistoria por permissão em táxi</t>
  </si>
  <si>
    <t>verificar os acessos em - Realização, Consulta e Cancelamento de Agendamento de Vistoria por Permissão em Taxi - Pois parece ser o mesmo serviço e o informado não tem no carioca digital com esse titulo. Substituir "por permição" se possível. Atualizar script no Carioca e nome (no pref e Carioca). o MESMO para serviços semelhantes</t>
  </si>
  <si>
    <t>Inclusão e exclusão de técnica artística ou produto em Feirartes</t>
  </si>
  <si>
    <t>Inscrição de chapa de eleição para Comissão de Administração de Feirartes e representantes de Feiras de Ambulantes</t>
  </si>
  <si>
    <t>Notificação de irregularidades em contratos de empresas terceirizadas da Guarda Municipal</t>
  </si>
  <si>
    <t>Informações sobre ações para reassentamento</t>
  </si>
  <si>
    <t>Script confuso</t>
  </si>
  <si>
    <t>Informações sobre custeio em projetos esportivos</t>
  </si>
  <si>
    <t>Notificação de irregularidades em contratos de empresas terceirizadas da Secretaria de Infraestrutura</t>
  </si>
  <si>
    <t>Notificação de irregularidades em contratos de empresas terceirizadas da Controladoria Geral do Município</t>
  </si>
  <si>
    <t>Notificação de irregularidades em contratos de empresas terceirizadas da Fundação Cidade das Artes</t>
  </si>
  <si>
    <t>Licenciamento de movimento de material terroso para fins de recuperação de áreas degradas por terraplanagem</t>
  </si>
  <si>
    <t>Notificação de irregularidades em contratos de empresas terceirizadas da Companhia Municipal de Transportes Coletivos</t>
  </si>
  <si>
    <t>Declaração de cota de greide</t>
  </si>
  <si>
    <t>Notificação de irregularidades em contratos de empresas terceirizadas da RioFilme</t>
  </si>
  <si>
    <t>Notificação de irregularidades em contratos de empresas terceirizadas da Secretaria Municipal de Desenvolvimento Urbano e Licenciamento</t>
  </si>
  <si>
    <t>Fiscalização de caça e/ou captura de animais silvestres</t>
  </si>
  <si>
    <t>Cadastramento de cotista para pensão alimentícia paga por servidor municipal</t>
  </si>
  <si>
    <t>É informativo.</t>
  </si>
  <si>
    <t>Fiscalização de danos à arborização urbana</t>
  </si>
  <si>
    <t>Declaração de isenção de reservatório de retardo</t>
  </si>
  <si>
    <t>Notificação de irregularidades em contratos de empresas terceirizadas da GEO-Rio</t>
  </si>
  <si>
    <t>Acompanhamento de processo na Coordenadoria de Feiras</t>
  </si>
  <si>
    <t>Informações sobre o Conselho Municipal de Política Cultural</t>
  </si>
  <si>
    <t>Notificação de irregularidades em contratos de empresas terceirizadas da Secretaria de Fazenda</t>
  </si>
  <si>
    <t>Consulta prévia para emissão de Relatório de Diretrizes Territoriais (RDT)</t>
  </si>
  <si>
    <t>Notificação de irregularidades em contratos de empresas terceirizadas da Secretaria de Conservação</t>
  </si>
  <si>
    <t>Solicitação de material de divulgação de informações turísticas</t>
  </si>
  <si>
    <t>Informações sobre eventos nas salas de exibição da RioFilme</t>
  </si>
  <si>
    <t>Notificação de irregularidades em contratos de empresas terceirizadas da Rio-Urbe</t>
  </si>
  <si>
    <t>Informações sobre o Programa de Fomento Cultural - Viva o Talento</t>
  </si>
  <si>
    <t>TAXI.RIO Cidades - Verificação de comportamento de taxistas contra usuários do aplicativo</t>
  </si>
  <si>
    <t>Vistoria para inclusão de veículo - Transporte Complementar</t>
  </si>
  <si>
    <t>Navezinhas Cariocas</t>
  </si>
  <si>
    <t>Informações sobre cursos oferecidos (direcionamento para o Oportunidades)</t>
  </si>
  <si>
    <t>Notificação de irregularidades em contratos de empresas terceirizadas da MultiRio</t>
  </si>
  <si>
    <t>Notificação de irregularidades em contratos de empresas terceirizadas da Secretaria de Desenvolvimento Econômico</t>
  </si>
  <si>
    <t>Notificação de irregularidades em contratos de empresas terceirizadas da Secretaria Especial de Inclusão</t>
  </si>
  <si>
    <t>Secretaria Especial de Inclusão</t>
  </si>
  <si>
    <t>Notificação de irregularidades em contratos de empresas terceirizadas da Secretaria de Políticas para Mulheres e Cuidados</t>
  </si>
  <si>
    <t>Requerimento de aprovação de projeto geométrico viário</t>
  </si>
  <si>
    <t>Obras</t>
  </si>
  <si>
    <t>Licenciamento</t>
  </si>
  <si>
    <t>Notificação de irregularidades em contratos de empresas terceirizadas da Secretaria de Ciência, Tecnologia e Inovação</t>
  </si>
  <si>
    <t>Informações sobre a Procuradoria de Pessoal – PPE</t>
  </si>
  <si>
    <t>Processos judiciais do Municipio/ Servidor</t>
  </si>
  <si>
    <t>Notificação de irregularidades em contratos de empresas terceirizadas da Previ-Rio</t>
  </si>
  <si>
    <t>Notificação de irregularidades em contratos de empresas terceirizadas da Secretaria da Juventude Carioca</t>
  </si>
  <si>
    <t>Notificação de irregularidades em contratos de empresas terceirizadas da Secretaria de Integração Metropolitana</t>
  </si>
  <si>
    <t>Recurso de Auto de Infração emitido pela Rio-Águas</t>
  </si>
  <si>
    <t>Solicitação de certidão de existência de iluminação pública</t>
  </si>
  <si>
    <t>Muito pouco demandado</t>
  </si>
  <si>
    <t>Gerenciamento de operações dentro das Unidades de Conservação e áreas protegidas</t>
  </si>
  <si>
    <t>Informações turísticas sobre a cidade</t>
  </si>
  <si>
    <t>Notificação de irregularidades em contratos de empresas terceirizadas da Secretaria Municipal de Governo</t>
  </si>
  <si>
    <t>Solicitação de atestado de capacidade técnica Rioluz</t>
  </si>
  <si>
    <t>Solicitação de projetores, chaves de alimentação e desligamento de iluminação para eventos e filmagens em áreas públicas</t>
  </si>
  <si>
    <t>Informações sobre o projeto Coral Atrás da Nota</t>
  </si>
  <si>
    <t>Informações sobre o uso de canudos de papel biodegradável e/ou reciclável</t>
  </si>
  <si>
    <t>Não teve acesso. Foi criado em 2022 por conta da lei do canudo de papel. Babi alinhará com Aline. Há histórico sobre este tema.</t>
  </si>
  <si>
    <t>Informações sobre a RioFilme</t>
  </si>
  <si>
    <t>Informações que devem estar em site institucional</t>
  </si>
  <si>
    <t>Informações sobre consulta técnica sobre drenagem - Audiência com o engenheiro</t>
  </si>
  <si>
    <t>Naves Satélites</t>
  </si>
  <si>
    <t>Prorrogação do prazo de vistoria - Transporte Complementar</t>
  </si>
  <si>
    <t>Fiscalização de obras de drenagem sem autorização</t>
  </si>
  <si>
    <t>Solicitação de Certidão de Inteiro Teor (CIT) da Vigilância Sanitária</t>
  </si>
  <si>
    <t>Análise de criação, ajuste de itinerário ou perímetro do transporte comunitário</t>
  </si>
  <si>
    <t>Informações e procedimentos para o transporte "cabritinho". Atualizar script e nome (Pref e Carioca).</t>
  </si>
  <si>
    <t>Informações sobre a mostra de Artesanato "Feira do Servidor"</t>
  </si>
  <si>
    <t>Solicitação de atestado de fornecimento de material à Rioluz</t>
  </si>
  <si>
    <t>Informações sobre o monitoramento do nível da Lagoa Rodrigo de Freitas</t>
  </si>
  <si>
    <t>Solicitação de uso da logomarca da Secretaria Municipal de Cultura</t>
  </si>
  <si>
    <t>Informações sobre a Procuradoria Trabalhista (PTA)</t>
  </si>
  <si>
    <t>Não é solicitável / Institucional</t>
  </si>
  <si>
    <t>Requerimento de aprovação de Projeto Estrutural de Obras de Arte Especiais</t>
  </si>
  <si>
    <t>Análise e concessão do benefício de gratuidade no transporte público municipal para não munícipes - Passe Livre Especial</t>
  </si>
  <si>
    <t>Passe Livre / Informações sobre a Central de atendimento do passe livre</t>
  </si>
  <si>
    <t>Análise, orientação ou fiscalização de animais comunitários</t>
  </si>
  <si>
    <t>Foi criado no Pref</t>
  </si>
  <si>
    <t>PREFRIO</t>
  </si>
  <si>
    <t>Atendimento em Centros Especializados de Reabilitação Auditiva - EXCLUIR</t>
  </si>
  <si>
    <t>Atendimento Integral à Saúde do Adulto (Homem, Mulher e Pessoa Idosa)</t>
  </si>
  <si>
    <t>Nome diferente no carioca e 1746: Atendimento à Saúde do Adulto (Homem, Mulher e Pessoa Idosa)</t>
  </si>
  <si>
    <t>Autorização para Cooperativa e Associação de Táxi/Mototáxi - Abertura de Termo</t>
  </si>
  <si>
    <t>Sugiro a retirada de Mototáxi</t>
  </si>
  <si>
    <t>Cadastro de veterinários na plataforma do registro geral de animais – Sisbicho</t>
  </si>
  <si>
    <t>Cartão de Identificação de Auxiliar de Transportes - CIAT</t>
  </si>
  <si>
    <t>Cartão de identificação</t>
  </si>
  <si>
    <t>impressao do cartao de identificacao de auxiliar de transporte - ciat</t>
  </si>
  <si>
    <t>Como andar pelo Rio usando transporte público</t>
  </si>
  <si>
    <t>Não fica</t>
  </si>
  <si>
    <t>Mobilidade Urbana</t>
  </si>
  <si>
    <t>Consulta de Processos Administrativos</t>
  </si>
  <si>
    <t>consulta de processos administrativos eletronicos</t>
  </si>
  <si>
    <t>Emissão de guia de liquidação de parcelamento de Dívida Ativa</t>
  </si>
  <si>
    <t>emissao guia de liquidacao de parcelamento</t>
  </si>
  <si>
    <t>EXCLUIR - Patrimônio – Solicitação de instalação e manutenção de abrigo em ponto de ônibus</t>
  </si>
  <si>
    <t>Fiscalização de caçamba particular, empresas e autônomos não credenciados, veículos não permitidos e fora do padrão</t>
  </si>
  <si>
    <t>Fiscalização de Caçamba Particular – Empresas/Autônomos Não Credenciados, Veículos Não Permitidos e Fora do Padrão</t>
  </si>
  <si>
    <t>Fiscalização sanitária de serviços veterinários e de interesse à saúde do animal</t>
  </si>
  <si>
    <t>Inclusão de aluno para acompanhamento escolar</t>
  </si>
  <si>
    <t>Incluir Aluno para acompanhamento escolar</t>
  </si>
  <si>
    <t>Informações sobre a Procuradoria de Atenção à Saúde (PAS)</t>
  </si>
  <si>
    <t>Serviço não localizado</t>
  </si>
  <si>
    <t>Procuradoria de Atenção à Saúde – PAS</t>
  </si>
  <si>
    <t>Informações sobre a Procuradoria de Urbanismo e Meio Ambiente</t>
  </si>
  <si>
    <t>informacoes sobre a procuradoria de urbanismo e meio ambiente - puma</t>
  </si>
  <si>
    <t>Informações sobre a Procuradoria Tributária (PTR)</t>
  </si>
  <si>
    <t>Somente autarquias podem dar entrada nos processos. Serviço interno da adm pública. Não solicitável via Carioca/</t>
  </si>
  <si>
    <t>informacoes sobre a procuradoria tributaria - ptr</t>
  </si>
  <si>
    <t>Informações sobre Bailes Populares e Baile da Cinelândia</t>
  </si>
  <si>
    <t>bailes populares e baile da cinelandia</t>
  </si>
  <si>
    <t>Informações sobre concessão de autorização de matrícula nova em Feirartes</t>
  </si>
  <si>
    <t>informacoes sobre autorizacao (matricula nova) em feirartes</t>
  </si>
  <si>
    <t>Informações sobre juntada de documentos nos processos localizados na fiscalização ambiental</t>
  </si>
  <si>
    <t>juntada de documentos nos processos administrativos localizados no setor de fiscalizacao ambiental</t>
  </si>
  <si>
    <t>Informações sobre o Jaé</t>
  </si>
  <si>
    <t>informacoes sobre a jae</t>
  </si>
  <si>
    <t>Informações sobre o Programa de Controle da Hanseníase</t>
  </si>
  <si>
    <t>Verificar as informações no script - última atualização em 28/11/2022</t>
  </si>
  <si>
    <t xml:space="preserve">Informações sobre o Programa de Controle da Hanseníase (Lepra)
</t>
  </si>
  <si>
    <t>Informações sobre os produtos e projetos da MultiRio</t>
  </si>
  <si>
    <t>informacao sobre os produtos e projetos da multirio</t>
  </si>
  <si>
    <t>Restaurantes Populares</t>
  </si>
  <si>
    <t>Informações sobre transporte público</t>
  </si>
  <si>
    <t xml:space="preserve">informacao sobre valores dos servicos funerarios e recadastramento de jazigos
</t>
  </si>
  <si>
    <t>IPTU - Denúncia de imóvel não cadastrado no IPTU ou com dados incorretos</t>
  </si>
  <si>
    <t>Denúncia de imóvel não cadastrado no IPTU ou com dados incorretos</t>
  </si>
  <si>
    <t>IPTU – Informação sobre reconhecimento de imunidade, isenção e não incidência</t>
  </si>
  <si>
    <t xml:space="preserve">IPTU – Reconhecimento de Imunidade, Isenção e Não incidência
</t>
  </si>
  <si>
    <t>ISS - Baixa de autônomos estabelecidos - EXCLUIR</t>
  </si>
  <si>
    <t>ISS - Baixa para autônomos estabelecidos</t>
  </si>
  <si>
    <t xml:space="preserve">ISS – Baixa de autônomos estabelecidos
</t>
  </si>
  <si>
    <t>ISS - Cancelamento/Substituição de NF-e ou Declaração de serviços prestados/tomados.</t>
  </si>
  <si>
    <t>ISS – Cancelamento ou Substituição de Nota Fiscal Eletrônica / Nota Carioca - cancelamento e substituição de nota fiscal eletrônica</t>
  </si>
  <si>
    <t>ISS - Emissão certidões de situação fiscal de ISS de autônomos</t>
  </si>
  <si>
    <t>CRIAR NO CARIOCA</t>
  </si>
  <si>
    <t>ISS - Simples Nacional – Declaração Retida em Malha Fiscal PGDAS-D</t>
  </si>
  <si>
    <t xml:space="preserve">ISS – Simples Nacional – Liberação de Declaração Retida para Análise – Malha Fiscal PGDAS-D
</t>
  </si>
  <si>
    <t>ISS – Certidão de Situação Fiscal - ELIMINAR</t>
  </si>
  <si>
    <t>ISS – Parcelamento / Reparcelamento de débito não inscrito em dívida ativa</t>
  </si>
  <si>
    <t>ISS – Confissão de dívida, parcelamento e reparcelamento de débito não inscrito em dívida ativa / Confissão de dívida, parcelamento e reparcelamento de débito não inscrito em dívida ativa</t>
  </si>
  <si>
    <t>ISS – Requerimento para Apropriação de guias do ISS (exclusivo para código de receita 129.5)</t>
  </si>
  <si>
    <t xml:space="preserve">ISS – Apropriação de guia de pagamento (exceto código de receita 129-5)
</t>
  </si>
  <si>
    <t>ISS – Tributação de Sociedades Uniprofissionais</t>
  </si>
  <si>
    <t>Sociedades uniprofissionais / ISS – Tributação de Sociedades Uniprofissionais</t>
  </si>
  <si>
    <t>ITBI - Consulta de protocolo/guia</t>
  </si>
  <si>
    <t>ITBI – Consulta de protocolo / guia</t>
  </si>
  <si>
    <t>ITBI - Correção de dados da guia paga em folha suplementar</t>
  </si>
  <si>
    <t>ITBI – Correção de dados da guia paga (folha suplementar) / Correção de dados de uma guia de ITBI paga (folha suplementar)</t>
  </si>
  <si>
    <t>Licenciamento de instalações de ar-condicionado central e de exaustão de cozinha industrial</t>
  </si>
  <si>
    <t>Licenciamento de instalações de ar condicionado e de exaustão de cozinha industrial</t>
  </si>
  <si>
    <t>Manutenção/Instalação/Remoção de abrigo de ônibus com ou sem publicidade</t>
  </si>
  <si>
    <t>Patrimônio – Solicitação de instalação e manutenção de abrigo em ponto de ônibus / Manutenção e remoção de abrigo de ônibus com ou sem publicidade / Manutenção/Remoção de abrigo de ônibus com ou sem publicidade</t>
  </si>
  <si>
    <t>Nota Carioca - Consulta aos créditos e abatimento no IPTU</t>
  </si>
  <si>
    <t>Nota Carioca e abatimento no IPTU</t>
  </si>
  <si>
    <t>Nota Carioca - Desbloqueio de senha web</t>
  </si>
  <si>
    <t>ISS – Desbloqueio de senha web da Nota Carioca</t>
  </si>
  <si>
    <t>Nota Carioca - Esclarecimento de dúvidas e legislação</t>
  </si>
  <si>
    <t xml:space="preserve">ISS – Esclarecimento de dúvidas sobre Nota Carioca e/ou legislação
</t>
  </si>
  <si>
    <t>Notificação de irregularidades trabalhistas em contratos de empresas terceirizadas da Secretaria de Saúde</t>
  </si>
  <si>
    <t>Oportunidades Cariocas</t>
  </si>
  <si>
    <t>Projeto da Karen</t>
  </si>
  <si>
    <t>Programa Adote.Rio</t>
  </si>
  <si>
    <t xml:space="preserve">Adote Rio (Unidades de Conservação) </t>
  </si>
  <si>
    <t>Informações sobre o programa Adote.Rio</t>
  </si>
  <si>
    <t>Programa Adote Rio (Unidades de Conservação)</t>
  </si>
  <si>
    <t>Adote Rio (Unidades de Conservação)</t>
  </si>
  <si>
    <t>Projeto de greide e galeria de águas pluviais</t>
  </si>
  <si>
    <t>Questões com álcool e drogas</t>
  </si>
  <si>
    <t>N/A</t>
  </si>
  <si>
    <t>Secretaria Especial de Cidadania e Família</t>
  </si>
  <si>
    <t>Recurso ao auto de multa da Vigilância Sanitária</t>
  </si>
  <si>
    <t>Renovação da garantia contratual de vans (STPL)</t>
  </si>
  <si>
    <t>Renovação da garantia contratual de Vans</t>
  </si>
  <si>
    <t>Ressarcimento de taxas de diárias e remoção de veículo</t>
  </si>
  <si>
    <t xml:space="preserve">Ressarcimento de taxas de diárias e remoção de veículos
</t>
  </si>
  <si>
    <t>Solicitação de autorização para rebaixamento de meio-fio</t>
  </si>
  <si>
    <t>duplicado</t>
  </si>
  <si>
    <t>Informações sobre autorização para rebaixamento de meio-fio</t>
  </si>
  <si>
    <t>Solicitação de prorrogação de prazo do Termo de Intimação</t>
  </si>
  <si>
    <t>Solicitações de profissionais da imprensa para a Assessoria de Comunicação da Riotur</t>
  </si>
  <si>
    <t>Informação institucional</t>
  </si>
  <si>
    <t>Solicitação de profissionais da imprensa para a Assessoria de Comunicação da Riotur</t>
  </si>
  <si>
    <t>Vistoria para permuta de veículo - Transporte Complementar</t>
  </si>
  <si>
    <t>Informações sobre Vistoria para Permuta de Veículo dos Modais Escolar, Fretamento, STPL, STPC e TEC</t>
  </si>
  <si>
    <t>Vistoria técnica em local onde há maus tratos de animais domésticos</t>
  </si>
  <si>
    <t>ID Duplicado</t>
  </si>
  <si>
    <t>Informações sobre o Programa Auxílio Gás dos Brasileiros</t>
  </si>
  <si>
    <t>Informações sobre a Carteira da pessoa Idosa</t>
  </si>
  <si>
    <t>Informações sobre o projeto de empreendedorismo comunitário</t>
  </si>
  <si>
    <t>Análise Relevância</t>
  </si>
  <si>
    <t>De-Para</t>
  </si>
  <si>
    <t>(blank)</t>
  </si>
  <si>
    <t>Solicitação de orientações sobre o alvará pela internet</t>
  </si>
  <si>
    <t>Grand Total</t>
  </si>
  <si>
    <t>Agregar em outro serviço?</t>
  </si>
  <si>
    <t>Solicitável pelo Portal 1746</t>
  </si>
  <si>
    <t>Status</t>
  </si>
  <si>
    <t>Tarefa</t>
  </si>
  <si>
    <t xml:space="preserve">Passo 1- Analisar o que tem volume nos critérios. </t>
  </si>
  <si>
    <t>Passo 2- Subtipos sem chamados precisam ser revisados: Olhar o Portal, Carioca e Pref.  trazer o nome no Portal 1746 nos serviços solicitáveis que estão sem valor zero chamados. E os que estão com zero acesso ver nome no Carioca.</t>
  </si>
  <si>
    <t>Incluir campo para trazer o nome no Portal 1746 nos serviços solicitáveis que estão sem valor zero chamados. E os que estão com zero acesso ver nome no Carioca. Incluir campo solicitável.</t>
  </si>
  <si>
    <t>Fiscalização sanitária de serviços veterinários e de interesse à saúde do animal - Revisar script (aponta para o whatsapp)</t>
  </si>
  <si>
    <t>Alinhamento conceitual: Carta de Serviço deve incluir os serviços prestados pela Prefeitura. Sempre há entrega de um produto ou serviço que o cidadão pode receber de forma concreta.  Informações sobre como o órgão atua ou sobre programas e bens públicos, a priori não fazem parte da lista na Carta de Serviços, mas podem ser incluídas em artigos sobre os órgãos.</t>
  </si>
  <si>
    <t>Como andar pelo Rio usando transporte público - Verificar com a Jéssica/Egon</t>
  </si>
  <si>
    <t>Cadastro Moto.Rio - Peticionamento - Script desatualizado PRIORIDADE</t>
  </si>
  <si>
    <t>Olhar todos os serviços da PGM que são informações institucionais (como atuo)</t>
  </si>
  <si>
    <t>Cursos de Astronomia no Planetário do Rio - Verificar com a Presidente (Bruna) Oportunidades??</t>
  </si>
  <si>
    <t>Total COUNT of id_temp</t>
  </si>
  <si>
    <t>Total COUNT of id_temp2</t>
  </si>
  <si>
    <t>Responsável</t>
  </si>
  <si>
    <t>COUNT of id_temp</t>
  </si>
  <si>
    <t>COUNT of id_temp2</t>
  </si>
  <si>
    <t>Ana Flávia</t>
  </si>
  <si>
    <t>Bruno</t>
  </si>
  <si>
    <t>Egon</t>
  </si>
  <si>
    <t>José Maurício</t>
  </si>
  <si>
    <t>Início</t>
  </si>
  <si>
    <t>Entrega Prevista</t>
  </si>
  <si>
    <t>Prazo previsto (dias úteis)</t>
  </si>
  <si>
    <t>Hoje</t>
  </si>
  <si>
    <t>Executado</t>
  </si>
  <si>
    <t>Próxima Meta</t>
  </si>
  <si>
    <t>Faltam</t>
  </si>
  <si>
    <t>Data</t>
  </si>
  <si>
    <t>Meta</t>
  </si>
  <si>
    <t>Dias faltantes</t>
  </si>
  <si>
    <t>Total</t>
  </si>
  <si>
    <t>Volume total a</t>
  </si>
  <si>
    <t>SUM of Volume total a</t>
  </si>
  <si>
    <t>COUNT de id_temp</t>
  </si>
  <si>
    <t>COUNT de id_temp 2</t>
  </si>
  <si>
    <t>SUM de volume_total_ano</t>
  </si>
  <si>
    <t>SUM de volume_total_ano 2</t>
  </si>
  <si>
    <t>Total geral</t>
  </si>
  <si>
    <t>1065</t>
  </si>
  <si>
    <t>100.00%</t>
  </si>
  <si>
    <t>18747590</t>
  </si>
  <si>
    <t xml:space="preserve">Volume total chamados (SGRC) </t>
  </si>
  <si>
    <t>% Chamados SGRC</t>
  </si>
  <si>
    <t>Coluna 1</t>
  </si>
  <si>
    <t>SUM de Volume total a</t>
  </si>
  <si>
    <t>Consultar Declaração de Escolaridade</t>
  </si>
  <si>
    <t>Benefício de Prestação Continuada – BPC</t>
  </si>
  <si>
    <t>Atendimento em Centros Especializados de Reabilitação Auditiva</t>
  </si>
  <si>
    <t>Análise Quantitativa</t>
  </si>
  <si>
    <t>Observação Quantitativa</t>
  </si>
  <si>
    <t>90/10 Chamados e Acessos</t>
  </si>
  <si>
    <t>90/10 Acessos</t>
  </si>
  <si>
    <t>90/10 Chamados</t>
  </si>
  <si>
    <t>Média&gt;10</t>
  </si>
  <si>
    <t>Média &lt;=10</t>
  </si>
  <si>
    <t>Zero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</si>
</sst>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%"/>
    <numFmt numFmtId="181" formatCode="d/m/yyyy"/>
    <numFmt numFmtId="182" formatCode="d/m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sz val="10"/>
      <color rgb="FFFF0000"/>
      <name val="Calibri"/>
      <charset val="134"/>
    </font>
    <font>
      <strike/>
      <sz val="10"/>
      <color theme="1"/>
      <name val="Calibri"/>
      <charset val="134"/>
    </font>
    <font>
      <b/>
      <sz val="10"/>
      <color theme="1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3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2" applyNumberFormat="0" applyFill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34" applyNumberFormat="0" applyAlignment="0" applyProtection="0">
      <alignment vertical="center"/>
    </xf>
    <xf numFmtId="0" fontId="15" fillId="15" borderId="35" applyNumberFormat="0" applyAlignment="0" applyProtection="0">
      <alignment vertical="center"/>
    </xf>
    <xf numFmtId="0" fontId="16" fillId="15" borderId="34" applyNumberFormat="0" applyAlignment="0" applyProtection="0">
      <alignment vertical="center"/>
    </xf>
    <xf numFmtId="0" fontId="17" fillId="16" borderId="36" applyNumberFormat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87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/>
    </xf>
    <xf numFmtId="10" fontId="0" fillId="2" borderId="0" xfId="0" applyNumberFormat="1" applyFont="1" applyFill="1" applyAlignment="1">
      <alignment vertical="center"/>
    </xf>
    <xf numFmtId="180" fontId="0" fillId="2" borderId="0" xfId="0" applyNumberFormat="1" applyFont="1" applyFill="1" applyAlignment="1">
      <alignment vertical="center"/>
    </xf>
    <xf numFmtId="10" fontId="0" fillId="0" borderId="0" xfId="0" applyNumberFormat="1" applyFont="1" applyAlignment="1">
      <alignment vertical="center"/>
    </xf>
    <xf numFmtId="10" fontId="0" fillId="0" borderId="5" xfId="0" applyNumberFormat="1" applyFont="1" applyBorder="1" applyAlignment="1"/>
    <xf numFmtId="10" fontId="0" fillId="0" borderId="8" xfId="0" applyNumberFormat="1" applyFont="1" applyBorder="1" applyAlignment="1"/>
    <xf numFmtId="10" fontId="0" fillId="0" borderId="12" xfId="0" applyNumberFormat="1" applyFont="1" applyBorder="1" applyAlignment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 applyAlignment="1"/>
    <xf numFmtId="0" fontId="0" fillId="0" borderId="16" xfId="0" applyFont="1" applyBorder="1"/>
    <xf numFmtId="0" fontId="0" fillId="0" borderId="17" xfId="0" applyFont="1" applyBorder="1"/>
    <xf numFmtId="10" fontId="0" fillId="0" borderId="1" xfId="0" applyNumberFormat="1" applyFont="1" applyBorder="1" applyAlignment="1"/>
    <xf numFmtId="10" fontId="0" fillId="0" borderId="16" xfId="0" applyNumberFormat="1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0" xfId="0" applyFont="1" applyAlignment="1">
      <alignment horizontal="left"/>
    </xf>
    <xf numFmtId="10" fontId="0" fillId="0" borderId="7" xfId="0" applyNumberFormat="1" applyFont="1" applyBorder="1" applyAlignment="1"/>
    <xf numFmtId="0" fontId="0" fillId="0" borderId="16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10" fontId="0" fillId="0" borderId="9" xfId="0" applyNumberFormat="1" applyFont="1" applyBorder="1" applyAlignment="1"/>
    <xf numFmtId="10" fontId="0" fillId="0" borderId="20" xfId="0" applyNumberFormat="1" applyFont="1" applyBorder="1"/>
    <xf numFmtId="0" fontId="0" fillId="0" borderId="21" xfId="0" applyFont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58" fontId="1" fillId="0" borderId="24" xfId="0" applyNumberFormat="1" applyFont="1" applyBorder="1" applyAlignment="1">
      <alignment horizontal="center"/>
    </xf>
    <xf numFmtId="58" fontId="1" fillId="0" borderId="25" xfId="0" applyNumberFormat="1" applyFont="1" applyBorder="1" applyAlignment="1">
      <alignment horizontal="center"/>
    </xf>
    <xf numFmtId="3" fontId="1" fillId="0" borderId="24" xfId="0" applyNumberFormat="1" applyFont="1" applyBorder="1" applyAlignment="1">
      <alignment horizontal="center"/>
    </xf>
    <xf numFmtId="58" fontId="1" fillId="3" borderId="24" xfId="0" applyNumberFormat="1" applyFont="1" applyFill="1" applyBorder="1" applyAlignment="1">
      <alignment horizontal="center"/>
    </xf>
    <xf numFmtId="3" fontId="1" fillId="3" borderId="24" xfId="0" applyNumberFormat="1" applyFont="1" applyFill="1" applyBorder="1" applyAlignment="1">
      <alignment horizontal="center"/>
    </xf>
    <xf numFmtId="3" fontId="1" fillId="4" borderId="24" xfId="0" applyNumberFormat="1" applyFont="1" applyFill="1" applyBorder="1" applyAlignment="1">
      <alignment horizontal="center"/>
    </xf>
    <xf numFmtId="181" fontId="0" fillId="0" borderId="0" xfId="0" applyNumberFormat="1" applyFont="1" applyAlignment="1">
      <alignment horizontal="center"/>
    </xf>
    <xf numFmtId="0" fontId="0" fillId="0" borderId="26" xfId="0" applyFont="1" applyBorder="1" applyAlignment="1">
      <alignment horizontal="right"/>
    </xf>
    <xf numFmtId="0" fontId="0" fillId="0" borderId="26" xfId="0" applyFont="1" applyBorder="1" applyAlignment="1">
      <alignment horizontal="center"/>
    </xf>
    <xf numFmtId="0" fontId="0" fillId="0" borderId="26" xfId="0" applyFont="1" applyBorder="1" applyAlignment="1"/>
    <xf numFmtId="182" fontId="0" fillId="0" borderId="26" xfId="0" applyNumberFormat="1" applyFont="1" applyBorder="1" applyAlignment="1">
      <alignment horizontal="right"/>
    </xf>
    <xf numFmtId="1" fontId="0" fillId="0" borderId="26" xfId="0" applyNumberFormat="1" applyFont="1" applyBorder="1" applyAlignment="1">
      <alignment horizontal="center"/>
    </xf>
    <xf numFmtId="182" fontId="0" fillId="5" borderId="26" xfId="0" applyNumberFormat="1" applyFont="1" applyFill="1" applyBorder="1" applyAlignment="1">
      <alignment horizontal="right"/>
    </xf>
    <xf numFmtId="0" fontId="0" fillId="5" borderId="26" xfId="0" applyFont="1" applyFill="1" applyBorder="1"/>
    <xf numFmtId="1" fontId="0" fillId="5" borderId="26" xfId="0" applyNumberFormat="1" applyFont="1" applyFill="1" applyBorder="1" applyAlignment="1">
      <alignment horizontal="center"/>
    </xf>
    <xf numFmtId="0" fontId="0" fillId="5" borderId="26" xfId="0" applyFont="1" applyFill="1" applyBorder="1" applyAlignment="1">
      <alignment horizontal="center"/>
    </xf>
    <xf numFmtId="0" fontId="0" fillId="0" borderId="27" xfId="0" applyFont="1" applyBorder="1" applyAlignment="1"/>
    <xf numFmtId="10" fontId="0" fillId="0" borderId="27" xfId="0" applyNumberFormat="1" applyFont="1" applyBorder="1" applyAlignment="1"/>
    <xf numFmtId="10" fontId="0" fillId="0" borderId="28" xfId="0" applyNumberFormat="1" applyFont="1" applyBorder="1" applyAlignment="1"/>
    <xf numFmtId="10" fontId="0" fillId="0" borderId="29" xfId="0" applyNumberFormat="1" applyFont="1" applyBorder="1" applyAlignment="1"/>
    <xf numFmtId="0" fontId="2" fillId="6" borderId="26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 wrapText="1"/>
    </xf>
    <xf numFmtId="0" fontId="0" fillId="0" borderId="26" xfId="0" applyFont="1" applyBorder="1" applyAlignment="1">
      <alignment wrapText="1"/>
    </xf>
    <xf numFmtId="0" fontId="0" fillId="0" borderId="26" xfId="0" applyFont="1" applyBorder="1"/>
    <xf numFmtId="0" fontId="0" fillId="0" borderId="0" xfId="0" applyFont="1" applyAlignment="1">
      <alignment wrapText="1"/>
    </xf>
    <xf numFmtId="0" fontId="0" fillId="0" borderId="30" xfId="0" applyFont="1" applyBorder="1" applyAlignment="1"/>
    <xf numFmtId="0" fontId="3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8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9" borderId="0" xfId="0" applyFont="1" applyFill="1" applyAlignment="1">
      <alignment vertical="center" wrapText="1"/>
    </xf>
    <xf numFmtId="0" fontId="0" fillId="10" borderId="0" xfId="0" applyFont="1" applyFill="1" applyAlignment="1">
      <alignment vertical="center" wrapText="1"/>
    </xf>
    <xf numFmtId="0" fontId="0" fillId="8" borderId="0" xfId="0" applyFont="1" applyFill="1" applyAlignment="1">
      <alignment vertical="center" wrapText="1"/>
    </xf>
    <xf numFmtId="0" fontId="0" fillId="1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11" borderId="0" xfId="0" applyFont="1" applyFill="1" applyAlignment="1">
      <alignment vertical="center"/>
    </xf>
    <xf numFmtId="0" fontId="0" fillId="11" borderId="0" xfId="0" applyFont="1" applyFill="1" applyAlignment="1">
      <alignment vertical="center" wrapText="1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vertical="center" wrapText="1"/>
    </xf>
    <xf numFmtId="0" fontId="0" fillId="1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Tabela dinâmica 3-style" pivot="0" count="5" xr9:uid="{8D7CE1A3-A1F7-4368-BC30-23C9FA1C354E}">
      <tableStyleElement type="wholeTable" dxfId="18"/>
      <tableStyleElement type="headerRow" dxfId="17"/>
      <tableStyleElement type="totalRow" dxfId="16"/>
      <tableStyleElement type="firstRowStripe" dxfId="15"/>
      <tableStyleElement type="secondRowStripe" dxfId="14"/>
    </tableStyle>
    <tableStyle name="Tabela dinâmica 3-style 2" pivot="0" count="5" xr9:uid="{E576A1CF-AB8D-4ADE-9FD3-861048A1835C}">
      <tableStyleElement type="wholeTable" dxfId="23"/>
      <tableStyleElement type="headerRow" dxfId="22"/>
      <tableStyleElement type="totalRow" dxfId="21"/>
      <tableStyleElement type="firstRowStripe" dxfId="20"/>
      <tableStyleElement type="secondRowStripe" dxfId="19"/>
    </tableStyle>
    <tableStyle name="Relatórios-style" pivot="0" count="5" xr9:uid="{09316728-6464-4D03-8ED7-E08B5975432F}">
      <tableStyleElement type="wholeTable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Relatórios-style 2" pivot="0" count="5" xr9:uid="{68B015B6-AF9F-4FEC-B3BF-829F3C2CE3D1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150.6858449074" refreshedBy="Patrick Ribeiro" recordCount="1065">
  <cacheSource type="worksheet">
    <worksheetSource ref="A1:M1066" sheet="BasePrefRio"/>
  </cacheSource>
  <cacheFields count="43">
    <cacheField name="titulo_servico" numFmtId="0">
      <sharedItems count="1059">
        <s v="CADRio Agendamento"/>
        <s v="IPTU 2026"/>
        <s v="Alvará - Consulta Prévia de Local"/>
        <s v="IPTU - Certidão de Situação Fiscal e Enfitêutica"/>
        <s v="Informações sobre Inscrição e atualização do Cadastro Único"/>
        <s v="Informações sobre o Cadastro Único"/>
        <s v="Licença Sanitária de Funcionamento"/>
        <s v="ITBI - Simulação de valor e pedido de guia"/>
        <s v="Fiscalização de estacionamento irregular de veículo"/>
        <s v="IPTU 2025 e anteriores - cobrança na Fazenda"/>
        <s v="ISS - Comprovante de Inscrição e de Situação Cadastral"/>
        <s v="ISS - Certidão de Situação Fiscal"/>
        <s v="Multa de trânsito - Consulta de multa"/>
        <s v="Consulta de contracheques"/>
        <s v="IPTU - Certidão de Elementos Cadastrais"/>
        <s v="Remoção de entulho"/>
        <s v="ITBI - Impressão de guia para pagamento"/>
        <s v="Emissão de certidão de Dívida Ativa"/>
        <s v="ITBI - Emissão da certidão de pagamento"/>
        <s v="Multa de Trânsito - Defesa Prévia de Autuação"/>
        <s v="Reparo de luminária"/>
        <s v="Multa de Trânsito - Informações sobre como pagar"/>
        <s v="ISS - Emissão de DARM para pagamento"/>
        <s v="IPTU – Parcelamento 2025 – Solicitação e emissão de boletos"/>
        <s v="Consultar Declaração de Escolaridade  "/>
        <s v="IPTU - Notificação de Lançamento (inclusive guias extraordinárias)"/>
        <s v="Solicitação de orientações sobre o alvará pela internet"/>
        <s v="Fiscalização de perturbação do sossego"/>
        <s v="Reparo de buraco, deformação ou afundamento na pista"/>
        <s v="Consulta de débitos de IPTU em Dívida Ativa"/>
        <s v="IPTU – Regularização de Recolhimentos (parcelamento, restituição, alegação e transposição)"/>
        <s v="IPTU - Alteração de nome do proprietário"/>
        <s v="Informações sobre matrícula na rede municipal - 2026"/>
        <s v="IPTU - Consulta a pagamentos e débito automático"/>
        <s v="Cartão de estacionamento para pessoas com deficiência - PCD"/>
        <s v="IPTU - Certidão de Valor Venal"/>
        <s v="Licenciamento de eventos - Autorização Transitória"/>
        <s v="Alvará a Jato"/>
        <s v="Contracheque de servidor inativo e pensionista"/>
        <s v="Declaração do Imposto de Renda na Fonte para aposentados e pensionistas"/>
        <s v="Manutenção/Desobstrução de ramais de águas pluviais e ralos"/>
        <s v="IPTU - Atualização de CPF/CNPJ"/>
        <s v="Multa de trânsito - Troca do Real Infrator"/>
        <s v="Controle de roedores e caramujos africanos"/>
        <s v="Solicitação de correção de falhas e de cadastro no portal e app 1746"/>
        <s v="Remoção de resíduos em vias públicas"/>
        <s v="Parcelamento de débitos em Dívida Ativa"/>
        <s v="Informações sobre o Programa Bolsa Família"/>
        <s v="Fiscalização de má conduta do motorista/despachante"/>
        <s v="Poda de árvore em vias públicas"/>
        <s v="Verificação de frequência irregular da coleta domiciliar com retirada do resíduo"/>
        <s v="Atendimento em unidades de Atenção Primária em Saúde"/>
        <s v="Informações sobre os Centro de Referência de Assistência Social - CRAS"/>
        <s v="IPTU – Certidão de Histórico Fiscal"/>
        <s v="Autorização e legalização de comércio ambulante"/>
        <s v="Resgate de animais silvestres"/>
        <s v="Informações sobre liberação de veículos rebocados"/>
        <s v="Emissão de guia de pagamento de Dívida Ativa em atraso"/>
        <s v="Histórico de Tarifas"/>
        <s v="IPTU - Regularização, parcelamento, restituição, alegação ou transposição"/>
        <s v="Informações sobre gratuidade no transporte municipal"/>
        <s v="ISS – Consulta de Pendências com o Fisco Municipal para Ingresso no Simples Nacional"/>
        <s v="Multa de Trânsito - Cancelamento (1ª Instância)"/>
        <s v="ISS – Profissional Autônomo: Autônomo Estabelecido, Autônomo  Equiparado a Empresa e Autônomo não Estabelecido"/>
        <s v="Varrição de vias públicas"/>
        <s v="Capina em vias públicas"/>
        <s v="Informações sobre o Plano de Saúde do Servidor Municipal - PSSM"/>
        <s v="Consulta e emissão de Auto de Infração - Coordenadoria de Controle Urbano"/>
        <s v="Pesquisa de existência de alvará"/>
        <s v="Certidão Negativa de Débito (Nada Consta)"/>
        <s v="Reparo de sinal de trânsito apagado"/>
        <s v="Informações sobre o portal SISREG"/>
        <s v="Empréstimo Consignado e Margem Consignável"/>
        <s v="Minhas Empresas/Cadastrar Procurador de Empresa"/>
        <s v="ISS – Acompanhamento da formalização da opção pelo Simples Nacional"/>
        <s v="Castração gratuita de cães e gatos - Programa Bicho Rio"/>
        <s v="Autorização para exibição de publicidade"/>
        <s v="Remoção de veículo abandonado em via pública"/>
        <s v="ISS – Alíquotas, Base de Cálculo e Código de Atividades"/>
        <s v="ITBI - Autenticação da certidão de pagamento"/>
        <s v="Recadastramento anual de servidores inativos e pensionistas"/>
        <s v="Vistoria veicular e atualização documental - Táxi"/>
        <s v="Carteira Digital de Trânsito - CDT"/>
        <s v="IPTU - Formulário de alteração de titularidade"/>
        <s v="Concessão de alvará para eventos"/>
        <s v="Verificação de ar condicionado inoperante no ônibus"/>
        <s v="Informações sobre a Carteira da Pessoa Idosa"/>
        <s v="Fiscalização de obras em imóvel privado"/>
        <s v="Emissão de 2ª via do IPTU"/>
        <s v="Visitação ao Museu do Universo no Planetário do Rio"/>
        <s v="Informações sobre o Programa Cartão Família Carioca"/>
        <s v="Fiscalização de má condição do ônibus"/>
        <s v="ITBI – Processo de Reconhecimento de Isenção"/>
        <s v="ISS - Emissão de DARM de ISS trimestral de contribuintes autônomos"/>
        <s v="Multa de Trânsito - Acompanhamento de recurso"/>
        <s v="Informações sobre o Bilhete Único Carioca"/>
        <s v="Multa de Trânsito - Solicitação de cópia do Auto de Infração (AIT ou foto)"/>
        <s v="Informações sobre o Programa Carioca Paga Meia"/>
        <s v="Castração de cães e gatos agendamento on-line"/>
        <s v="Patrimônio – Aviso do foreiro"/>
        <s v="ISS - Baixa de inscrição/exclusão de atividades"/>
        <s v="Multa de Trânsito - 2ª Instância"/>
        <s v="ITBI – Processo de Restituição total ou parcial"/>
        <s v="ISS - Confissão de dívida, parcelamento e reparcelamento de débito não inscrito em Dívida Ativa"/>
        <s v="ITBI – Processo de Revisão de valor e Reconsideração de decisão"/>
        <s v="Segunda via de alvará"/>
        <s v="Coordenadorias Regionais de Educação (CREs)"/>
        <s v="Conselho de Contribuintes"/>
        <s v="Fiscalização de buraco na calçada"/>
        <s v="Número da inscrição imobiliária"/>
        <s v="Concessão de alvará de licença de estabelecimento pela internet"/>
        <s v="ITBI- Processo de Reconhecimento de Não incidência"/>
        <s v="Reposição de grelha ou tampão"/>
        <s v="Vistoria em foco de Aedes aegypti (Dengue, Chikungunya e Zika)"/>
        <s v="Atendimento clínico em animais"/>
        <s v="Consulta de Situação Cadastral por Permissão"/>
        <s v="Remoção de resíduos de poda"/>
        <s v="Denúncia de corrupção e/ou improbidade administrativa"/>
        <s v="Pedido de Acesso à Informação (LAI)"/>
        <s v="IPTU - Consulta ao valor do m² por nome de rua (logradouro)"/>
        <s v="Legalização de obras com contrapartida (Mais Valia)"/>
        <s v="Informações sobre atividades esportivas gratuitas"/>
        <s v="IPTU – Revisão de lançamento"/>
        <s v="ISS – Confirmação de Autenticidade de Certidão"/>
        <s v="Informações sobre o Auxílio Educação"/>
        <s v="IPTU – Declaração de existência/não existência de imóveis"/>
        <s v="Informações sobre cadastro no Programa Minha Casa, Minha Vida"/>
        <s v="Consulta e encaminhamento para vagas de emprego"/>
        <s v="Emissão de certidões do IPTU"/>
        <s v="Solicitação de atendimento do Conselho Tutelar"/>
        <s v="Fiscalização de obstáculo fixo na calçada"/>
        <s v="Fiscalização de atividades econômicas sem alvará"/>
        <s v="IPTU – Autenticidade da Certidão de Situação Fiscal e Enfitêutica do Imóvel"/>
        <s v="Limpeza de ralos"/>
        <s v="Limpeza de praças e parques"/>
        <s v="Informações sobre pagamento do IPTU"/>
        <s v="Fiscalização da atuação do guardador de estacionamento Rio Rotativo"/>
        <s v="Solicitação de emissão de BRAT em acidente de trânsito sem vítima"/>
        <s v="Informações sobre o acolhimento institucional de adultos, famílias, idosos em vulnerabilidade"/>
        <s v="ISS – Prazos de Pagamento"/>
        <s v="Fiscalização sanitária em serviços de alimentos e ensino"/>
        <s v="Emissão de Relatório de Informação Urbanística (RIU)"/>
        <s v="Solicitação de serviços para os povos e comunidades tradicionais"/>
        <s v="Autorização para colocação de mesas e cadeiras em área pública"/>
        <s v="Avaliação de risco de queda da árvore"/>
        <s v="Inclusão ou exclusão de motorista auxiliar de táxi"/>
        <s v="Verificação de negligência com idoso, abandono ou autonegligência"/>
        <s v="Atendimento ao consumidor - Procon Carioca"/>
        <s v="Informações sobre tarifas de táxi"/>
        <s v="Atendimento em Hospitais de Emergência e Pronto Atendimento"/>
        <s v="IPTU - Alteração de dados do destinatário"/>
        <s v="Vistoria em imóvel com rachadura e infiltração"/>
        <s v="Cópia digital de Planta de Arquitetura"/>
        <s v="ITBI - Correção de dados da guia paga (folha suplementar)"/>
        <s v="Solicitação de transporte da gestante para a maternidade"/>
        <s v="Autorização de poda ou remoção de árvore em área particular"/>
        <s v="Certidão de Habite-se/Aceitação"/>
        <s v="Declaração de rendimentos de servidor ativo"/>
        <s v="Informações sobre o Benefício de Prestação Continuada"/>
        <s v="Isenção de Imposto de Renda"/>
        <s v="Informações sobre pedido de aposentadoria"/>
        <s v="Previ-Rio – atendimento ao público"/>
        <s v="Reviver Centro"/>
        <s v="Reparo de cabo de iluminação pública"/>
        <s v="Cadastramento de vagas de emprego"/>
        <s v="Fiscalização da ocupação irregular de área pública por estabelecimentos comerciais, industriais ou serviços"/>
        <s v="Informações sobre reboque ou remoção de veículos enguiçados ou acidentados"/>
        <s v="Emissão de guia para pagamento à vista em Dívida Ativa"/>
        <s v="Alistamento Militar nas Gerências Executivas Locais (GEL’s)"/>
        <s v="Limpeza de papeleira, contêiner e caçamba da COMLURB"/>
        <s v="Solicitação de autorização de filmagem - Rio Film Commission"/>
        <s v="Solicitação de atendimento social"/>
        <s v="Certidão Municipal de Inexigibilidade de Licenciamento Ambiental para atividades industriais, de comércio e serviços (CMI)"/>
        <s v="Taxa de incêndio - Informações"/>
        <s v="Atendimento em Unidades de Pronto Atendimento (UPA 24 Horas)"/>
        <s v="Notificação ao proprietário para limpeza de resíduos em terreno baldio"/>
        <s v="Cópia ou Certidão de inteiro teor de documento ou processo"/>
        <s v="Reparo de buraco em calçada de Pedra Portuguesa"/>
        <s v="Cartão de estacionamento para idosos"/>
        <s v="Atendimento em Policlínicas"/>
        <s v="Imóveis penhorados como garantia para o pagamento de Execuções Fiscais"/>
        <s v="Distribuição de kit enxoval do bebê"/>
        <s v="Reparo em equipamentos de poste de iluminação pública"/>
        <s v="Taxas – Taxa de Coleta Domiciliar de Lixo (TCL)"/>
        <s v="IPTU - Autenticidade da Certidão de Elementos Cadastrais"/>
        <s v="Informações sobre desentupimento ou reparo de rede de esgoto em logradouros públicos"/>
        <s v="Informações sobre o material Rioeduca"/>
        <s v="Remoção de carcaça de veículo não identificável"/>
        <s v="Informações sobre avaliação de aluno incluído"/>
        <s v="Verificação do número do processo aberto na Secretaria Municipal de Transportes"/>
        <s v="Patrimônio – Remição de Foro"/>
        <s v="Manutenção de mobiliário, brinquedos e equipamentos esportivos em praças e parques públicos"/>
        <s v="Informações sobre pecúlio"/>
        <s v="Informações sobre fiscalização de irregularidades em linhas de ônibus"/>
        <s v="Reinstalação de ponto de luz"/>
        <s v="Licenciamento Truck Rio"/>
        <s v="Solicitação de vacinação em domicílio"/>
        <s v="Requerimento de adiantamento de décimo terceiro salário para servidor ativo"/>
        <s v="Programa Trabalha Rio"/>
        <s v="Reparo de poste caído ou em risco de queda"/>
        <s v="Fornecedores de bens e serviços – solicitação de cadastro"/>
        <s v="Informações sobre ações de acolhimento a pessoas em situação de rua"/>
        <s v="ISS – Casos de Responsabilidade e Retenção"/>
        <s v="Consultar minhas solicitações do Processo.rio"/>
        <s v="Acervo de Imagens PAA/PAL"/>
        <s v="Fiscalização de obras de concessionárias de serviços públicos"/>
        <s v="Informações sobre Cartão Família Carioca e Benefício Adicional por desempenho escolar"/>
        <s v="Assistência Veterinária do programa Bicho Rio"/>
        <s v="Reparo de erros no processamento de serviços"/>
        <s v="Autorização de poda ou remoção de árvore em área pública"/>
        <s v="ITBI – Cumprimento de exigência em protocolo"/>
        <s v="Sepultamento no cemitério de pequenos animais"/>
        <s v="Procedimentos para admissão em cargo público efetivo"/>
        <s v="Impressão de Taxa de Uso de Área Pública (TUAP) para mesas e cadeiras"/>
        <s v="Nota Carioca – Códigos de atividades e códigos de serviços"/>
        <s v="Cremação de animais"/>
        <s v="Remoção de árvore em vias públicas"/>
        <s v="ISS Visto Fiscal/Inclusão Predial – Parcelamento (exclusivo para Processos abertos na Gerência de Visto Fiscal)"/>
        <s v="Licença de transformação de uso de edificação"/>
        <s v="Retirada de protesto em Dívida Ativa"/>
        <s v="Informações sobre o auxílio moradia"/>
        <s v="Patrimônio – Recadastramento Enfitêutico"/>
        <s v="Emissão de boleto para pagamento de multa (DARM) no VLT"/>
        <s v="ITBI – Certidão de quitação fiscal (nada consta)"/>
        <s v="ITBI – Petição em processo administrativo já aberto"/>
        <s v="Informações sobre o Calendário Escolar"/>
        <s v="Informações sobre isenção de taxa de inscrição em concurso"/>
        <s v="Limpeza de vala de drenagem"/>
        <s v="Fiscalização de irregularidades em táxi"/>
        <s v="Informações sobre o programa Auxílio Gás dos Brasileiros"/>
        <s v="Informações sobre a concessão de alvará"/>
        <s v="Multa de Trânsito - Ressarcimento de valor pago"/>
        <s v="Fiscalização de carros de som"/>
        <s v="Atendimento à Saúde da Criança e do Adolescente"/>
        <s v="Solicitação de Cartão Morador"/>
        <s v="Benefícios relacionados ao falecimento do servidor"/>
        <s v="Informações sobre Ofícios de Registro de Imóveis"/>
        <s v="Informações sobre o Programa Lixo Zero"/>
        <s v="Segunda via de Certificado de Vistoria, CIAT ou Atualização Cadastral para taxistas"/>
        <s v="Patrimônio – Emissão de guias para pagamento pelo uso de bens imóveis públicos"/>
        <s v="Informações sobre o auxílio funeral"/>
        <s v="Informações sobre creches parceiras"/>
        <s v="Relatório de Informações Urbanísticas"/>
        <s v="Permissão para veículos de carga e descarga de mudanças residenciais"/>
        <s v="Informações sobre os procedimentos para sepultamento"/>
        <s v="Bloqueio de pagamento de servidor aposentado e pensionista"/>
        <s v="Alvará - Solicitação de alteração cadastral"/>
        <s v="Atendimento domiciliar para vacinação antirrábica animal"/>
        <s v="Consulta à Legislação"/>
        <s v="Notificação de falta de água ou luz"/>
        <s v="ISS Visto Fiscal/Inclusão Predial – Gerar DARM para pagamento à vista (exclusivo para Processos abertos na Gerência de Visto Fiscal)"/>
        <s v="Informações sobre o Programa Rio + Cursos"/>
        <s v="Comunicação de Autovistoria"/>
        <s v="Nota Carioca - cancelamento e substituição de nota fiscal eletrônica"/>
        <s v="Nota Carioca – Cadastro: alteração de dados do tomador e obrigatoriedade de cadastro"/>
        <s v="Informações sobre o Centro de Referência Especializado para População em Situação de Rua – CENTRO POP"/>
        <s v="Sessões de cúpula no Planetário do Rio"/>
        <s v="Patrimônio – Consulta Enfiteuse"/>
        <s v="Solicitação de plantio de árvore em área pública"/>
        <s v="Informações e serviços nos postos de atendimento da Secretaria Municipal de Fazenda"/>
        <s v="Avaliação para instalação e/ou retirada de papeleira"/>
        <s v="ISS – Restituição de indébitos de ISS de autônomos e de taxas"/>
        <s v="Fiscalização dos serviços de esgoto da Zona Oeste Mais Saneamento"/>
        <s v="Reparo de calçada danificada por raiz"/>
        <s v="Reparo de sinal de trânsito travado"/>
        <s v="Nota Carioca – Autenticidade: Verificação"/>
        <s v="Informações sobre abertura de escola de Educação Infantil"/>
        <s v="Realização de exames laboratoriais em animais"/>
        <s v="Informações sobre o GeoPAL"/>
        <s v="Fiscalização sanitária de estabelecimentos comerciais em geral"/>
        <s v="Taxas – Emissão de DARM da Taxa de Fiscalização de Cemitérios"/>
        <s v="Remoção de toco e raiz (destoca)"/>
        <s v="ITBI – Revalidação de protocolo com instrumento já lavrado (fiscalização)"/>
        <s v="Autorização de Táxi/Mototáxi para Motoristas Auxiliares - Abertura de Termo"/>
        <s v="Consulta ao andamento de processos administrativos da Coordenadoria de Licenciamento e Fiscalização"/>
        <s v="ISS - Restituição e crédito na Nota Carioca de ISS/Taxas, autônomos e Visto Fiscal"/>
        <s v="ITBI – Dúvidas sobre avaliação, interpretação e aplicação da legislação tributária"/>
        <s v="Informações sobre Família Acolhedora – FACO"/>
        <s v="Concessão de autorização de matrícula nova em Feiras Livres, Feiras Móveis, Feiras Especiais e Antiquários"/>
        <s v="ITBI – Cumprimento de exigência em processo administrativo"/>
        <s v="Consulta de multas por permissão em táxi"/>
        <s v="Informações sobre aferição dos equipamentos de fiscalização eletrônica"/>
        <s v="Certidão de cadastro de taxista/mototaxista - Verificação do tempo de serviço"/>
        <s v="IPTU – Verificação da Autenticidade da Certidão de Valor Venal"/>
        <s v="Emissão de carta de isenção tributária por permissão de Táxi/Mototáxi"/>
        <s v="ISS – Apropriação de guia de pagamento (exceto código de receita 129-5)"/>
        <s v="Tesouro – Auto de Infração Administrativo SMFP"/>
        <s v="Informações sobre empresas conveniadas com a Prefeitura"/>
        <s v="Certidão Municipal de Dispensa de Licenciamento Ambiental (CMD)"/>
        <s v="ID Jovem"/>
        <s v="Informações sobre os Centro de Referência Especializado de Assistência Social – CREAS"/>
        <s v="ISS – Emissão de Certidão de Elementos Cadastrais"/>
        <s v="Averbação de tempo de contribuição / serviço"/>
        <s v="Fiscalização da higiene em mercados e supermercados"/>
        <s v="Informações sobre concursos públicos"/>
        <s v="Informações sobre o Conselho Tutelar"/>
        <s v="Nota Carioca – Cadastro Municipal: Número de Inscrição"/>
        <s v="Fiscalização de poluição sonora"/>
        <s v="Multa de trânsito paga/não recebida"/>
        <s v="Informações sobre ações de ordenamento urbano"/>
        <s v="Fundo de proteção animal"/>
        <s v="Informações sobre a transferência de titularidade de jazigo"/>
        <s v="Cadastramento de profissional na Rio-Águas"/>
        <s v="Atendimento da Coordenadoria Técnica de Perícias Médicas"/>
        <s v="ISS - Impugnação a auto de infração ou nota de lançamento"/>
        <s v="Agendamento e atendimento de audiências"/>
        <s v="Emissão de taxas por permissão em táxi"/>
        <s v="Realização de visita guiada à maternidade"/>
        <s v="Informação sobre a situação dos imóveis no Município do Rio de Janeiro"/>
        <s v="Informações sobre o PIS/PASEP"/>
        <s v="Licença Municipal de Operação (LMO)"/>
        <s v="Alvará de Licença de Estabelecimento - Solicitação de baixa da atividade"/>
        <s v="Fiscalização sanitária em serviços de saúde"/>
        <s v="Patrimônio – Transferência do foreiro"/>
        <s v="Informações sobre o uso de quadras de esporte no Aterro"/>
        <s v="Redução de carga horária do servidor"/>
        <s v="Informações sobre leilão de veículos rebocados"/>
        <s v="Informações sobre Planta Aerofotogramétrica (Planta Cadastral)"/>
        <s v="Cancelamento de cobrança em Dívida Ativa"/>
        <s v="Certidão de inexistência de atividade econômica"/>
        <s v="Informações sobre a inclusão de alunos da Educação Especial"/>
        <s v="Manutenção de sinalização gráfica horizontal viária"/>
        <s v="Licença de edificação unifamiliar ou bifamiliar"/>
        <s v="Informações sobre o Super Centro Carioca de Saúde"/>
        <s v="Fiscalização de corte ou sacrifício de árvore"/>
        <s v="Verificação de alteração indevida de itinerário de ônibus"/>
        <s v="Informações sobre desvios e interdições de vias"/>
        <s v="ISS – Certidão de Pagamento de ISS ou Taxa"/>
        <s v="Informações sobre o auxílio medicamento"/>
        <s v="ISS – Acréscimos Moratórios"/>
        <s v="Fiscalização de poluição do ar"/>
        <s v="Fiscalização de eventos com exposição de animais"/>
        <s v="Informações sobre os endereços da Rio-Águas e Zona Oeste Mais Saneamento"/>
        <s v="Licença de demolição de edificação"/>
        <s v="Segunda via de cotas de pagamento em Dívida Ativa"/>
        <s v="ISS – Visto Fiscal/Inclusão Predial – Ciência de Nota de Lançamento"/>
        <s v="Fiscalização de marquises e estruturas"/>
        <s v="Instalação e manutenção de placas de identificação de rua"/>
        <s v="Informações sobre consulta e estorno de pagamento de benefícios / auxílios"/>
        <s v="Requerimento para acumulação de cargos, empregos e funções na Administração Direta e Indireta"/>
        <s v="Nota Carioca – Denúncia de não emissão da nota"/>
        <s v="Fiscalização de transporte complementar"/>
        <s v="Instalação do Validador Jaé"/>
        <s v="Requerimento para emissão do Perfil Profissiográfico Previdenciário – PPP"/>
        <s v="Nota Carioca – Retenção: tomadores de serviços de outros municípios"/>
        <s v="Nota Carioca – Cadastramento no sistema e Certificado digital"/>
        <s v="Informações sobre o Pró-Carioca - Programa de Fomento à Cultura Carioca"/>
        <s v="Fornecimento de informações sobre PAA e PAL"/>
        <s v="Informações sobre o sistema de custo de obras"/>
        <s v="Informações sobre Auto de Interdição da Defesa Civil"/>
        <s v="Feiras Especiais de Artes - Feirartes"/>
        <s v="Certidão de Histórico de Revisão de Numeração"/>
        <s v="Consulta de validade de contracheques"/>
        <s v="Insatisfação com o atendimento da Central 1746"/>
        <s v="Licenciamento de reparo emergencial em vias públicas"/>
        <s v="RECRED – Programa de Recuperação de Créditos de Multas Disciplinares"/>
        <s v="Solicitação de orientação do COMDEF-RIO"/>
        <s v="Reparo de tampão ou poste danificado ou fora de prumo"/>
        <s v="Informações sobre acolhimento institucional de adultos idosos e famílias em vulnerabilidade"/>
        <s v="Patrimônio – Parcelamento de foros anuais em atraso"/>
        <s v="ISS – Paralisação temporária da atividade"/>
        <s v="ISS - Certidão de Visto Fiscal para fins de &quot;Habite-se&quot; ou aceitação da obra"/>
        <s v="Emissão de Declaração de Tempo de Contribuição"/>
        <s v="ISS – Declaração de Pessoa Não Inscrita"/>
        <s v="Transação individualizada em Dívida Ativa"/>
        <s v="Patrimônio – Permissão de uso de imóvel municipal"/>
        <s v="Atendimento clínico para animais com Esporotricose"/>
        <s v="Troca de endereço de correspondência / e-mail de inativo ou pensionista no Previ-rio"/>
        <s v="ITBI – Abertura de processo sem formulário específico"/>
        <s v="Limpeza de praias"/>
        <s v="ITBI – Processo de Parcelamento de crédito"/>
        <s v="Fiscalização de banca de jornal"/>
        <s v="Vista de processo ou requerimento em Dívida Ativa"/>
        <s v="Nota Carioca - Simples Nacional: emissão de nota carioca e procedimentos"/>
        <s v="Informações sobre ressarcimento de danos à terceiros no caso de acidentes com veículos e/ou equipamentos da COMLURB"/>
        <s v="Licença Municipal Simplificada (LMS)"/>
        <s v="Fiscalização de obras em Área de Especial Interesse Social ou Comunidade"/>
        <s v="Programa de Atenção Domiciliar ao Idoso (PADI)"/>
        <s v="Informações sobre o auxílio adoção"/>
        <s v="Atendimento em maternidades"/>
        <s v="Informações sobre poda de árvores em áreas privadas"/>
        <s v="Licenciamento para execução de obra e/ou reparo programados em vias públicas"/>
        <s v="Autorização para publicidade vinculada a eventos"/>
        <s v="Mensagens de alerta da Defesa Civil"/>
        <s v="Informações sobre o treinamento para taxistas"/>
        <s v="Licença para construção de muro ou gradis"/>
        <s v="Captura para análise de morcegos caídos ou que atacaram pessoas e/ou animais"/>
        <s v="Declaração eletrônica de Nada Consta do servidor"/>
        <s v="ISS – Emissão de declaração de realização de eventos"/>
        <s v="Carteira de Trabalho Digital"/>
        <s v="Usucapião Extrajudicial"/>
        <s v="Carta de cobrança e informações sobre existência de débitos"/>
        <s v="Nota Carioca - Emissão: autorização e procedimento"/>
        <s v="Cadastramento de CPF/CNPJ"/>
        <s v="Cursos de Astronomia no Planetário do Rio"/>
        <s v="Emissão de Certidão de Pagamento de ITBI - 2ª via"/>
        <s v="Frequência irregular de coleta seletiva"/>
        <s v="Eleições para Conselheiro Tutelar do Rio de Janeiro"/>
        <s v="Reparo em gradis e guarda-corpo de viadutos e pontes"/>
        <s v="Fiscalização do atendimento prestado pela Zona Oeste Mais Saneamento"/>
        <s v="Nota Carioca - Informações sobre carta de correção"/>
        <s v="Informações sobre a administração de medicamentos em Unidade Escolar"/>
        <s v="ITBI – Relatório de Reposição (inventário e separação/divórcio) ou de Extinção de Condomínio após o pagamento da guia"/>
        <s v="Requerimento para implantação ou reposição de equipamento de fiscalização eletrônica (CET-Rio)"/>
        <s v="Retirada de caçamba particular cheia"/>
        <s v="Manutenção de banheiros públicos"/>
        <s v="Inclusão de veículos em Modais de Transporte"/>
        <s v="Licença para construção ou modificação de edificação/ LICIN, prorrogação de licença"/>
        <s v="Informações sobre doação de livros"/>
        <s v="Cadastramento de imóvel de benfeitoria/posse"/>
        <s v="Requerimento para implantação de quebra-molas"/>
        <s v="ITBI – Impugnação de lançamento e recurso de decisão"/>
        <s v="Relação de licenças ambientais emitidas"/>
        <s v="Solicitação de implantação ou remanejamento de ponto de ônibus"/>
        <s v="Informações sobre o Censo Cadastral Previdenciário"/>
        <s v="Requerimento para instalação de sinal de trânsito"/>
        <s v="Restituição de indébito em Dívida Ativa"/>
        <s v="ISS – Cálculo do valor atualizado de débito não inscrito em Dívida Ativa"/>
        <s v="Alvará - Recurso de Consulta Prévia"/>
        <s v="Requerimento para implantação de área para carga e descarga comum ou temporária para obras"/>
        <s v="ISS - Solicitação de envio de débito de ISS para Dívida Ativa"/>
        <s v="Consulta de requerimentos na Vigilância Sanitária"/>
        <s v="Alteração no nome do proprietário no cadastro do IPTU"/>
        <s v="Observação do Céu no Planetário do Rio"/>
        <s v="Alteração na escolaridade nos cargos de merendeira, agente educador e inspetor para aposentados"/>
        <s v="Informações sobre o Sistema de Notificação Eletrônica (SNE)"/>
        <s v="Informações sobre sinaleiras de garagem"/>
        <s v="Informações sobre desaparecimento/remoção de ossada humana em cemitério"/>
        <s v="Fiscalização de desmatamento"/>
        <s v="Realização de exames de imagem em animais"/>
        <s v="ISS - Informações sobre reconhecimento de imunidade, não incidência, isenção e redução de ISS"/>
        <s v="Notificação de casos de intolerância étnico-racial"/>
        <s v="Multa de Trânsito - Solicitação de cópia de Aviso de Recebimento"/>
        <s v="Solicitação de reforma de jardins de praças ou de canteiros centrais"/>
        <s v="Credenciamento de profissionais e empresas na Fundação Parques e Jardins"/>
        <s v="Informações sobre as Embaixadas Cariocas"/>
        <s v="Informações sobre Acolhimento Institucional de crianças e adolescentes"/>
        <s v="Informações sobre portabilidade bancária (troca de Banco) para aposentados e pensionistas"/>
        <s v="Ingresso ou baixa em cooperativa, associação ou prestadora de serviço de táxi"/>
        <s v="Vistoria pós-incêndio"/>
        <s v="Acompanhamento de solicitação no Procon Carioca"/>
        <s v="Reparo de luminária fora de posição"/>
        <s v="Vistoria em ônibus"/>
        <s v="Baixa de veículos dos modais de transporte"/>
        <s v="Registro de engenheiros e empresas do ramo de aparelhos de transporte"/>
        <s v="Emissão de Cópia Autêntica (Defesa Civil)"/>
        <s v="Cadastro Moto.Rio"/>
        <s v="Remoção de animais mortos em via pública"/>
        <s v="Informações sobre o Arquivo Geral da Cidade"/>
        <s v="Informações sobre endereços de cemitérios e serviços funerários"/>
        <s v="Consulta a andamento de processos físicos de licenciamento ambiental"/>
        <s v="Legalização de obra e/ou reparo em vias públicas"/>
        <s v="Reparo de poste ou tampão da Rioluz dando choque"/>
        <s v="Manutenção de equipamentos das Academias da Terceira Idade (ATI)"/>
        <s v="Fiscalização sanitária em serviços de embelezamento e atividades físicas"/>
        <s v="Habilitação prévia de beneficiário para recebimento do Pecúlio"/>
        <s v="Verificação de Autenticidade de Documentos de Processos Administrativos"/>
        <s v="Informações sobre Portal da Transparência Rio"/>
        <s v="Inclusão de pessoas com deficiência no mercado de trabalho"/>
        <s v="Minhas Bancas de jornais e revistas"/>
        <s v="Solicitação de desinterdição à Defesa Civil"/>
        <s v="Autorização de Remoção de Vegetação (ARV)"/>
        <s v="Verificação de ocorrências na conexão BRT"/>
        <s v="Informações sobre bolsa de estudo"/>
        <s v="Nota Carioca - mensagem de erro no sistema da Nota pela opção do Simples Nacional"/>
        <s v="ISS – Retirada de bloqueio da inscrição municipal"/>
        <s v="Distribuição de insumos para tratamento de diabetes com insulina"/>
        <s v="Informações sobre a instalação de quebra-molas (após avaliação favorável da CET-RIO)"/>
        <s v="Informações sobre os endereços e canais de contato da Zona Oeste Mais Saneamento"/>
        <s v="Informações sobre Conselho Tutelar e justiça contra criança e/ou adolescente"/>
        <s v="Fiscalização de danos ao patrimônio público"/>
        <s v="Casas da Mulher Carioca"/>
        <s v="Alegação de pagamento em Dívida Ativa"/>
        <s v="TAXI.RIO Cidades - Informações sobre utilização do aplicativo"/>
        <s v="Recurso contra negativa ou omissão de Acesso à Informação"/>
        <s v="Fiscalização de drenagem irregular"/>
        <s v="Recurso para auto de infração de atividade econômica"/>
        <s v="Reparo de tampão de sinal de trânsito quebrado ou ausente e de cabos expostos de sinal de transito"/>
        <s v="ISS – Vista de Processo da Gerência de Fiscalização"/>
        <s v="Projeto NUPDEC – Núcleo de Proteção e Defesa Civil"/>
        <s v="Enquadramento de nível por curso de formação para professores"/>
        <s v="Criação de Conta Mobilidade Rio – Bilhetagem Digital Jaé"/>
        <s v="Reconhecimento e sugestão de nominação de logradouros"/>
        <s v="Nota Carioca – Emissão: casos de isentos, imunes e devedores do ISS"/>
        <s v="Programa Selo de Acessibilidade e Inclusão"/>
        <s v="Fiscalização de poluição do solo"/>
        <s v="Informações sobre senha para os benefícios"/>
        <s v="Fiscalização de abrigos para idosos (casas de repouso) por relatos de maus tratos"/>
        <s v="Valor das alíquotas e base de cálculo"/>
        <s v="Tesouro – Cadastro dos dados bancários de Pessoas Físicas e Jurídicas"/>
        <s v="Alteração de autorização de comércio ambulante"/>
        <s v="Solicitação de alteração ou implantação de ponto de táxi"/>
        <s v="Informações sobre atendimento à mulher vítima de violência (CEAM)"/>
        <s v="Fiscalização de poluição da água"/>
        <s v="Licenciamento de aparelhos de transporte"/>
        <s v="Limpeza de margens de rios"/>
        <s v="Calendário da rede de Rodas de Samba"/>
        <s v="Secretaria Municipal de Esportes"/>
        <s v="Informações sobre merenda escolar"/>
        <s v="Certificado de Proteção do Imóvel"/>
        <s v="Informações sobre o Programa de Apoio ao Ensino Médio"/>
        <s v="Informações sobre cadastro no Auxílio Habitacional Temporário"/>
        <s v="Programa Cadeira Cativa - Ingressos gratuitos"/>
        <s v="Informações sobre Licitação e Pregão"/>
        <s v="Suspensão do abono de permanência"/>
        <s v="Informações sobre o Sistema BRT do Rio de Janeiro"/>
        <s v="Fiscalização de animais silvestres em cativeiro"/>
        <s v="Licença Ambiental Municipal Comunicada para atividades industriais, de comércio e serviços (LAC)"/>
        <s v="Plano de Saúde - movimentações"/>
        <s v="Informações sobre cursos da Vigilância Sanitária"/>
        <s v="Fiscalização da exposição de publicidade irregular"/>
        <s v="Requerimento de licença para trato de interesses particulares"/>
        <s v="Permuta de veículo – Táxi/Mototáxi"/>
        <s v="Relação de empresas licenciadas para receber resíduos da construção civil (RCC)"/>
        <s v="Conservação e manutenção de passarelas, viadutos, pontes e túneis revestidos"/>
        <s v="Informações do Jaé no MetrôRio"/>
        <s v="Instalação, remoção e manutenção de placa com nome de rua"/>
        <s v="ISS – Pagamento de Auto de Infração de ISS com desconto"/>
        <s v="Informações sobre vacinação humana"/>
        <s v="Informações sobre acerto de vida escolar (avanço ou retenção de ano)"/>
        <s v="Informações sobre Painel de Transparência de Obras do município do Rio de Janeiro"/>
        <s v="Informações sobre sinalização indicativa de serviço"/>
        <s v="Prorrogação de prazo para vistoria de táxi"/>
        <s v="Requerimento de readaptação do servidor"/>
        <s v="Informações sobre os Centros de Atenção Psicossocial (CAPS)"/>
        <s v="Multa de trânsito - Verificação da troca de Real Infrator"/>
        <s v="Licenciamento de serviço em vias públicas"/>
        <s v="Reparo de rampa de acesso em vias públicas"/>
        <s v="Cadastramento de Protetores Voluntários e de Protetores de Colônias"/>
        <s v="Informações sobre cadastramento para obtenção de gratuidade especial do Jaé"/>
        <s v="Projeto Agente Experiente"/>
        <s v="Informações sobre cobrança antecipada (tabelada) de corridas de táxi"/>
        <s v="Informações sobre endereços de escolas municipais"/>
        <s v="Implantação de equipamentos de lazer em parques, praças e áreas verdes da cidade"/>
        <s v="Avaliação de surto por doença transmitida por alimentos e água"/>
        <s v="Planejamento urbano local e regional"/>
        <s v="Nota Carioca - Emissão de nota fiscal eletrônica"/>
        <s v="Casas de Convivência e Lazer para pessoas idosas"/>
        <s v="Nota Carioca – Retenção: tributos federais e ISS"/>
        <s v="Inclusão de veículo - Táxi/Mototáxi"/>
        <s v="Fiscalização de quiosque de praia"/>
        <s v="TAXI.RIO Cidades - Verificação de problemas no aplicativo"/>
        <s v="Desvinculação em Dívida Ativa"/>
        <s v="Gestão de contratos e/ou créditos habitacionais dos imóveis construídos pela RIO-URBE"/>
        <s v="Baixa de Autorização de Publicidade"/>
        <s v="Homologação de materiais e equipamentos de iluminação pública"/>
        <s v="Solicitação para ligação de águas pluviais na rede pública"/>
        <s v="Licença Municipal Prévia e de Instalação (LMPI)"/>
        <s v="Certificado de Adequação de Imóvel (CAI) Protegidos pelo Patrimônio Cultural"/>
        <s v="Vistoria em ameaça ou queda de revestimento externo"/>
        <s v="Informações sobre cópia de plantas de cursos d’água e redes de drenagem"/>
        <s v="Alterações cadastrais em Dívida Ativa"/>
        <s v="Informações sobre cremação de corpo ou membros"/>
        <s v="Projeto Vida Ativa"/>
        <s v="Vistoria em ameaça de deslizamento de barreira, encosta e talude"/>
        <s v="ISS – Cadastro de Contribuintes Autônomos no Emissor Nacional (NFS-e)"/>
        <s v="ISS - Recurso Voluntário"/>
        <s v="ISS – Impugnação ao indeferimento da opção pelo Simples Nacional"/>
        <s v="Infração ao Código Disciplinar de Transporte de Passageiros - Defesa Prévia"/>
        <s v="Circuito Carioca de Economia Solidária"/>
        <s v="Autorização de pesquisa em Unidades de Conservação"/>
        <s v="Cadastro no ‘Push Processo’ para mensagens sobre o andamento de Processos Físicos"/>
        <s v="ISS – Cumprimento de Exigência da Gerência de Fiscalização do ISS"/>
        <s v="Vistoria em ameaça ou queda de passarela, ponte, viaduto e demais estruturas públicas"/>
        <s v="Informações sobre distribuição de uniformes e material escolar"/>
        <s v="Baixa de veículo - Táxi/Mototáxi"/>
        <s v="Informações sobre os desfiles das Escolas de Samba das Séries Prata e Bronze e Blocos de Enredo"/>
        <s v="Fiscalização/inspeção de Feiras Livres, Feiras de Artes e Feiras Especiais"/>
        <s v="Solicitação de palestras da Secretaria de Proteção e Defesa dos Animais"/>
        <s v="Requerimento de gratificação por substituição de cargo de confiança de direção"/>
        <s v="Informações sobre surto psicótico"/>
        <s v="Nota Carioca – Emissão de Nota para tomador estrangeiro"/>
        <s v="Informações sobre Esgotamento Sanitário"/>
        <s v="Usucapião"/>
        <s v="Nota Carioca – Sistema: formas de acesso"/>
        <s v="Nota Carioca – Recibo Provisório de Serviços: cancelamento, conversão e emissão"/>
        <s v="Recurso para recuperação de mercadorias e equipamentos apreendidos"/>
        <s v="Verificação de irregularidades na Bilhetagem Eletrônica"/>
        <s v="Comprovação do auxílio-creche"/>
        <s v="Campanha de adoção com os animais da Fazenda Modelo: “Maratona de Adoção”"/>
        <s v="Informações sobre o Projeto de Empreendedorismo Comunitário"/>
        <s v="Abertura de termo para transporte escolar"/>
        <s v="Reparação pós-destoca"/>
        <s v="Manutenção de relógio digital"/>
        <s v="Implantação de praças"/>
        <s v="Vistoria em deslizamento de barreira, encosta e talude"/>
        <s v="ISS – Ciência de Decisão da Gerência de Fiscalização do ISS"/>
        <s v="Solicitação para implantação de canteiros  e dispositivos especiais"/>
        <s v="Informações sobre pensão alimentícia de dependente de servidor inativo ou pensionista"/>
        <s v="ISS – Atividade de incorporação-construção imobiliária"/>
        <s v="Revisão de Projeto de Alinhamento (P.A.)"/>
        <s v="Informações sobre implantação de área para embarque e desembarque"/>
        <s v="Conservação e manutenção de monumentos e chafarizes"/>
        <s v="Locação de Espaços no Planetário do Rio"/>
        <s v="Informações sobre multas da SMDU"/>
        <s v="Informações sobre o Programa Hortas Cariocas"/>
        <s v="Informações sobre a Contribuição para Custeio do Serviço de Iluminação Pública (COSIP)"/>
        <s v="Registro de engenheiros e empresas do ramo de ar-condicionado e ventilação mecânica"/>
        <s v="ISS – Prorrogação de prazo para apresentação de impugnação ou recurso"/>
        <s v="Revisão de pensão por falecimento"/>
        <s v="Informações sobre implantação de área de lazer"/>
        <s v="Nota Carioca – Microempreendedor Individual"/>
        <s v="Instalação de rampa de acesso em vias públicas"/>
        <s v="Nota Carioca - Pagamento ou recurso de auto de infração"/>
        <s v="Nota Carioca – Declaração de ausência de movimento"/>
        <s v="Certificado de Aceitação das Condições de Acessibilidade"/>
        <s v="Transferência de matrícula por falecimento em Feiras Livres, Feiras Móveis, Feiras Especiais e Feirartes"/>
        <s v="Limpeza, desassoreamento e manutenção de rios e canais"/>
        <s v="Informações sobre o Centro de Referência de Inclusão Produtiva - CRIP"/>
        <s v="Atendimento para pessoas vítimas de violência"/>
        <s v="Histórico de pagamentos em Dívida Ativa"/>
        <s v="Licença Ambiental Municipal Prévia (LMP)"/>
        <s v="Nota Carioca - Informações sobre crédito pendente"/>
        <s v="Informações sobre o sistema Veritas"/>
        <s v="Desconto em contracheque de débito de encerramento de folha-servidor aposentado"/>
        <s v="Solicitação de desinterdição em serviços de alimentos e ensino"/>
        <s v="Isenção de TUAP para Feiras Livres, Feiras Móveis, Feiras Especiais e Feirartes"/>
        <s v="Instalação de equipamentos fotovoltaicos em imóveis protegidos"/>
        <s v="Licença para instalação de antenas"/>
        <s v="Informações sobre cães e gatos agressivos ou agressores"/>
        <s v="Informações sobre assistência financeira para funeral de dependente"/>
        <s v="Fiscalização de aterro, terraplanagem ou extração mineral irregular"/>
        <s v="Nota Carioca - Alteração de usuário, definição de perfil, acesso do contador"/>
        <s v="Notificação de descumprimento de acordo - Procon Carioca"/>
        <s v="ISS – Pedido de exclusão do nome do responsável, pessoa jurídica (escritório contábil) ou contador, do perfil da Nota Carioca"/>
        <s v="Projeto Voluntários para atuação em proteção e Defesa Civil"/>
        <s v="Consulta sobre a regularidade de funcionamento de escola privada de Educação Infantil"/>
        <s v="Centros Municipais de Referência da Pessoa com Deficiência"/>
        <s v="Informações sobre financiamento imobiliário (carta de crédito)"/>
        <s v="Desarquivamento de processo na Secretaria Municipal de Transportes"/>
        <s v="Solicitação de Licença para tratamento de saúde para servidores municipais"/>
        <s v="Fiscalização de captação irregular de água"/>
        <s v="Legislação do Regulamento do IPTU"/>
        <s v="Fiscalização de obras de contenção em andamento"/>
        <s v="CAD – Conselho de Administração do Previ-Rio"/>
        <s v="Cadastro de animais no Sisbicho"/>
        <s v="Editais Rio Capital Mundial do Livro 2025"/>
        <s v="Informações sobre o Programa Zonas de Cultura"/>
        <s v="Informações sobre contagem volumétrica de veículos"/>
        <s v="Imposto de Renda para servidor inativo residente no exterior"/>
        <s v="Informações sobre troca de agência do Banco Santander para servidor inativo e pensionista"/>
        <s v="Isenção de ISS para empresas que realizaram obras em imóveis protegidos"/>
        <s v="Informações sobre a fiscalização ambiental"/>
        <s v="Licença Municipal de Instalação (LMI)"/>
        <s v="Arborização para liberação de Habite-se"/>
        <s v="Vistoria em ameaça de rolamento de pedra"/>
        <s v="Laudo Técnico de imóveis com data de construção igual ou anterior a 1938 e imóveis situados no entorno de bens tombados"/>
        <s v="Informações sobre desapropriação de imóvel para obras de Infraestrutura da SMI"/>
        <s v="Solicitação de transferência de titularidade de comércio ambulante"/>
        <s v="Licença de obras"/>
        <s v="Licença Municipal de Instalação e Operação (LMIO)"/>
        <s v="Informações sobre vacinação de idosos contra a gripe em domicílio"/>
        <s v="Projetos para novas construções no mesmo lote de imóveis protegidos"/>
        <s v="Corregedoria da Procuradoria Geral do Município do Rio de Janeiro"/>
        <s v="Vistoria anual obrigatória - Transporte Complementar"/>
        <s v="Informações sobre a Família Acolhedora"/>
        <s v="Informações sobre o Parque Nacional da Tijuca"/>
        <s v="Informações sobre fiscalização das instalações de aparelhos de transporte"/>
        <s v="Busca e cadastramento de locações para produção audiovisual - Rio Film Commission"/>
        <s v="Programa Idoso em Família"/>
        <s v="Cópia de acordo de parcelamento em Dívida Ativa"/>
        <s v="Informações sobre o Projeto de Volta à Terra Natal"/>
        <s v="Informações sobre Educação de Jovens e Adultos (EJA)"/>
        <s v="Verificação de achados e perdidos em táxis"/>
        <s v="Cursos para Servidor Público Municipal - Informações"/>
        <s v="Restituição de indébito de ISS"/>
        <s v="Suspensão ou não reversão de pensão para filha solteira"/>
        <s v="Informações sobre inscrição para estágio na Riotur"/>
        <s v="Encerramento de folha de pagamento do servidor público ativo"/>
        <s v="Naves do Conhecimento"/>
        <s v="Cadastro para acesso às Cozinhas Comunitárias"/>
        <s v="Busca e cadastramento de prestadores de serviço para produção audiovisual - Rio Film Commission"/>
        <s v="Informações sobre a MultiRio"/>
        <s v="Licenciamento de obra para atendimento ao consumidor em vias públicas"/>
        <s v="Instalação de temporizador de iluminação pública"/>
        <s v="Informações sobre o programa de educação animal"/>
        <s v="Abertura de termo para transporte fretamento - Turismo / Eventos"/>
        <s v="Termo Municipal de Encerramento (TME)"/>
        <s v="Nota Carioca – Base de Cálculo: Deduções"/>
        <s v="Autorização para Manejo de Fauna (AMF)"/>
        <s v="Informações sobre Educação Ambiental no município do Rio de Janeiro"/>
        <s v="Inscrição em Programa de Tratamento Antitabagismo"/>
        <s v="Procuradoria Administrativa – PADM"/>
        <s v="Informações sobre posicionamento por tempo de serviço"/>
        <s v="Postos de Informações Turísticas da RIOTUR"/>
        <s v="Informações sobre o Programa Documenta Rio"/>
        <s v="Cartão de Estacionamento para prestadores de serviços de utilidade pública"/>
        <s v="Inclusão de Auxiliar - Transporte Complementar"/>
        <s v="Informações sobre Isenção / Imunidade / Não incidência no ISS"/>
        <s v="Solicitação de desinterdição em serviços de saúde, embelezamento e atividades físicas"/>
        <s v="Processo de Desapropriação"/>
        <s v="Proteção de bens culturais de natureza material e imaterial"/>
        <s v="Pagamento do financiamento imobiliário do Previ-Rio – 2ª via de boleto bancário"/>
        <s v="Carteira de Projetos Urbanísticos Estruturantes da SMDU/SUBPU"/>
        <s v="Patrimônio – Parcelamento de débitos pelo uso de imóvel público do patrimônio municipal"/>
        <s v="Verificação de desrespeito à gratuidade"/>
        <s v="Verificação de ocorrências no BRT"/>
        <s v="ISS – Impugnação ao Termo de Exclusão do Simples Nacional"/>
        <s v="Constituição de Pessoa Jurídica para atividade dispensada de alvará de licença de estabelecimento"/>
        <s v="Requerimento para aprovação de projeto técnico de pavimentação"/>
        <s v="Atualização cadastral - Transporte Complementar"/>
        <s v="TAXI.RIO Cidades - Informações sobre objeto perdido e verificação de irregularidades em táxi"/>
        <s v="Parcelamento em casos de posse em Dívida Ativa"/>
        <s v="Notificação de casos de intolerância religiosa"/>
        <s v="Informações sobre o DATA.RIO"/>
        <s v="Informação sobre autorização para funcionamento de cemitérios e serviços funerários"/>
        <s v="Informações sobre emissão de licença para obras de contenção de encosta e de extração mineral"/>
        <s v="Pontos de referência, garagens e áreas de uso comum"/>
        <s v="Fiscalização sanitária em criações de animais para fins comerciais"/>
        <s v="Informações sobre Medicina Alternativa para servidores"/>
        <s v="SERVIDOR CELETISTA – Atualização da carteira de trabalho do servidor celetista"/>
        <s v="Informações sobre concurso de bandas especializadas em Carnaval"/>
        <s v="Reativação de autorização de comércio ambulante"/>
        <s v="Manutenção de obras de drenagem"/>
        <s v="Informações sobre o Conselho Municipal de Defesa dos Direitos da Pessoa Idosa (COMDEPI-RIO)"/>
        <s v="Autorização de início de obra de drenagem urbana - AIO"/>
        <s v="Informações sobre desconto e isenção do imposto sindical"/>
        <s v="Averbação de Licenças e Certidões (AVB)"/>
        <s v="Informações sobre a participação da Defesa Civil em eventos"/>
        <s v="Orientação para obter o Cartão Nacional SUS (CNS)"/>
        <s v="Análise de criação, extinção ou alteração de linha de ônibus (SPPO)"/>
        <s v="Vistoria em local com presença de insetos (mosquito, aranha e lacraia)"/>
        <s v="Informações sobre Herança Jacente"/>
        <s v="Informação sobre licenciamento de produtos da MultiRio"/>
        <s v="Fiscalização de transporte de fretamento"/>
        <s v="Fiscalização de bens adotados"/>
        <s v="Transferência de matrícula por renúncia em Feiras Livres, Feiras Móveis, Feiras Especiais e  Feirartes"/>
        <s v="Atendimento em Hospitais Gerais e Especializados"/>
        <s v="Informações sobre acidentes com viaturas/equipamentos da Rioluz"/>
        <s v="Encerramento de termo - Táxi/Mototáxi"/>
        <s v="Informações sobre encerramento de folha de pagamento de servidor"/>
        <s v="Arrematação em Dívida Ativa"/>
        <s v="Infração ao Código Disciplinar de Transporte de Passageiros – Segunda Instância"/>
        <s v="Agendamento, consulta e cancelamento de vistoria por permissão - Transporte Complementar"/>
        <s v="Informações sobre empréstimo de livros nas bibliotecas populares"/>
        <s v="Informações sobre apoio indireto (ISS - Lei de Incentivo à Cultura)"/>
        <s v="Fiscalização de pesca predatória"/>
        <s v="Informações sobre trabalho ou estágio na MultiRio"/>
        <s v="Retirada ou adequação de quebra-molas (após avaliação favorável da CET-RIO)."/>
        <s v="ISS – Visto Fiscal/Inclusão Predial – Reenvio da Certidão de Visto Fiscal"/>
        <s v="Fiscalização de transporte escolar"/>
        <s v="ISS – Recurso especial"/>
        <s v="Programa Rio Dignidade"/>
        <s v="Juntada de documentos em Dívida Ativa"/>
        <s v="Vistoria em imóvel apresentando trepidação"/>
        <s v="Solicitação de autorização para do desfile de Blocos de Rua"/>
        <s v="Licença Municipal de Recuperação e Operação (LMRO)"/>
        <s v="Nota Carioca – Arquivos: envio em lote (notas convencionais recebidas) e importação"/>
        <s v="Alteração de endereço para atividades dispensadas de alvará"/>
        <s v="Informações sobre autorização para realização de pesquisa acadêmica"/>
        <s v="ISS – Incorporação de Empresas"/>
        <s v="Licença Municipal Simplificada de Habitação (LSH)"/>
        <s v="Emissão de TUAP para feirantes"/>
        <s v="Informações sobre a vacina antirrábica em humanos"/>
        <s v="Projeto de arborização para urbanização de endereço"/>
        <s v="Fiscalização sanitária de fumo em mercados, supermercados e agroindústria"/>
        <s v="Certificado de Adequação de Imóvel (CAI) em Unidades de Conservação Ambiental"/>
        <s v="Fiscalização de ocupação por atividade irregular na natureza"/>
        <s v="Infração ao Código Disciplinar de Transporte de Passageiros - Cancelamento (Primeira Instância)"/>
        <s v="Fiscalização de obras em passarela, viaduto, ponte e túnel revestido"/>
        <s v="Informações sobre o Terreirão do Samba"/>
        <s v="Informações sobre a Política Nacional Aldir Blanc (PNAB)"/>
        <s v="Licenciamento Sacolão Volante"/>
        <s v="Atendimento em Centro de Emergência Regional (CER)"/>
        <s v="Autorização para cemitérios e crematórios particulares de animais"/>
        <s v="Programa de visitas à CGM"/>
        <s v="Vistoria em escavação ou aterro irregular"/>
        <s v="Declaração de Conformidade Ambiental (DCA)"/>
        <s v="Solicitação de desinterdição em estabelecimentos comerciais em geral"/>
        <s v="ITBI – Petição para depósito administrativo do crédito tributário"/>
        <s v="Situação de nota de débito na SMDU"/>
        <s v="Informações sobre o monitoramento da qualidade do ar"/>
        <s v="Prova de Vida - Feirantes, Expositores e Ambulantes em feiras"/>
        <s v="Recurso de notificação de atividade econômica"/>
        <s v="Emissão de segunda via do CIAT - Transporte Complementar"/>
        <s v="Requerimento de fruição de valor de cargo de confiança"/>
        <s v="Recurso de notificação e intimação emitidas pela Rio-Águas"/>
        <s v="Responsabilidade tributária"/>
        <s v="Informações sobre o tratamento de dados pessoais pela Prefeitura do Rio de Janeiro"/>
        <s v="Desfile Blocos de Embalo e Enredo"/>
        <s v="Informações sobre imposto sindical"/>
        <s v="Informações sobre uso de espaços para projetos culturais"/>
        <s v="Informações sobre compensação das emissões de gases do efeito estufa de obras (Resolução Conjunta nº 14/2009)"/>
        <s v="Alteração do sentido de circulação de vias"/>
        <s v="Criação de novas Feiras Livres, Feiras Móveis, Feiras Especiais e Feirartes"/>
        <s v="Cadastro Nacional de Estabelecimento de Saúde"/>
        <s v="Fiscalização sanitária de fumo em estabelecimentos fechados de alimento ou de ensino"/>
        <s v="Fiscalização da manutenção da pavimentação de vias privatizadas – Linha Amarela"/>
        <s v="Pesquisa ao acervo arqueológico do Laboratório Aberto de Arqueologia Urbana (LAAU)"/>
        <s v="Consulta Prévia de Imóveis em Área de Entorno de Bens Tombados"/>
        <s v="Fiscalização sanitária de fumo em estabelecimentos comerciais em geral"/>
        <s v="Vistoria de Táxi - 1ª Autonomia, Inclusão e Permuta de Veículo e Vistoria Extra"/>
        <s v="Informações sobre atendimento em Classe Domiciliar"/>
        <s v="Informações sobre o Programa Territórios Sociais"/>
        <s v="Consulta Prévia - Intervenções em espaços públicos protegidos pelo Patrimônio Cultural"/>
        <s v="Concurso de Folião Original"/>
        <s v="Levantamento de depósito em Dívida Ativa"/>
        <s v="Atualização de dados cadastrais em Feiras Livres, Feiras Móveis, Feiras Especiais e  Feirartes"/>
        <s v="Processo de fatura para fornecedor da Rio-Águas"/>
        <s v="Inclusão e exclusão de substituto ou preposto em Feiras Livres, Feiras Móveis, Feiras Especiais e  Feirartes"/>
        <s v="Exames laboratoriais para diagnóstico de Raiva animal"/>
        <s v="Manutenção do túnel Marcelo Alencar (Mergulhão)"/>
        <s v="Solicitação de rebaixamento de meio fio para acesso de veículos"/>
        <s v="Emissão de segunda via de carteira e cartão em Feiras Livres, Feiras Móveis, Feiras Especiais e Feirartes"/>
        <s v="Sinalização gráfica horizontal viária"/>
        <s v="Informações sobre as Casas da Juventude"/>
        <s v="Participa.Rio – População"/>
        <s v="Consulta Prévia para imóveis em área do Sitio Paisagens Cariocas, bem como instalação de mobiliário e publicidade em áreas urbanas protegidas."/>
        <s v="Projeto de arborização para loteamento"/>
        <s v="Atendimento em Centros Especializados de Reabilitação"/>
        <s v="Licença Ambiental Municipal Comunicada para obras públicas de infraestrutura (LAC)"/>
        <s v="Certidão Municipal de Inexigibilidade de Licenciamento Ambiental para obras"/>
        <s v="Informações sobre seguro contra danos físicos de imóvel financiado pelo Previ-Rio"/>
        <s v="Solicitação de fiscalização de instalações de ar-condicionado central"/>
        <s v="Valores pagos indevidamente ao Previ-Rio - Ressarcimento"/>
        <s v="ISS – Recurso contra Declaração de Perempção"/>
        <s v="TAXI.RIO Cidades - Solicitação de devolução de pagamento"/>
        <s v="Acolhimento em Residência Inclusiva para pessoas com deficiência"/>
        <s v="Desarquivamento em Dívida Ativa"/>
        <s v="Manutenção de bicicletas do sistema Bike Rio"/>
        <s v="Disponibilização do acervo da Biblioteca da PGM"/>
        <s v="Consulta à Comissão de Integridade Pública"/>
        <s v="Fiscalização de árvore plantada em local irregular"/>
        <s v="Serviços de Iluminação na Transolímpica"/>
        <s v="Fiscalização de plantio recente de árvore em vias públicas"/>
        <s v="Instalação de publicidade, gradil e toldos em Imóveis protegidos"/>
        <s v="Informações sobre monumentos e chafarizes"/>
        <s v="Notificação de irregularidades em contratos de empresas terceirizadas da Secretaria de Educação"/>
        <s v="Apoio à produções audiovisuais - Rio Film Commission"/>
        <s v="Participa.Rio – Gestores da Prefeitura"/>
        <s v="Solicitação de fiscalização de instalações de exaustão mecânica de cozinha industrial"/>
        <s v="Reparo de píer de madeira"/>
        <s v="Colocação de mesas e cadeiras em Área de Proteção do Ambiente Cultural (APAC) ou em Áreas de Entorno de Bem Tombado (AEBT)"/>
        <s v="Licença Municipal de Recuperação (LMR)"/>
        <s v="Suspensão de cobrança em Dívida Ativa"/>
        <s v="Afastamento por licença em Feiras Livres, Feiras Móveis, Feiras Especiais e Feirartes"/>
        <s v="Vistoria de imóvel para emissão de laudo técnico de ausência de animais em demolições"/>
        <s v="Solicitação de revisão do FGTS do servidor celetista"/>
        <s v="Nota Carioca – Benefícios para pessoa jurídica: prestador e tomador de serviços"/>
        <s v="Fiscalização de comércio ilegal de animais silvestres"/>
        <s v="Licenciamento de reparos de emergência especiais em vias públicas"/>
        <s v="Extinção de serviço de transporte de passageiros complementar comunitário (STPC)"/>
        <s v="Pesquisa arqueológica nas obras de intervenção urbana"/>
        <s v="Baixa de Auxiliar - Transporte Complementar"/>
        <s v="Emissão da Certidão Municipal de Cumprimento de Condicionantes (CMCC)"/>
        <s v="Cartão de estacionamento para veículos prestadores de serviços de mobiliário urbano"/>
        <s v="Planta de Demarcação Faixa Non Aedificandi (FNA) ou Faixa Marginal de Proteção (FMP)"/>
        <s v="Informações sobre Plano Diretor de Arborização Urbana"/>
        <s v="Procuradoria de Serviços Públicos – PSE"/>
        <s v="Baixa de matrícula em Feiras Livres, Feiras Móveis, Feiras Especiais e  Feirartes"/>
        <s v="Informações sobre atendimento em Classe Hospitalar"/>
        <s v="Revisão dos valores da declaração de rendimentos inativos e pensionistas – DIRF"/>
        <s v="Vistoria em rolamento de pedra"/>
        <s v="Informações sobre Cartilha de Educação Animal"/>
        <s v="Análise de alteração de linha de STPL"/>
        <s v="Informações técnicas sobre obras, projetos e instrução processual"/>
        <s v="Informações sobre continuidade de pensão “post mortem”"/>
        <s v="Cidade das Artes - Solicitação de pauta para espetáculos, shows e eventos"/>
        <s v="Solicitação de Licença médica por acidente de trabalho para servidores municipais"/>
        <s v="Ressarcimento de saldo remanescente de arrematação de veículo leiloado"/>
        <s v="Informações sobre o Programa Ações Locais"/>
        <s v="Notificação de irregularidades em contratos de empresas terceirizadas da COMLURB"/>
        <s v="Cartão de estacionamento para veículos de imprensa"/>
        <s v="Fiscalização do uso de fumo em estabelecimentos de saúde, estética e atividade física"/>
        <s v="Suporte técnico à plataforma MultiRio"/>
        <s v="Informações sobre o Programa de Saúde Vocal do Professor"/>
        <s v="Informações sobre benefícios para moradores de imóveis interditados pela Defesa Civil"/>
        <s v="Informações sobre aumento da tarifa modal"/>
        <s v="Consulta de multas por permissão - Transporte Complementar"/>
        <s v="Notificação de irregularidades em contratos de empresas terceirizadas da Secretaria da Pessoa com Deficiência"/>
        <s v="Programa Jovens Cientistas Cariocas 2026"/>
        <s v="Recurso de edital de atividade econômica"/>
        <s v="Informações sobre limites de áreas protegidas"/>
        <s v="Informações sobre desfiles das Escolas de Samba no Sambódromo"/>
        <s v="Declaração de possibilidade de esgotamento pluvial (DPEP)"/>
        <s v="Informações sobre abertura de processos de Licenciamento Ambiental Municipal e legislações pertinentes"/>
        <s v="Fiscalização sanitária em agroindústrias e cervejas artesanais"/>
        <s v="Encerramento de termo dos Modais de Transporte"/>
        <s v="Solicitação de desinterdição em mercados, supermercados e agroindústria"/>
        <s v="ISS - Informações sobre desconto/parcelamento para empresas no entorno da Avenida Brasil"/>
        <s v="Relação de autorizações de remoção de vegetação emitidas"/>
        <s v="Abono de faltas em Feiras Livres, Feiras Móveis, Feiras Especiais, Antiquários e Feirartes"/>
        <s v="Autorização para instalação de paraciclos em local público"/>
        <s v="Declaração de Cota de Infradorso"/>
        <s v="Informações sobre controle de queimadas - Incêndio florestal"/>
        <s v="Certidão de tempo de serviço em Feiras Livres, Feiras Móveis, Feiras Especiais e  Feirartes"/>
        <s v="Consulta prévia - Rio-Águas"/>
        <s v="Verificação de ocorrências nas bilheterias do BRT"/>
        <s v="Informações sobre desmatamento no Parque Nacional da Tijuca"/>
        <s v="Selo Amigo dos Animais"/>
        <s v="Notificação de irregularidades em contratos de empresas terceirizadas da CET-Rio"/>
        <s v="Notificação de irregularidades em contratos de empresas terceirizadas da Secretaria de Assistência Social"/>
        <s v="Restabelecimento de matrícula em Feiras Livres, Feiras Móveis, Feiras Especiais, Antiquários e Feirartes"/>
        <s v="Análise de projeto arquitetônico e pronunciamento, de acordo com a arquitetura e/ou geometria do terreno"/>
        <s v="Fiscalização de retirada e comércio ilegal de plantas nativas"/>
        <s v="Abertura de termo para Serviço de Transporte de Passageiros Complementar Comunitário (STPC)"/>
        <s v="Aumento de feira em Feiras Livres e Feiras Móveis"/>
        <s v="Licença Municipal de Recuperação e Instalação (LMRI)"/>
        <s v="Certidão de vinculação de imóvel com unidade de conservação da natureza"/>
        <s v="Autorização para plantio voluntário de árvore em área pública"/>
        <s v="Fiscalização de projetos e obras executados pela RIO-URBE em unidades municipais"/>
        <s v="Capacitação em boas práticas e normas sanitárias para serviços veterinários e de interesse à saúde do animal"/>
        <s v="Emissão de segunda via do Certificado de Vistoria - Transporte Complementar"/>
        <s v="Projeto de arborização para enriquecimento florístico"/>
        <s v="Transferência de feira em Feiras Livres, Feiras Móveis e Feirartes"/>
        <s v="Informações sobre atendimentos pela Assistência Social em situações de desastres"/>
        <s v="Solicitação de alteração de ponto final de ônibus"/>
        <s v="Notificação de irregularidades em contratos de empresas terceirizadas da Secretaria de Ordem Pública"/>
        <s v="Notificação de irregularidades em contratos de empresas terceirizadas da Secretaria de Transportes"/>
        <s v="Infração ao Código Disciplinar de Transporte de Passageiros – Baixa de recurso"/>
        <s v="Emissão de taxas por permissão - Transporte Complementar"/>
        <s v="Informações sobre o Calendário Oficial de Eventos da Cidade - Rio o Ano Inteiro"/>
        <s v="Funcionamento extraordinário ou em datas especiais em Feiras Livres, Feiras Móveis, Feiras Especiais e Feirartes"/>
        <s v="Serviço de tradução e interpretação em Libras da Central Carioca de Intérpretes de Libras (CCIL)"/>
        <s v="Programa Empreenda.Rio"/>
        <s v="Ingresso ou baixa em Cooperativa - Transporte Complementar"/>
        <s v="Notificação de irregularidades em contratos de empresas terceirizadas da Fundação Parques e Jardins"/>
        <s v="Solicitação de mudança na localização de poste na calçada"/>
        <s v="Vistoria extra para segunda via de selo - Transporte Complementar"/>
        <s v="Certificado de isenção da Aceitação das Condições de Acessibilidade"/>
        <s v="Notificação de irregularidades em contratos de empresas terceirizadas da Rio-Águas"/>
        <s v="Baixa de permissão em Feiras Livres e Feiras Móveis"/>
        <s v="Informações sobre incêndio no Parque Nacional da Tijuca"/>
        <s v="Licença de obra de instalação de suporte ETR's"/>
        <s v="Solicitação de desinterdição em serviços veterinários e de interesse à saúde do animal"/>
        <s v="Encerramento de contrato de trabalho para servidor celetista"/>
        <s v="Autorização para ligação de efluentes sanitários"/>
        <s v="Consulta a processos na Secretaria Municipal de Cultura"/>
        <s v="Informações sobre concurso para eleição da Corte Real do Carnaval"/>
        <s v="Realização de necropsia em animais de médio e pequeno porte"/>
        <s v="Notificação de irregularidades em contratos de empresas terceirizadas da Procuradoria Geral do Município"/>
        <s v="Informações sobre o BioParque do Rio"/>
        <s v="Licença para desmonte de rocha ou estabilização de encosta"/>
        <s v="Cumprimento de exigências do Corpo de Bombeiros, Light e CEG em Imóveis protegidos"/>
        <s v="Informações sobre patrocínio em eventos esportivos"/>
        <s v="Programa de Dispensação de Tecnologia Assistiva da SMS (OPM's)"/>
        <s v="Informações sobre Programa Academia Carioca da Saúde"/>
        <s v="Notificação de irregularidades em contratos de empresas terceirizadas do Riocentro"/>
        <s v="Agendamento de vistoria por permissão em táxi"/>
        <s v="Inclusão e exclusão de técnica artística ou produto em Feirartes"/>
        <s v="Inscrição de chapa de eleição para Comissão de Administração de Feirartes e representantes de Feiras de Ambulantes"/>
        <s v="Notificação de irregularidades em contratos de empresas terceirizadas da Guarda Municipal"/>
        <s v="Informações sobre ações para reassentamento"/>
        <s v="Informações sobre custeio em projetos esportivos"/>
        <s v="Notificação de irregularidades em contratos de empresas terceirizadas da Secretaria de Infraestrutura"/>
        <s v="Notificação de irregularidades em contratos de empresas terceirizadas da Controladoria Geral do Município"/>
        <s v="Notificação de irregularidades em contratos de empresas terceirizadas da Fundação Cidade das Artes"/>
        <s v="Licenciamento de movimento de material terroso para fins de recuperação de áreas degradas por terraplanagem"/>
        <s v="Notificação de irregularidades em contratos de empresas terceirizadas da Companhia Municipal de Transportes Coletivos"/>
        <s v="Declaração de cota de greide"/>
        <s v="Notificação de irregularidades em contratos de empresas terceirizadas da RioFilme"/>
        <s v="Notificação de irregularidades em contratos de empresas terceirizadas da Secretaria Municipal de Desenvolvimento Urbano e Licenciamento"/>
        <s v="Fiscalização de caça e/ou captura de animais silvestres"/>
        <s v="Cadastramento de cotista para pensão alimentícia paga por servidor municipal"/>
        <s v="Fiscalização de danos à arborização urbana"/>
        <s v="Declaração de isenção de reservatório de retardo"/>
        <s v="Notificação de irregularidades em contratos de empresas terceirizadas da GEO-Rio"/>
        <s v="Acompanhamento de processo na Coordenadoria de Feiras"/>
        <s v="Informações sobre o Conselho Municipal de Política Cultural"/>
        <s v="Notificação de irregularidades em contratos de empresas terceirizadas da Secretaria de Fazenda"/>
        <s v="Consulta prévia para emissão de Relatório de Diretrizes Territoriais (RDT)"/>
        <s v="Notificação de irregularidades em contratos de empresas terceirizadas da Secretaria de Conservação"/>
        <s v="Solicitação de material de divulgação de informações turísticas"/>
        <s v="Informações sobre eventos nas salas de exibição da RioFilme"/>
        <s v="Notificação de irregularidades em contratos de empresas terceirizadas da Rio-Urbe"/>
        <s v="Informações sobre o Programa de Fomento Cultural - Viva o Talento"/>
        <s v="TAXI.RIO Cidades - Verificação de comportamento de taxistas contra usuários do aplicativo"/>
        <s v="Vistoria para inclusão de veículo - Transporte Complementar"/>
        <s v="Navezinhas Cariocas"/>
        <s v="Notificação de irregularidades em contratos de empresas terceirizadas da MultiRio"/>
        <s v="Notificação de irregularidades em contratos de empresas terceirizadas da Secretaria de Desenvolvimento Econômico"/>
        <s v="Notificação de irregularidades em contratos de empresas terceirizadas da Secretaria Especial de Inclusão"/>
        <s v="Notificação de irregularidades em contratos de empresas terceirizadas da Secretaria de Políticas para Mulheres e Cuidados"/>
        <s v="Requerimento de aprovação de projeto geométrico viário"/>
        <s v="Notificação de irregularidades em contratos de empresas terceirizadas da Secretaria de Ciência, Tecnologia e Inovação"/>
        <s v="Informações sobre a Procuradoria de Pessoal – PPE"/>
        <s v="Notificação de irregularidades em contratos de empresas terceirizadas da Previ-Rio"/>
        <s v="Notificação de irregularidades em contratos de empresas terceirizadas da Secretaria da Juventude Carioca"/>
        <s v="Notificação de irregularidades em contratos de empresas terceirizadas da Secretaria de Integração Metropolitana"/>
        <s v="Recurso de Auto de Infração emitido pela Rio-Águas"/>
        <s v="Solicitação de certidão de existência de iluminação pública"/>
        <s v="Gerenciamento de operações dentro das Unidades de Conservação e áreas protegidas"/>
        <s v="Informações turísticas sobre a cidade"/>
        <s v="Notificação de irregularidades em contratos de empresas terceirizadas da Secretaria Municipal de Governo"/>
        <s v="Solicitação de atestado de capacidade técnica Rioluz"/>
        <s v="Solicitação de projetores, chaves de alimentação e desligamento de iluminação para eventos e filmagens em áreas públicas"/>
        <s v="Informações sobre o projeto Coral Atrás da Nota"/>
        <s v="Informações sobre o uso de canudos de papel biodegradável e/ou reciclável"/>
        <s v="Informações sobre a RioFilme"/>
        <s v="Informações sobre consulta técnica sobre drenagem - Audiência com o engenheiro"/>
        <s v="Naves Satélites"/>
        <s v="Prorrogação do prazo de vistoria - Transporte Complementar"/>
        <s v="Fiscalização de obras de drenagem sem autorização"/>
        <s v="Solicitação de Certidão de Inteiro Teor (CIT) da Vigilância Sanitária"/>
        <s v="Análise de criação, ajuste de itinerário ou perímetro do transporte comunitário"/>
        <s v="Informações sobre a mostra de Artesanato &quot;Feira do Servidor&quot;"/>
        <s v="Solicitação de atestado de fornecimento de material à Rioluz"/>
        <s v="Informações sobre o monitoramento do nível da Lagoa Rodrigo de Freitas"/>
        <s v="Solicitação de uso da logomarca da Secretaria Municipal de Cultura"/>
        <s v="Informações sobre a Procuradoria Trabalhista (PTA)"/>
        <s v="Requerimento de aprovação de Projeto Estrutural de Obras de Arte Especiais"/>
        <s v="Análise e concessão do benefício de gratuidade no transporte público municipal para não munícipes - Passe Livre Especial"/>
        <s v="Análise, orientação ou fiscalização de animais comunitários"/>
        <s v="Atendimento em Centros Especializados de Reabilitação Auditiva - EXCLUIR"/>
        <s v="Atendimento Integral à Saúde do Adulto (Homem, Mulher e Pessoa Idosa)"/>
        <s v="Autorização para Cooperativa e Associação de Táxi/Mototáxi - Abertura de Termo"/>
        <s v="Cadastro de veterinários na plataforma do registro geral de animais – Sisbicho"/>
        <s v="Cartão de Identificação de Auxiliar de Transportes - CIAT"/>
        <s v="Como andar pelo Rio usando transporte público"/>
        <s v="Consulta de Processos Administrativos"/>
        <s v="Emissão de guia de liquidação de parcelamento de Dívida Ativa"/>
        <s v="EXCLUIR - Patrimônio – Solicitação de instalação e manutenção de abrigo em ponto de ônibus"/>
        <s v="Fiscalização de caçamba particular, empresas e autônomos não credenciados, veículos não permitidos e fora do padrão"/>
        <s v="Fiscalização sanitária de serviços veterinários e de interesse à saúde do animal"/>
        <s v="Inclusão de aluno para acompanhamento escolar"/>
        <s v="Informações sobre a Procuradoria de Atenção à Saúde (PAS)"/>
        <s v="Informações sobre a Procuradoria de Urbanismo e Meio Ambiente"/>
        <s v="Informações sobre a Procuradoria Tributária (PTR)"/>
        <s v="Informações sobre Bailes Populares e Baile da Cinelândia"/>
        <s v="Informações sobre concessão de autorização de matrícula nova em Feirartes"/>
        <s v="Informações sobre juntada de documentos nos processos localizados na fiscalização ambiental"/>
        <s v="Informações sobre o Jaé"/>
        <s v="Informações sobre o Programa de Controle da Hanseníase"/>
        <s v="Informações sobre os produtos e projetos da MultiRio"/>
        <s v="Informações sobre Restaurantes Populares"/>
        <s v="Informações sobre transporte público"/>
        <s v="Informações sobre valores de serviços funerários e recadastramento de jazigos"/>
        <s v="IPTU - Denúncia de imóvel não cadastrado no IPTU ou com dados incorretos"/>
        <s v="IPTU – Informação sobre reconhecimento de imunidade, isenção e não incidência"/>
        <s v="ISS - Baixa de autônomos estabelecidos - EXCLUIR"/>
        <s v="ISS - Baixa para autônomos estabelecidos"/>
        <s v="ISS - Cancelamento/Substituição de NF-e ou Declaração de serviços prestados/tomados."/>
        <s v="ISS - Emissão certidões de situação fiscal de ISS de autônomos"/>
        <s v="ISS - Simples Nacional – Declaração Retida em Malha Fiscal PGDAS-D"/>
        <s v="ISS – Certidão de Situação Fiscal - ELIMINAR"/>
        <s v="ISS – Parcelamento / Reparcelamento de débito não inscrito em dívida ativa"/>
        <s v="ISS – Requerimento para Apropriação de guias do ISS (exclusivo para código de receita 129.5)"/>
        <s v="ISS – Tributação de Sociedades Uniprofissionais"/>
        <s v="ITBI - Consulta de protocolo/guia"/>
        <s v="ITBI - Correção de dados da guia paga em folha suplementar"/>
        <s v="Licenciamento de instalações de ar-condicionado central e de exaustão de cozinha industrial"/>
        <s v="Manutenção/Instalação/Remoção de abrigo de ônibus com ou sem publicidade"/>
        <s v="Nota Carioca - Consulta aos créditos e abatimento no IPTU"/>
        <s v="Nota Carioca - Desbloqueio de senha web"/>
        <s v="Nota Carioca - Esclarecimento de dúvidas e legislação"/>
        <s v="Notificação de irregularidades trabalhistas em contratos de empresas terceirizadas da Secretaria de Saúde"/>
        <s v="Oportunidades Cariocas"/>
        <s v="Programa Adote.Rio"/>
        <s v="Programa Adote Rio (Unidades de Conservação)"/>
        <s v="Projeto de greide e galeria de águas pluviais"/>
        <s v="Questões com álcool e drogas"/>
        <s v="Recurso ao auto de multa da Vigilância Sanitária"/>
        <s v="Renovação da garantia contratual de vans (STPL)"/>
        <s v="Ressarcimento de taxas de diárias e remoção de veículo"/>
        <s v="Solicitação de autorização para rebaixamento de meio-fio"/>
        <s v="Solicitação de prorrogação de prazo do Termo de Intimação"/>
        <s v="Solicitações de profissionais da imprensa para a Assessoria de Comunicação da Riotur"/>
        <s v="Vistoria para permuta de veículo - Transporte Complementar"/>
        <s v="Vistoria técnica em local onde há maus tratos de animais domésticos"/>
      </sharedItems>
    </cacheField>
    <cacheField name="Responsável" numFmtId="0">
      <sharedItems count="4">
        <s v="José Maurício"/>
        <s v="Ana Flávia"/>
        <s v="Egon"/>
        <s v="Bruno"/>
      </sharedItems>
    </cacheField>
    <cacheField name="Análise Relevância" numFmtId="0">
      <sharedItems count="6">
        <s v="Não fica - validado"/>
        <s v="Fica - Validado"/>
        <s v="Fica"/>
        <s v="Provavelmente fica"/>
        <s v="Provavelmente não fica"/>
        <s v="Não fica"/>
      </sharedItems>
    </cacheField>
    <cacheField name="Agregar em outro serviço?" numFmtId="0">
      <sharedItems containsBlank="1" count="4">
        <s v="Não"/>
        <m/>
        <s v="Sim"/>
        <s v="Talvez"/>
      </sharedItems>
    </cacheField>
    <cacheField name="De-Para" numFmtId="0">
      <sharedItems containsBlank="1" count="82">
        <s v="Informações sobre inscrição e atualização do Cadastro Único"/>
        <m/>
        <s v="Inscrição e atualização do Cadastro Único"/>
        <s v="Solicitação de declaração de escolaridade"/>
        <s v="Solicitação de orientações sobre alvará pela internet"/>
        <s v="Suporte técnico para canais digitais do 1746"/>
        <s v="Verificação de frequência irregular da coleta domiciliar"/>
        <s v="Eu acho que este serviço não deveria existir. As tarifas devem estar nos serviços sobre os modais e no geral &quot;Informações sobre transporte público&quot;"/>
        <s v="ISS - Consulta de pendências"/>
        <s v="ISS – Profissional Autônomo "/>
        <s v="Consulta e emissão de Auto de Infração "/>
        <s v="Cadastro de procurador de Empresa"/>
        <s v="ISS –Formalização da opção pelo Simples Nacional"/>
        <s v="Agendamento de castração de animais domésticos (Novo)"/>
        <s v="Táxi - Vistoria veicular e atualização documental  (ele tb não deveria acompanhar a lógica do ISS e outros? )"/>
        <s v="Solicitação de alvará para eventos "/>
        <s v="ISS - Emissão de DARM trimestral de autônomos"/>
        <s v="Pode ser retirado porque no script geral de trasnporte tem as informações sobre todos os cartões"/>
        <s v="Vamos falar sobre o título e o script. "/>
        <s v="Nâo pode ser só ITBI - Restituição total ou parcial ?"/>
        <s v="ISS - Dívida e parcelmando de débito não inscrito em Dívida Ativa"/>
        <s v="ITBI – Revisão de valor e Reconsideração de decisão"/>
        <s v="Informações sobre Portal da Transparência Rio [Transparência e Acesso à informação (Novo)]"/>
        <s v="Informações sobre o Conselho Tutelar / Informações sobre Conselho Tutelar e justiça contra criança e/ou adolescente"/>
        <s v="Reparo de buraco na calçada (com formulário)"/>
        <s v="Fornecimento de informações sobre PAA e PAL"/>
        <s v="Informações sobre o Programa Cartão Família Carioca"/>
        <s v="Informações sobre o Benefício de Prestação Continuada"/>
        <s v="Realização de exames em animais (novo nome)"/>
        <s v="Consulta a processos administrativos"/>
        <s v="nao vejo motivo para ficar "/>
        <s v="Alvará de Licença de Estabelecimento (Novo)"/>
        <s v="Acervo de Imagens PAA/PAL"/>
        <s v="acho que deve ir pro site da SMPD"/>
        <s v="Informações sobre o acolhimento institucional de adultos, famílias, idosos em vulnerabilidade"/>
        <s v="Reparo de luminária"/>
        <s v="Cópia autêntica de laudo de vistoria"/>
        <s v="temos que ver com Thiago "/>
        <s v="[Transparência e Acesso à informação (Novo)]"/>
        <s v="Informações sobre desentupimento ou reparo de rede de esgoto em logradouros públicos"/>
        <s v="Solicitação de atendimento do Conselho Tutelar"/>
        <s v="Informações sobre atendimento à mulher vítima de violência (CEAM)"/>
        <s v="Fiscalização de caça e/ou captura de animais silvestres / Fiscalização de comércio ilegal de animais silvestres"/>
        <s v="Informações sobre Portal da Transparência Rio"/>
        <s v="Informações sobre valores de serviços funerários e recadastramento de jazigos"/>
        <s v="galera do sei pediu pra ficar, mas tem que mudar título.  "/>
        <s v=" Concordo que deve virar um script sobre carnaval no rio e levar para o hotsite do ano"/>
        <s v="Informações sobre o programa de educação animal"/>
        <s v="este é um script super útil e acho que ele não é so campanha. Você pode ir lá a qualquer momento. Se for isto, vamos apenas alterar o nome para &quot;Adoação de animais da fazenda Modelo&quot;"/>
        <s v="Serviço precisa ser revisado. Está ruim. Seerá que já não está no Oportunidades cariocas??"/>
        <s v="Vai mudara para Limpeza e desobstrução de rios e canais"/>
        <s v="Atualizar script "/>
        <s v="pra mim não fica, pois os scripts de fiscalização dão conta das informações especificas. Não faz sentido"/>
        <s v="acho que não faz sentido. porque o serviço não tem nenhuma informação e só direciona. "/>
        <s v="Informações sobre Restaurantes Populares"/>
        <s v="Informações sobre Cartilha de Educação Animal"/>
        <s v="Informações sobre os Centro de Referência de Assistência Social - CRAS"/>
        <s v="acho que não faz sentido ficar. É política dos órgãos e muitos têm estágios. deve estar no site institucional "/>
        <s v="Programa Idoso em Família"/>
        <s v="juntar em um script sobre o carnal para levar pro institucional. Tem outro tb que complementa este sobre os grupos prata e bronze e de avaliação "/>
        <s v="acho que editais em geral poderiam estar no site institucional dos órgãos e não na carta de serviços "/>
        <s v="Acho que não deveria ficar, pois é informação sobre legislação. não faz sentido."/>
        <s v="Podemos ver com ana se não pode ficar apenas em ouvidoria e LAI. "/>
        <s v="colocar no script sobre carnaval "/>
        <s v="Informações sobre desconto e isenção do imposto sindical"/>
        <s v="a informação fica no site de carnaval que terá uma única entrada na carta de serviços"/>
        <s v="o script diz tudo sobre o serviço e ainda leva para o Oportunidades cariocas"/>
        <s v="Este serviço precisa ser totalmente revisto, mas ele é ums erviço de fato. Mos seu enfoque deveria ser &quot;Consulta prévia para intervenções de áreas de preservação cultural&quot;"/>
        <s v="Este serviço deve ficar, mas precisa ter seu título e script revistos: &quot;Biblioteca da Procuradoria Geral do Município&quot;"/>
        <s v="Fiscalização de árvore plantada em local irregular"/>
        <s v="Solicitação de Certidão ..."/>
        <s v="Vistoria em ameaça de rolamento de pedra"/>
        <s v="Precisa melhorar o script. Está muito repetitivo "/>
        <s v="Solicitação de desinterdição em estabelecimentos comerciais em geral"/>
        <s v="Serviço totalmente equivocado. Diz que é informação no título e no script fala que é serviço e que pode ser solicitado, mas não testá aberto pra solicitação "/>
        <s v="Consultar minhas solicitações do Processo.rio"/>
        <s v="Adote Rio (Unidades de Conservação) "/>
        <s v="Solicitação de rebaixamento de meio fio para acesso de veículos"/>
        <s v="Informações sobre o Programa Bolsa Família"/>
        <s v="Informações sobre o Programa Auxílio Gás dos Brasileiros"/>
        <s v="Informações sobre a Carteira da pessoa Idosa"/>
        <s v="Informações sobre o projeto de empreendedorismo comunitário"/>
      </sharedItems>
    </cacheField>
    <cacheField name="Detalhamento" numFmtId="0">
      <sharedItems containsBlank="1" count="204">
        <s v="Duplicação"/>
        <s v="Fica por ainda estar no ano vigente. Para o  próximo ano precisará de alteração no script. "/>
        <m/>
        <s v="Solicitado pelo Carioca digital"/>
        <s v="Duplicado &quot;Informações sobre inscrição e atualização do Cadastro Único&quot;"/>
        <s v="Provavelmente fique com alteração das informações do script com base no ano vigente"/>
        <s v="O cidadão consegue o histórico de IPTU desde 2013. Consegue ver processos administrativos vinculados e inclusive, beneficio fiscal do imóvel, caso tenha."/>
        <s v="Duplicidade"/>
        <s v="Sazonal"/>
        <s v="Serviço informativo"/>
        <s v="Informação sobre unidade de atendimento"/>
        <s v="item é apenas informativo, sendo necessário a abertura presencial do processo administrativo."/>
        <s v="Novo nome"/>
        <s v="Rever em 2027 (Agendamento de castração de animais domésticos (Novo))"/>
        <s v="Mesclar com &quot;Autorização para publicidade vinculada a eventos&quot;"/>
        <s v="Serviço informativo e abertura pelo canal digital direto à SMTR"/>
        <s v="Este script deve ser desativado, pois trata de uma informação de um serviço que não é mais oferecido pelo órgão."/>
        <s v="Institucional"/>
        <s v="Institucional "/>
        <s v="ha 2 artigos sobre concessão de alvará "/>
        <s v="É um serviço necessário porém ele é sazonal"/>
        <s v="Sugiro indicar que o serviço é voltado  para os Taxistas"/>
        <s v="É um serviço que tem demanda visto que a comlurb em muitos casos, não recolhe os residuos da poda no dia, podendo levar até 72 horas após o serviço. "/>
        <s v="Talvez vire uma categoria no novo sistema"/>
        <s v="Quando o atendimento é pela Ouvidoria e quando é feito pelo Conselho Tutelar?"/>
        <s v="O pref.rio nao é inclusivo?"/>
        <s v="Duplicado ?"/>
        <s v="Apesar de não ser solicitável, tem alto acesso"/>
        <s v="Serviço em âmbito federal previsto nas juntas militares que podem ser nos endereços de GELs ou não"/>
        <s v="Quando o atendimento é pela Ouvidoria e quando é feito pelo CRAS?"/>
        <s v="Serviço do Estado RJ"/>
        <s v="Processo.Rio virou Sei!"/>
        <s v="Ver com o órgão. Novo nome e novo script"/>
        <s v="Duplicado"/>
        <s v="portalcarioca@prefeitura.rio"/>
        <s v="Informação sem link de solicitação ativo funcionando"/>
        <s v="Duplicado &quot;Concessão de alvará de licença de estabelecimento pela internet&quot;"/>
        <s v="Informações institucionais"/>
        <s v="Não são &quot;Informações sobre o Programa. &quot; São serviços de Consulta a Multas pelo Descumprimento da Lei de Limpeza Urbana (Lixo zero)"/>
        <s v="Informação sobre matrículas (usa o mesmo link). No Portal 1746 não está funcionando."/>
        <s v="Informações de consulta"/>
        <s v="Link encaminha para o &quot;Oportunidades Cariocas&quot;"/>
        <s v="Informações sobre autoserviço"/>
        <s v="Serviço de acolhimento"/>
        <s v="Está como ouvidoria. Mas, tem um grande volume de chamados/acessos. Link do Pref.Rio não está funcionando"/>
        <s v="Órgãos diferentes. Produtos diferentes. Mesmo interesse do cidadão. "/>
        <s v="Manter um único script sobre &quot;Consulta a processos&quot;. Assim como esse, temos da Vigilância, SMTR, etc, e não é bom termos o mesmo assunto segregado por secretarias."/>
        <s v="Nome com sigla"/>
        <s v="Em avaliação SMF"/>
        <s v="Hub de serviços funciona como as categorias"/>
        <s v="Contribuição para o Fundo de proteção animal"/>
        <s v="Entendo ser relevante devido ao número de acessos acima de 250 por mês."/>
        <s v="Estudar a ideia de criar um único script sobre &quot;Licenças Municipais&quot; e agrupar os mais diversos temas."/>
        <s v="Interessante criar um único script hub sobre &quot;Alvará de Licença de Estabelecimento&quot; e adicionar infos sobre &quot;baixa&quot;, &quot;alteração de atividade&quot; e &quot;concessão via internet&quot;"/>
        <s v="Inclusão?"/>
        <s v="Informativo"/>
        <s v="Desentupimento de esgotos já existe"/>
        <s v="Criar um script único sobre programas de incentivo, já conversado com a SMC"/>
        <s v="Transformar em script de informação"/>
        <s v="Prazo encerrou em 31/12/24 - Precisa rever o script. Tem  do ano de 2025 também, que já encerrou o prazo. Avaliar com o órgão. "/>
        <s v="Participação Social das pessoas com deficiência junto ao Conselho Municipal dos Direitos da Pessoa com Deficiência (COMDEF-RIO)"/>
        <s v="Em avaliação SUPPA"/>
        <s v="Rever o nome"/>
        <s v="Mesclar com &quot;Licença de obras&quot; a fim de criar um script único"/>
        <s v="Mesclar com &quot;Autorização para exibição de publicidade&quot;"/>
        <s v="A CTB é emitida pelo gov federeal. Mudar o nome."/>
        <s v="Informação sobre conceito. FAQ. Ajustar nome e script."/>
        <s v="fica com alteração do nome. É um serviço da SMF - IPTU "/>
        <s v="Página não está funcionando. Verificar um alternativa para acesso da população ao conteúdo (Instagram)"/>
        <s v="Ouvidoria?"/>
        <s v="Última atualização do script no CD foi em 05/2023. O script ficaria em edição e atualizações constantes"/>
        <s v="Rever script pois o tipo de serviço prestado é reclamado na própria concessionária."/>
        <s v="Apesar de ser um tema importante, acredito que essa informação seja consultada primeiramente na unidade escolar e não no site da Prefeitura."/>
        <s v="Como o órgão atua"/>
        <s v="Só consta no 1746 atualmente"/>
        <s v="É referente a um decreto de 2018"/>
        <s v="Provável FAQ. Não orienta o cidadão."/>
        <s v="Informação útil. Olhar de forma conjunta para todos os scripts que falam de cemitério."/>
        <s v="Informações sobre atividades nas Embaixadas Cariocas"/>
        <s v="Informação genérica dos canais para acompanhamento de demandas do CzRM"/>
        <s v="O serviço não teve continuidade. Não existe o app. "/>
        <s v="Consulta ao arquiivo geral"/>
        <s v="Processo.rio"/>
        <s v="Informações sobre como o órgão atua"/>
        <s v="Ajustar nome do script para &quot;Cadastro de Inscrição Municipal de bancas de jornais e revistas&quot;"/>
        <s v="Institucional - Já existe um sobre desentupimento de esgotos e saneamento"/>
        <s v="Possível categoria equivalente a Reclamação em LAI"/>
        <s v="Me pareceu ser o mesmo conteúdo de &quot;Recurso de notificação de atividade econômica&quot;"/>
        <s v="Monitoramento das ameaças nas áreas vulneráveis"/>
        <s v="Solicitação de selo..."/>
        <s v="Informações estão disponíveis em site institucional, tanto editais para participação quanto o mapa das rodas de samba."/>
        <s v="este script está totalmente sem informação"/>
        <s v="Informações sobre como os órgãos atuam"/>
        <s v="Importância do programa, porém é preciso haver uma reformulação no script. Atualmente ele trata de inscrições (empresas) e não sobre como o cidadão garante a gratuidade em eventos"/>
        <s v="Conceitual"/>
        <s v="Mesmos interesses do cidadão"/>
        <s v="Retirando o Mototáxi do texto"/>
        <s v="Não é solicitável de forma alguma"/>
        <s v="Sugiro mudança no nome do serviço"/>
        <s v="Base de informações sobre os órgãos/serviços"/>
        <s v="Sugestão de planejamento urbano. Pode ser inserida em outro serviço?"/>
        <s v="Serviços funerários"/>
        <s v="Informação pra saber sobre tramitação de processo físico"/>
        <s v="Talvez criar um script único sobre Desfiles no Carnaval"/>
        <s v="Serviço de desentupimento de esgoto e saneamento"/>
        <s v="Artigo informacional"/>
        <s v="Atenção: Mudar o nome do serviço e rever script. Adoação de animais da fazenda Modelo"/>
        <s v="Relevância do assunto"/>
        <s v="Pode atender a necessidade da população em utilizar os espaços"/>
        <s v="Serviço &quot;Limpeza, desassoreamento e manutenção de rios e canais&quot; no Carioca não encaminha para o serviço &quot;Limpeza de vala de drenagem&quot; no 1746 que, em tese, seria o mesmo"/>
        <s v="Serviço de atendimento em programa assistencialista, pop de rua"/>
        <s v="Fora do âmbito do município"/>
        <s v="Tema importante de ser mantido, porém há a necessidade de simplificar o tempo &quot;fotovoltaico&quot;. Talvez Instalação de placas solares / Instalação de equipamentos de energia solar..."/>
        <s v="Informação sobre campanha"/>
        <s v="Endereços/Informações institucionais"/>
        <s v="Confirmar com o órgao se tem base legal pra ficar - Zé Maurício vai verificar_x000a_&gt;&gt; Segundo o órgão há demandas de jornalistas. Entendo que o artigo vai na linha do &quot;Como o órgão atua&quot;. Entendo que não deve ficar. INSTITUCIONAL"/>
        <s v="Talvez criar um script único sobre programas de incentivo, já conversado com a SMC"/>
        <s v="Não é solicitável de forma alguma. é apenas uma informação institucional"/>
        <s v="Precisa solicitar alteração na página institucional pois a atualização volumétrica de veículos está até 2024. Não poderia ser feito pedido via formulário 1746???"/>
        <s v="Informação muito genérica"/>
        <s v="Mesclar com &quot;Licenciamento para execução de obra e/ou reparo programados em vias públicas&quot;; &quot;Legalização de obra e/ou reparo em vias públicas&quot;, &quot;Licenciamento de Obra para Atendimento ao Consumidor em Vias Públicas&quot;, &quot;Licenciamento de serviço em vias públ"/>
        <s v="Possível ajuste de script/nome"/>
        <s v="Precisa verificar a descrição pois o email é educorporativa.sma@rio.rj.gov.br (antigo) e foi atualizado em 01/01/23. Link https://prefeitura.rio/web/servicoscompartilhados  não está entrando"/>
        <s v="Acho interessante devido a relevância do assunto, mas temo ser o único script do tema para mantermos."/>
        <s v="Já existe outro &quot;Informações sobre os produtos e projetos da MultiRio&quot;"/>
        <s v="&quot;A solicitação deve ser acompanhada de um abaixo-assinado&quot;"/>
        <s v="É informativo - Procuradoria da Prefeitura"/>
        <s v="Baixo volume"/>
        <s v="Acesso a informações sobre a cedade"/>
        <s v="É informativo - IPTU"/>
        <s v="Optaria por colocar como informação interna dos órgãos no Nivel central, pois divulga telefone e é restrito a servidores e agendamento prévio. sUPRE A ausencia da intranet"/>
        <s v="Informação individuais dos órgãos"/>
        <s v="Divulgações realizadas em DO"/>
        <s v="Comunicação institucional"/>
        <s v="Solicitação de"/>
        <s v="Entrar em contato com ouvidoria para melhoria de script"/>
        <s v="Mesmo serviço"/>
        <s v="Script fala que não atende emergência mas coloca prazo de atendimento de emergência"/>
        <s v="Balcão de informações"/>
        <s v="Baixa procura e a informação pode ser encontrada na íntegra dentro do site institucional."/>
        <s v="Me pareceu ser o mesmo conteúdo de &quot;Recurso para auto de infração de atividade econômica&quot;"/>
        <s v="Portal da Prefeitura/ Podemos ver com ana se não pode ficar apenas em ouvidoria e LAI. "/>
        <s v="Baixa procura e a informação pode ser encontrada na íntegra dentro do site institucional. Além de ser infromação sazonal."/>
        <s v="Relevância do assunto / Acesso à informação"/>
        <s v="Incluir no script sobre consulta prévia em outros lugares?"/>
        <s v="Mesclar com o script de emissão de carteira/cartão em Feiras"/>
        <s v="O script não diz qual serviço é prestado"/>
        <s v="Muito específico e pouco demandado"/>
        <s v="Apesar da baixa procura, é um ponto importante"/>
        <s v="Informações enciclopédicas"/>
        <s v="Apesar da baixa procura, acredito ser importante devido ao conteúdo"/>
        <s v="É informativo"/>
        <s v="informa e orienta sobre a obrigatoriedade em intervenções sinalizadas em processo de licenciamento de obra.  Não tem caminho para consulta de fato"/>
        <s v="É informativo. Como proceder pra retirar o taxista auxiliar."/>
        <s v="Necessário rever script. Não tem documentação necessária."/>
        <s v="Autorização de estacionamento "/>
        <s v="Informação pouco acessada. Deveria ser pública"/>
        <s v="Campanha/como o órgão atua"/>
        <s v="Pouco solicitado. Consulta sobre"/>
        <s v="Serviço fiscalizador"/>
        <s v="Precisa melhorar o script. Está muito repetitivo "/>
        <s v="Verificar se ainda é um serviço ativo na SME"/>
        <s v="Serviço informativo e sazonal. Ouvidoria (temas gerais)"/>
        <s v="Informação de como solicitar. è encaminhado para o Data.rio"/>
        <s v="Informação sazonal e divulgada em página institucional"/>
        <s v="Só informa a existência de outros artigos de licenciamento ambiental. Pode até virar hub."/>
        <s v="Serviço pouco demandado.  Pode ser agregado ao &quot;Solicitação de desinterdição em estabelecimentos comerciais em geral!&quot;"/>
        <s v="Transparência ativa. Institucional"/>
        <s v="É uma solicitação de serviço - Informações "/>
        <s v="Serviço pouco claro, técnico e pouco demandado"/>
        <s v="Não é solicitável. Só nos Bombeiros"/>
        <s v="Não é solicitável. Direciona para a administração do Parque"/>
        <s v="Peticionamento"/>
        <s v="Pouco demandado"/>
        <s v="Informações e procedimentos para o transporte &quot;cabritinho&quot;"/>
        <s v="Subtipo interno"/>
        <s v="Capacitação  - Decreto Rio nº 57.501, de 30 de janeiro de 2026"/>
        <s v="O atendimento da SMAS é acionado após a avaliação de risco pela Defesa Civil,"/>
        <s v="Pagamento de DARM para o serviço"/>
        <s v="Informações podem ser consultadas diretamente na página institucional (o script faz esse direcionamento)"/>
        <s v="Não é solicitável"/>
        <s v="Verificar a possibilidade de conversar com Licença de obras"/>
        <s v="Serviço informativo para servidores celetistas que irão se aposentar"/>
        <s v="Serviço antigo que se refere a exames verterinários"/>
        <s v="verificar os acessos em - Realização, Consulta e Cancelamento de Agendamento de Vistoria por Permissão em Taxi - Pois parece ser o mesmo serviço e o informado não tem no carioca digital com esse titulo. Substituir &quot;por permição&quot; se possível. Atualizar scr"/>
        <s v="Script confuso"/>
        <s v="É informativo."/>
        <s v="Informações sobre cursos oferecidos (direcionamento para o Oportunidades)"/>
        <s v="Processos judiciais do Municipio/ Servidor"/>
        <s v="Muito pouco demandado"/>
        <s v="Não teve acesso. Foi criado em 2022 por conta da lei do canudo de papel. Babi alinhará com Aline. Há histórico sobre este tema."/>
        <s v="Informações que devem estar em site institucional"/>
        <s v="Informações e procedimentos para o transporte &quot;cabritinho&quot;. Atualizar script e nome (Pref e Carioca)."/>
        <s v="Não é solicitável / Institucional"/>
        <s v="Foi criado no Pref"/>
        <s v="Nome diferente no carioca e 1746: Atendimento à Saúde do Adulto (Homem, Mulher e Pessoa Idosa)"/>
        <s v="Sugiro a retirada de Mototáxi"/>
        <s v="Cartão de identificação"/>
        <s v="Serviço não localizado"/>
        <s v="Somente autarquias podem dar entrada nos processos. Serviço interno da adm pública. Não solicitável via Carioca/"/>
        <s v="Verificar as informações no script - última atualização em 28/11/2022"/>
        <s v="Projeto da Karen"/>
        <s v="Informação institucional"/>
        <s v="ID Duplicado"/>
      </sharedItems>
    </cacheField>
    <cacheField name="Solicitável pelo Portal 1746" numFmtId="0">
      <sharedItems containsBlank="1" count="3">
        <m/>
        <s v="Não"/>
        <s v="Sim"/>
      </sharedItems>
    </cacheField>
    <cacheField name="Atualizar Script?" numFmtId="0">
      <sharedItems containsBlank="1" count="4">
        <m/>
        <s v="Sim"/>
        <s v="Talvez"/>
        <s v="VALIDAR COM O ÓRGÃO"/>
      </sharedItems>
    </cacheField>
    <cacheField name="Script atualizado?" numFmtId="0">
      <sharedItems containsBlank="1" count="2">
        <m/>
        <s v="Sim"/>
      </sharedItems>
    </cacheField>
    <cacheField name="Obs" numFmtId="0">
      <sharedItems containsBlank="1" count="2">
        <m/>
        <s v="Dificuldade de contato com a equipe da ouvidoria."/>
      </sharedItems>
    </cacheField>
    <cacheField name="Nome Zendesk/Carioca" numFmtId="0">
      <sharedItems containsBlank="1" count="52">
        <m/>
        <s v="Informações sobre os Centros de Referência de Assistência Social - CRAS"/>
        <s v="t"/>
        <s v="Autorização para cemitérios e crematórios particulares de animais"/>
        <s v="Passe Livre / Informações sobre a Central de atendimento do passe livre"/>
        <s v="PREFRIO"/>
        <s v="Atendimento em Centros Especializados de Reabilitação"/>
        <s v="impressao do cartao de identificacao de auxiliar de transporte - ciat"/>
        <s v="consulta de processos administrativos eletronicos"/>
        <s v="emissao guia de liquidacao de parcelamento"/>
        <s v="Fiscalização de Caçamba Particular – Empresas/Autônomos Não Credenciados, Veículos Não Permitidos e Fora do Padrão"/>
        <s v="Incluir Aluno para acompanhamento escolar"/>
        <s v="Procuradoria de Atenção à Saúde – PAS"/>
        <s v="informacoes sobre a procuradoria de urbanismo e meio ambiente - puma"/>
        <s v="informacoes sobre a procuradoria tributaria - ptr"/>
        <s v="bailes populares e baile da cinelandia"/>
        <s v="informacoes sobre autorizacao (matricula nova) em feirartes"/>
        <s v="juntada de documentos nos processos administrativos localizados no setor de fiscalizacao ambiental"/>
        <s v="informacoes sobre a jae"/>
        <s v="Informações sobre o Programa de Controle da Hanseníase (Lepra)_x000a_"/>
        <s v="informacao sobre os produtos e projetos da multirio"/>
        <s v="Restaurantes Populares"/>
        <s v="informacao sobre valores dos servicos funerarios e recadastramento de jazigos_x000a_"/>
        <s v="Denúncia de imóvel não cadastrado no IPTU ou com dados incorretos"/>
        <s v="IPTU – Reconhecimento de Imunidade, Isenção e Não incidência_x000a_"/>
        <s v="ISS – Baixa de autônomos estabelecidos_x000a_"/>
        <s v="ISS – Cancelamento ou Substituição de Nota Fiscal Eletrônica / Nota Carioca - cancelamento e substituição de nota fiscal eletrônica"/>
        <s v="CRIAR NO CARIOCA"/>
        <s v="ISS – Simples Nacional – Liberação de Declaração Retida para Análise – Malha Fiscal PGDAS-D_x000a_"/>
        <s v="ISS – Confissão de dívida, parcelamento e reparcelamento de débito não inscrito em dívida ativa / Confissão de dívida, parcelamento e reparcelamento de débito não inscrito em dívida ativa"/>
        <s v="ISS – Apropriação de guia de pagamento (exceto código de receita 129-5)_x000a_"/>
        <s v="Sociedades uniprofissionais / ISS – Tributação de Sociedades Uniprofissionais"/>
        <s v="ITBI – Consulta de protocolo / guia"/>
        <s v="ITBI – Correção de dados da guia paga (folha suplementar) / Correção de dados de uma guia de ITBI paga (folha suplementar)"/>
        <s v="Licenciamento de instalações de ar condicionado e de exaustão de cozinha industrial"/>
        <s v="Patrimônio – Solicitação de instalação e manutenção de abrigo em ponto de ônibus / Manutenção e remoção de abrigo de ônibus com ou sem publicidade / Manutenção/Remoção de abrigo de ônibus com ou sem publicidade"/>
        <s v="Nota Carioca e abatimento no IPTU"/>
        <s v="ISS – Desbloqueio de senha web da Nota Carioca"/>
        <s v="ISS – Esclarecimento de dúvidas sobre Nota Carioca e/ou legislação_x000a_"/>
        <s v="Notificação de irregularidades trabalhistas em contratos de empresas terceirizadas da Secretaria de Saúde"/>
        <s v="Oportunidades Cariocas"/>
        <s v="Informações sobre o programa Adote.Rio"/>
        <s v="Adote Rio (Unidades de Conservação)"/>
        <s v="Projeto de greide e galeria de águas pluviais"/>
        <s v="N/A"/>
        <s v="Recurso ao auto de multa da Vigilância Sanitária"/>
        <s v="Renovação da garantia contratual de Vans"/>
        <s v="Ressarcimento de taxas de diárias e remoção de veículos_x000a_"/>
        <s v="Informações sobre autorização para rebaixamento de meio-fio"/>
        <s v="Solicitação de prorrogação de prazo do Termo de Intimação"/>
        <s v="Solicitação de profissionais da imprensa para a Assessoria de Comunicação da Riotur"/>
        <s v="Informações sobre Vistoria para Permuta de Veículo dos Modais Escolar, Fretamento, STPL, STPC e TEC"/>
      </sharedItems>
    </cacheField>
    <cacheField name="Teste nome" numFmtId="0">
      <sharedItems count="2">
        <b v="0"/>
        <b v="1"/>
      </sharedItems>
    </cacheField>
    <cacheField name="Atualização Nome/join Realizada" numFmtId="0">
      <sharedItems count="2">
        <b v="0"/>
        <b v="1"/>
      </sharedItems>
    </cacheField>
    <cacheField name="nome_orgao" numFmtId="0">
      <sharedItems containsBlank="1" count="59">
        <s v="Secretaria Municipal de Assistência Social"/>
        <s v="Secretaria Municipal de Fazenda"/>
        <s v="Coordenadoria de Licenciamento e Fiscalização"/>
        <m/>
        <s v="Instituto Municipal de Vigilância Sanitária, Vigilância de Zoonoses e de Inspeção Agropecuária"/>
        <s v="Guarda Municipal do Rio de Janeiro"/>
        <s v="Secretaria Municipal de Transportes"/>
        <s v="Secretaria Municipal de Administração"/>
        <s v="Companhia Municipal de Limpeza Urbana"/>
        <s v="Procuradoria Geral do Município do Rio de Janeiro"/>
        <s v="Companhia Municipal de Energia e Iluminação"/>
        <s v="Secretaria Municipal de Educação"/>
        <s v="Secretaria Municipal de Conservação e Serviços Públicos"/>
        <s v="Riocentro S.A. - Centro de Feiras, Exposições e Congressos do Rio de Janeiro"/>
        <s v="Instituto de Previdência e Assistência do Município do Rio de Janeiro"/>
        <s v="Secretaria Municipal da Casa Civil"/>
        <s v="Secretaria Municipal de Saúde"/>
        <s v="Secretaria Municipal de Meio Ambiente e Clima"/>
        <s v="Secretaria Municipal de Ordem Pública"/>
        <s v="Coordenadoria de Controle Urbano"/>
        <s v="Companhia de Engenharia de Tráfego do Rio de Janeiro"/>
        <s v="Secretaria Municipal de Proteção e Defesa dos Animais"/>
        <s v="Secretaria Municipal de Desenvolvimento Urbano e Licenciamento"/>
        <s v="Fundação Planetário da Cidade do Rio de Janeiro"/>
        <s v="Secretaria Municipal de Cultura"/>
        <s v="Superintendência Executiva de Patrimônio Imobiliário"/>
        <s v="Secretaria Municipal de Integridade e Transparência"/>
        <s v="Secretaria Municipal de Esportes"/>
        <s v="Secretaria Municipal de Habitação"/>
        <s v="Secretaria Municipal de Trabalho e Renda"/>
        <s v="Secretaria Municipal do Envelhecimento Saudável e Qualidade de Vida"/>
        <s v="Secretaria Especial de Proteção e Defesa do Consumidor"/>
        <s v="Subsecretaria de Proteção e Defesa Civil"/>
        <s v="Fundação Parques e Jardins"/>
        <s v="Secretaria Municipal de Coordenação Governamental"/>
        <s v="Distribuidora de Filmes S.A. - RIOFILME"/>
        <s v="Subsecretaria de Transformação Digital e Cidade Inteligente"/>
        <s v="Fundação Instituto das Águas do Município do Rio de Janeiro"/>
        <s v="Empresa Municipal de Informática S.A."/>
        <s v="Subsecretaria de Planejamento e Acompanhamento de Resultados"/>
        <s v="Instituto Municipal de Urbanismo Pereira Passos"/>
        <s v="Secretaria Municipal de Infraestrutura"/>
        <s v="Secretaria Municipal da Pessoa com Deficiência"/>
        <s v="Controladoria Geral do Município do Rio de Janeiro"/>
        <s v="Secretaria Especial de Direitos Humanos e Igualdade Racial"/>
        <s v="Secretaria Especial de Integração Metropolitana"/>
        <s v="Companhia Municipal de Transportes Coletivos"/>
        <s v="Secretaria Especial de Políticas para Mulheres e Cuidados"/>
        <s v="Empresa Municipal de Urbanização - RIO-URBE"/>
        <s v="Empresa de Turismo do Município do Rio de Janeiro"/>
        <s v="Fundação Instituto de Geotécnica do Município do Rio de Janeiro"/>
        <s v="Secretaria Municipal de Ciência, Tecnologia e Inovação"/>
        <s v="MULTIRIO - Empresa Municipal de Multimeios Ltda."/>
        <s v="Secretaria Municipal de Desenvolvimento Econômico"/>
        <s v="Secretaria Especial da Juventude Carioca"/>
        <s v="Fundação Cidade das Artes"/>
        <s v="Fundação Jardim Zoológico da Cidade do Rio de Janeiro"/>
        <s v="Secretaria Especial de Inclusão"/>
        <s v="Secretaria Especial de Cidadania e Família"/>
      </sharedItems>
    </cacheField>
    <cacheField name="link_admin" numFmtId="0">
      <sharedItems count="1065">
        <s v="https://admin.pref.rio/servicos-municipais/servicos/servico/770618f7-a031-4802-bd44-73520dd45846"/>
        <s v="https://admin.pref.rio/servicos-municipais/servicos/servico/94ff5567-17e5-47f3-8336-4ae209f1a601"/>
        <s v="https://admin.pref.rio/servicos-municipais/servicos/servico/a0cf6969-edf0-4310-984a-d895d89d246b"/>
        <s v="https://admin.pref.rio/servicos-municipais/servicos/servico/9355d18c-f48c-4722-a824-a300f252936b"/>
        <s v="https://admin.pref.rio/servicos-municipais/servicos/servico/8cafda60-4b18-40f0-a081-29f9c6e2bb47"/>
        <s v="https://admin.pref.rio/servicos-municipais/servicos/servico/85e3d595-4e08-40d9-914d-e125bf81eaf0"/>
        <s v="https://admin.pref.rio/servicos-municipais/servicos/servico/ffa3f857-1cc8-406e-8acd-9279399d7123"/>
        <s v="https://admin.pref.rio/servicos-municipais/servicos/servico/f44b2890-cc4b-4a56-a4b1-1dc33f668782"/>
        <s v="https://admin.pref.rio/servicos-municipais/servicos/servico/a24cd9ab-95c4-4302-9514-02deb4a865fc"/>
        <s v="https://admin.pref.rio/servicos-municipais/servicos/servico/0b881751-5274-49bf-a430-9c5cc3009f0b"/>
        <s v="https://admin.pref.rio/servicos-municipais/servicos/servico/93e1c655-bc8d-4b30-9812-fea18b30f087"/>
        <s v="https://admin.pref.rio/servicos-municipais/servicos/servico/a5c7a6f1-866d-4e5b-ba8c-205c2a68a6d4"/>
        <s v="https://admin.pref.rio/servicos-municipais/servicos/servico/1d76fc90-b8ca-4c8a-9e07-a1cc03979968"/>
        <s v="https://admin.pref.rio/servicos-municipais/servicos/servico/8f38b264-e043-4b33-95e7-9e5c93527289"/>
        <s v="https://admin.pref.rio/servicos-municipais/servicos/servico/f43a1db2-96ea-446c-a76b-db93f6876d1d"/>
        <s v="https://admin.pref.rio/servicos-municipais/servicos/servico/652e9b3d-5e9a-4b90-b7aa-b292138f04cd"/>
        <s v="https://admin.pref.rio/servicos-municipais/servicos/servico/d58579d5-6a42-4f65-85ac-2615155f170c"/>
        <s v="https://admin.pref.rio/servicos-municipais/servicos/servico/9aa848cd-c42a-4a76-a2f2-1b2b5ec574e2"/>
        <s v="https://admin.pref.rio/servicos-municipais/servicos/servico/33fc054a-7adb-40f1-9391-fb10c45912d8"/>
        <s v="https://admin.pref.rio/servicos-municipais/servicos/servico/1ea5bbe4-b8a3-4008-984c-c84183babf19"/>
        <s v="https://admin.pref.rio/servicos-municipais/servicos/servico/46f2d094-030c-449f-8f9d-5437a7243a43"/>
        <s v="https://admin.pref.rio/servicos-municipais/servicos/servico/8d4f407d-2f8d-40a7-b4e2-473555492acd"/>
        <s v="https://admin.pref.rio/servicos-municipais/servicos/servico/19627fa3-cc68-4504-92c6-c495d5925876"/>
        <s v="https://admin.pref.rio/servicos-municipais/servicos/servico/56c7d454-842d-4c71-bef3-e7d8b2097193"/>
        <s v="https://admin.pref.rio/servicos-municipais/servicos/servico/c8f73916-64de-407b-a1e8-c63d5ae72c42"/>
        <s v="https://admin.pref.rio/servicos-municipais/servicos/servico/1de88e0b-097f-4284-846b-55853584d92c"/>
        <s v="https://admin.pref.rio/servicos-municipais/servicos/servico/68e6ce78-32ed-49e3-9dd3-7eb0c3d5925b"/>
        <s v="https://admin.pref.rio/servicos-municipais/servicos/servico/6d42534c-393a-4c1a-943d-4e304cadb99f"/>
        <s v="https://admin.pref.rio/servicos-municipais/servicos/servico/0a5c9f7e-845a-4cfe-a5fc-5ff3119c8ba3"/>
        <s v="https://admin.pref.rio/servicos-municipais/servicos/servico/4a98e610-eab0-4ec5-baab-e93cec6803fe"/>
        <s v="https://admin.pref.rio/servicos-municipais/servicos/servico/26de0b7b-a0da-4342-9738-eccc0608b7ae"/>
        <s v="https://admin.pref.rio/servicos-municipais/servicos/servico/168d4d07-fb08-464a-ab29-0cbf7859c88e"/>
        <s v="https://admin.pref.rio/servicos-municipais/servicos/servico/6c635361-7108-43a4-a65c-955b18b9f195"/>
        <s v="https://admin.pref.rio/servicos-municipais/servicos/servico/b175364b-3328-4595-a6c4-0d6601fc80bf"/>
        <s v="https://admin.pref.rio/servicos-municipais/servicos/servico/0f8fbe95-c241-41c1-aeff-7d2b0408d85e"/>
        <s v="https://admin.pref.rio/servicos-municipais/servicos/servico/479602d3-b0f4-424f-b8b8-64f9095418ad"/>
        <s v="https://admin.pref.rio/servicos-municipais/servicos/servico/14818f6a-93cb-4e2d-9687-4463bd0399e9"/>
        <s v="https://admin.pref.rio/servicos-municipais/servicos/servico/6f87174c-0f5e-4a97-9f1f-ef5870f7128c"/>
        <s v="https://admin.pref.rio/servicos-municipais/servicos/servico/b9e77716-3469-4947-9dd4-334c1f93375c"/>
        <s v="https://admin.pref.rio/servicos-municipais/servicos/servico/4e8bbb7a-f297-49f5-9145-26b51906cd5f"/>
        <s v="https://admin.pref.rio/servicos-municipais/servicos/servico/0997f0fe-a9c0-4a43-ba2e-67c6b3882ab6"/>
        <s v="https://admin.pref.rio/servicos-municipais/servicos/servico/d365e2b4-4e01-4e51-88ed-71ad3ec226ff"/>
        <s v="https://admin.pref.rio/servicos-municipais/servicos/servico/86f3f1b1-e5dc-4e48-9250-6eada638b84b"/>
        <s v="https://admin.pref.rio/servicos-municipais/servicos/servico/38c05e5d-f7be-4bf7-b377-bfcc0ba969a8"/>
        <s v="https://admin.pref.rio/servicos-municipais/servicos/servico/aeeea4b2-e3f2-468b-b371-cc7dd4f6346e"/>
        <s v="https://admin.pref.rio/servicos-municipais/servicos/servico/b62eb062-97d7-4f8d-bee0-5d6f97c416d0"/>
        <s v="https://admin.pref.rio/servicos-municipais/servicos/servico/6ba1f0f4-954a-4d9d-8de7-184d318310a0"/>
        <s v="https://admin.pref.rio/servicos-municipais/servicos/servico/5e7c3de3-cc0c-4241-b2d0-85dd140eec71"/>
        <s v="https://admin.pref.rio/servicos-municipais/servicos/servico/c10c7331-e50e-41dc-8804-3c33df93fec8"/>
        <s v="https://admin.pref.rio/servicos-municipais/servicos/servico/6aa2fb75-cf52-416f-922d-5d3a96da7720"/>
        <s v="https://admin.pref.rio/servicos-municipais/servicos/servico/593d62e5-2a8f-45ee-a613-f58212952280"/>
        <s v="https://admin.pref.rio/servicos-municipais/servicos/servico/2f6e4910-65fd-41dc-9a53-aad451f14a13"/>
        <s v="https://admin.pref.rio/servicos-municipais/servicos/servico/ab0d5cff-07c8-4bc7-bf3b-aa41ab6f7114"/>
        <s v="https://admin.pref.rio/servicos-municipais/servicos/servico/ade1be43-669c-40c5-a48d-bc8594549dbb"/>
        <s v="https://admin.pref.rio/servicos-municipais/servicos/servico/130cec71-70b0-412b-8a2b-1ac43b83d8e9"/>
        <s v="https://admin.pref.rio/servicos-municipais/servicos/servico/8d94d14c-272e-49d8-aac8-1e185d2aa782"/>
        <s v="https://admin.pref.rio/servicos-municipais/servicos/servico/9513988e-2afc-45ec-9c8b-7bffa628ae7d"/>
        <s v="https://admin.pref.rio/servicos-municipais/servicos/servico/61791f6b-2848-464d-806f-ad3f847466b6"/>
        <s v="https://admin.pref.rio/servicos-municipais/servicos/servico/6708456a-29a9-46f7-852a-b85a094179dc"/>
        <s v="https://admin.pref.rio/servicos-municipais/servicos/servico/4563b0d5-c7af-4dda-9f2a-3a3ffb62ade2"/>
        <s v="https://admin.pref.rio/servicos-municipais/servicos/servico/325258e3-9c13-45fc-bc37-2d28cbbb7da4"/>
        <s v="https://admin.pref.rio/servicos-municipais/servicos/servico/87128b5c-5024-4b26-aa60-8ac526024070"/>
        <s v="https://admin.pref.rio/servicos-municipais/servicos/servico/7541e60c-6e6f-4316-8142-960a2499ddfc"/>
        <s v="https://admin.pref.rio/servicos-municipais/servicos/servico/a716c626-3d92-4c25-9412-fc4641c1948b"/>
        <s v="https://admin.pref.rio/servicos-municipais/servicos/servico/06563e36-0696-4b93-a4fd-4fdb359bdf9b"/>
        <s v="https://admin.pref.rio/servicos-municipais/servicos/servico/541d9318-962b-4c24-bc99-2d2f5ec5d458"/>
        <s v="https://admin.pref.rio/servicos-municipais/servicos/servico/0ca4b1f4-cada-4c68-9459-defc90e32c36"/>
        <s v="https://admin.pref.rio/servicos-municipais/servicos/servico/02d70998-e4a3-42a4-99c1-c856c14b56c0"/>
        <s v="https://admin.pref.rio/servicos-municipais/servicos/servico/6a5be1bd-aaf2-4a53-b87a-edb9dceaca30"/>
        <s v="https://admin.pref.rio/servicos-municipais/servicos/servico/439306e1-c69b-4ad6-8422-50b4ff31d889"/>
        <s v="https://admin.pref.rio/servicos-municipais/servicos/servico/34727d10-2eeb-427b-941a-26ba7fb833af"/>
        <s v="https://admin.pref.rio/servicos-municipais/servicos/servico/957c6606-981e-45ef-97be-8ca6d29baf51"/>
        <s v="https://admin.pref.rio/servicos-municipais/servicos/servico/cfa171fa-3aa8-4015-8baa-fd195f39550c"/>
        <s v="https://admin.pref.rio/servicos-municipais/servicos/servico/74060001-e047-412f-b59f-8d26664d9aec"/>
        <s v="https://admin.pref.rio/servicos-municipais/servicos/servico/4c771d6b-c618-47a5-9d3a-2a334f39c081"/>
        <s v="https://admin.pref.rio/servicos-municipais/servicos/servico/797d5e5f-d6c6-44b4-bf4c-af0c45fbefa3"/>
        <s v="https://admin.pref.rio/servicos-municipais/servicos/servico/d8ea67ae-5eeb-443f-9a10-837a2a759085"/>
        <s v="https://admin.pref.rio/servicos-municipais/servicos/servico/328c2c8c-6258-4235-b996-aeddaa6edd61"/>
        <s v="https://admin.pref.rio/servicos-municipais/servicos/servico/2e7feb17-5086-4077-968d-ee279175efa7"/>
        <s v="https://admin.pref.rio/servicos-municipais/servicos/servico/f3ecc6e9-4f72-4c9a-a9f2-2814d5336955"/>
        <s v="https://admin.pref.rio/servicos-municipais/servicos/servico/5c1ecaf2-c8d4-4b70-9536-59c473e5e047"/>
        <s v="https://admin.pref.rio/servicos-municipais/servicos/servico/28202da8-d1a0-4f23-bb4c-fa3b8d6e4a8d"/>
        <s v="https://admin.pref.rio/servicos-municipais/servicos/servico/127bd553-3423-4ea6-bfd3-d7c5abb29db5"/>
        <s v="https://admin.pref.rio/servicos-municipais/servicos/servico/0ef62185-4976-4eff-92dc-c2d6778c9bb1"/>
        <s v="https://admin.pref.rio/servicos-municipais/servicos/servico/e0c3f132-f4db-43cb-bb11-48f69a4bc2c5"/>
        <s v="https://admin.pref.rio/servicos-municipais/servicos/servico/d3903f72-e2b8-43d4-98a1-ae1414189d05"/>
        <s v="https://admin.pref.rio/servicos-municipais/servicos/servico/1e52f54b-fcd2-48e4-b14b-ec6ff1a7c999"/>
        <s v="https://admin.pref.rio/servicos-municipais/servicos/servico/7fb16c12-a3a7-4839-8184-b561e4be6b95"/>
        <s v="https://admin.pref.rio/servicos-municipais/servicos/servico/ce2b748c-bb57-4d3b-8f94-6b5dd6997587"/>
        <s v="https://admin.pref.rio/servicos-municipais/servicos/servico/6338e4b8-7e6d-45a7-91aa-bbf58eaa2dba"/>
        <s v="https://admin.pref.rio/servicos-municipais/servicos/servico/1cf18f4f-5a1b-4d02-9669-65cb118a0a8d"/>
        <s v="https://admin.pref.rio/servicos-municipais/servicos/servico/42b347aa-6a89-4d89-81ac-b0e8105bea3b"/>
        <s v="https://admin.pref.rio/servicos-municipais/servicos/servico/5093c35c-5bdc-474b-b219-098ed0fcf9eb"/>
        <s v="https://admin.pref.rio/servicos-municipais/servicos/servico/8a02466b-a80d-431b-92cd-fa83fdb2f70b"/>
        <s v="https://admin.pref.rio/servicos-municipais/servicos/servico/b2801e86-5c28-4804-8f3c-fbf711c4fbe4"/>
        <s v="https://admin.pref.rio/servicos-municipais/servicos/servico/3b6f7b75-0225-4d91-9550-852065947f87"/>
        <s v="https://admin.pref.rio/servicos-municipais/servicos/servico/7b2278b9-fce7-4d6a-afbe-36bc8095eab1"/>
        <s v="https://admin.pref.rio/servicos-municipais/servicos/servico/873853e1-210b-4857-bc5d-7f8e156dc1bb"/>
        <s v="https://admin.pref.rio/servicos-municipais/servicos/servico/42d2abc4-8ab5-4b29-8e84-61029049f47c"/>
        <s v="https://admin.pref.rio/servicos-municipais/servicos/servico/d9dcc7e8-70fc-44a9-b572-35e2d532975e"/>
        <s v="https://admin.pref.rio/servicos-municipais/servicos/servico/31b331e7-67a1-48de-ad03-e6a96b4a1bc0"/>
        <s v="https://admin.pref.rio/servicos-municipais/servicos/servico/880bbfdf-bc46-4427-884d-11570aa60c71"/>
        <s v="https://admin.pref.rio/servicos-municipais/servicos/servico/1944a9e3-0498-428a-af9d-66d1237f8d35"/>
        <s v="https://admin.pref.rio/servicos-municipais/servicos/servico/31831833-8b3c-4005-a418-27c2eb21196a"/>
        <s v="https://admin.pref.rio/servicos-municipais/servicos/servico/bcbcdb03-65e7-4083-80a4-e70d966a8c47"/>
        <s v="https://admin.pref.rio/servicos-municipais/servicos/servico/861eb57c-3ab1-4e78-ba60-3ecbbbffaef5"/>
        <s v="https://admin.pref.rio/servicos-municipais/servicos/servico/ac1d1a4e-1a3a-4685-ba89-de74ea2b4890"/>
        <s v="https://admin.pref.rio/servicos-municipais/servicos/servico/3f0bf476-fa6b-419e-b0f2-c98a7f6b842e"/>
        <s v="https://admin.pref.rio/servicos-municipais/servicos/servico/7d94b89a-e6e5-4e7f-a47c-c8d33e39dc75"/>
        <s v="https://admin.pref.rio/servicos-municipais/servicos/servico/f9b2ce3c-d109-43c8-901e-6e534fb77831"/>
        <s v="https://admin.pref.rio/servicos-municipais/servicos/servico/8c9d83e2-4fff-48a9-9ab9-1b19f27382cf"/>
        <s v="https://admin.pref.rio/servicos-municipais/servicos/servico/8843ddb1-5c2c-4b70-9a6d-380d09a97087"/>
        <s v="https://admin.pref.rio/servicos-municipais/servicos/servico/0f252fcb-3652-4e4f-bab4-ac5f9bb0fc0b"/>
        <s v="https://admin.pref.rio/servicos-municipais/servicos/servico/d2b9b06d-1dba-4ad7-8a79-de2dfb66f0e0"/>
        <s v="https://admin.pref.rio/servicos-municipais/servicos/servico/8c9a32e8-cb24-45bd-a00b-dd80ad62728b"/>
        <s v="https://admin.pref.rio/servicos-municipais/servicos/servico/0aa3019a-f260-4a0b-ae41-92efe03ed481"/>
        <s v="https://admin.pref.rio/servicos-municipais/servicos/servico/d795a97e-855c-474e-bfbd-5a9cb7baa67d"/>
        <s v="https://admin.pref.rio/servicos-municipais/servicos/servico/d64b1a22-823b-45ed-9d5d-c31a15f6db13"/>
        <s v="https://admin.pref.rio/servicos-municipais/servicos/servico/b891943f-5430-4dc7-83eb-e640a720bb48"/>
        <s v="https://admin.pref.rio/servicos-municipais/servicos/servico/d362177b-cd29-42c2-b3c1-7089bdf45b5e"/>
        <s v="https://admin.pref.rio/servicos-municipais/servicos/servico/5b6ac4fc-b4c7-4ce4-9d0a-3b6f48619694"/>
        <s v="https://admin.pref.rio/servicos-municipais/servicos/servico/875d7f37-f15a-41d2-ac9f-04931c7db3f4"/>
        <s v="https://admin.pref.rio/servicos-municipais/servicos/servico/051e1dd8-dc7e-4a18-8cb7-f52c9d0f481a"/>
        <s v="https://admin.pref.rio/servicos-municipais/servicos/servico/989ae226-fa41-4d89-b4f1-5adc8e0bdf9e"/>
        <s v="https://admin.pref.rio/servicos-municipais/servicos/servico/ab8f2d64-f5ed-4898-98c7-916a49c3d171"/>
        <s v="https://admin.pref.rio/servicos-municipais/servicos/servico/0ee08525-8f12-4f3f-a744-8bc677bed3ea"/>
        <s v="https://admin.pref.rio/servicos-municipais/servicos/servico/401628a4-8d80-4584-8c23-6d1082f037ee"/>
        <s v="https://admin.pref.rio/servicos-municipais/servicos/servico/a8a12ae6-b081-4ab8-bb3e-e3dbf8594a0c"/>
        <s v="https://admin.pref.rio/servicos-municipais/servicos/servico/5189269c-5980-4237-b301-7984a952bc19"/>
        <s v="https://admin.pref.rio/servicos-municipais/servicos/servico/21ec4d34-6b43-4eaf-a8b8-9ca235646ee9"/>
        <s v="https://admin.pref.rio/servicos-municipais/servicos/servico/594ce8d0-9981-4c0f-a036-2fb4964a778b"/>
        <s v="https://admin.pref.rio/servicos-municipais/servicos/servico/d5c66892-4091-45f8-8049-c46396681500"/>
        <s v="https://admin.pref.rio/servicos-municipais/servicos/servico/2a884dd9-1046-4f46-9715-03f630118a30"/>
        <s v="https://admin.pref.rio/servicos-municipais/servicos/servico/807f1b4f-b43d-4c43-95ab-a12df20efefb"/>
        <s v="https://admin.pref.rio/servicos-municipais/servicos/servico/0ecf3e30-4163-48f8-908f-4901483f170b"/>
        <s v="https://admin.pref.rio/servicos-municipais/servicos/servico/914e4767-bd89-414b-8074-48c91ed8bd21"/>
        <s v="https://admin.pref.rio/servicos-municipais/servicos/servico/5e60a1aa-db34-41c5-90e6-e64bc7f38aa8"/>
        <s v="https://admin.pref.rio/servicos-municipais/servicos/servico/fff1c74c-3e44-46c5-abec-6803d7da5041"/>
        <s v="https://admin.pref.rio/servicos-municipais/servicos/servico/10ccd195-ab11-47fe-aa42-ee02b8f1209a"/>
        <s v="https://admin.pref.rio/servicos-municipais/servicos/servico/90e44b4b-e128-44f4-9df4-8b005736fa8e"/>
        <s v="https://admin.pref.rio/servicos-municipais/servicos/servico/4a29d31c-b45a-4411-9fa1-832422ac7322"/>
        <s v="https://admin.pref.rio/servicos-municipais/servicos/servico/0c507de6-ead5-4f9a-ad1d-fc0db12a4370"/>
        <s v="https://admin.pref.rio/servicos-municipais/servicos/servico/d6e8fa3b-8a36-4ed9-9942-87778bd10909"/>
        <s v="https://admin.pref.rio/servicos-municipais/servicos/servico/e454d467-2f78-4c06-91f9-8839f642c199"/>
        <s v="https://admin.pref.rio/servicos-municipais/servicos/servico/bf805028-6039-4010-9899-e10fb389cd91"/>
        <s v="https://admin.pref.rio/servicos-municipais/servicos/servico/7f576081-22a7-47bc-928f-2dc3b15b2591"/>
        <s v="https://admin.pref.rio/servicos-municipais/servicos/servico/846aa0a2-c36c-4a7a-801f-ce324f7b00ed"/>
        <s v="https://admin.pref.rio/servicos-municipais/servicos/servico/a0192663-11ee-4f6c-b601-dfca685f6e18"/>
        <s v="https://admin.pref.rio/servicos-municipais/servicos/servico/13ac49a3-3876-416a-9375-634a74420f80"/>
        <s v="https://admin.pref.rio/servicos-municipais/servicos/servico/78384051-a2bc-4733-bcdd-9df08e75acbc"/>
        <s v="https://admin.pref.rio/servicos-municipais/servicos/servico/35029fe2-6930-4417-9d4f-49bb4691c33e"/>
        <s v="https://admin.pref.rio/servicos-municipais/servicos/servico/da619a66-5da9-41ae-9532-0350dbec206a"/>
        <s v="https://admin.pref.rio/servicos-municipais/servicos/servico/0b57544b-2a03-4701-91a2-dc69dbcef8c4"/>
        <s v="https://admin.pref.rio/servicos-municipais/servicos/servico/f35a76a8-bd7b-46cb-8f14-ba92323dc9f7"/>
        <s v="https://admin.pref.rio/servicos-municipais/servicos/servico/f83dae6f-f66f-4e78-ad25-333ed11a4f1c"/>
        <s v="https://admin.pref.rio/servicos-municipais/servicos/servico/cf2c193e-e838-4181-a8b6-c128801e6a43"/>
        <s v="https://admin.pref.rio/servicos-municipais/servicos/servico/df83d300-9aff-4b29-820e-bf130d70798b"/>
        <s v="https://admin.pref.rio/servicos-municipais/servicos/servico/605485c5-7254-4c9c-8c05-f78da03a271d"/>
        <s v="https://admin.pref.rio/servicos-municipais/servicos/servico/452729e8-7598-4b87-8be0-165214fd05d0"/>
        <s v="https://admin.pref.rio/servicos-municipais/servicos/servico/436e7fc2-9530-4233-8ff3-ef21ac337edd"/>
        <s v="https://admin.pref.rio/servicos-municipais/servicos/servico/faa1847b-3ccf-4b4e-acae-62377d72a49e"/>
        <s v="https://admin.pref.rio/servicos-municipais/servicos/servico/950772f7-7697-4f85-8a97-5b00ca8d0570"/>
        <s v="https://admin.pref.rio/servicos-municipais/servicos/servico/fba45eff-1002-4e52-9366-447e419002ab"/>
        <s v="https://admin.pref.rio/servicos-municipais/servicos/servico/d901986f-394b-457f-8db5-7ce3ecb62273"/>
        <s v="https://admin.pref.rio/servicos-municipais/servicos/servico/82f15deb-9c60-43d5-b2dd-cfa48cf87534"/>
        <s v="https://admin.pref.rio/servicos-municipais/servicos/servico/bb28a1b5-c754-44b4-bd79-53bdb0c4f4a9"/>
        <s v="https://admin.pref.rio/servicos-municipais/servicos/servico/8d06c957-f49a-4a9f-9b61-8db13d3995c9"/>
        <s v="https://admin.pref.rio/servicos-municipais/servicos/servico/d17d7d55-5a1d-49f3-a28c-355ba256c79d"/>
        <s v="https://admin.pref.rio/servicos-municipais/servicos/servico/e487aabd-3132-41cf-97b7-c9c78a30dc78"/>
        <s v="https://admin.pref.rio/servicos-municipais/servicos/servico/79349617-a57f-4ae1-a59e-c584f150ac27"/>
        <s v="https://admin.pref.rio/servicos-municipais/servicos/servico/f82c6611-c48a-4caa-971a-7f401bea7474"/>
        <s v="https://admin.pref.rio/servicos-municipais/servicos/servico/2dc75da2-51b6-42f3-b2b0-cff91990583f"/>
        <s v="https://admin.pref.rio/servicos-municipais/servicos/servico/c726ef27-d356-4df2-9817-aa77227f69a9"/>
        <s v="https://admin.pref.rio/servicos-municipais/servicos/servico/e27fe618-40f1-4c5f-b2d2-10675ec293d8"/>
        <s v="https://admin.pref.rio/servicos-municipais/servicos/servico/362ec1a2-c76c-4bc3-8b5a-56fb22214bba"/>
        <s v="https://admin.pref.rio/servicos-municipais/servicos/servico/405ec80e-898e-4ae2-9ce4-0e7b14352a30"/>
        <s v="https://admin.pref.rio/servicos-municipais/servicos/servico/4646a987-efb7-4155-92c9-620193507749"/>
        <s v="https://admin.pref.rio/servicos-municipais/servicos/servico/68e5610d-097b-4779-b68f-9107c2eac9ed"/>
        <s v="https://admin.pref.rio/servicos-municipais/servicos/servico/20239153-28d0-40fb-ae65-e3e9d0604cb0"/>
        <s v="https://admin.pref.rio/servicos-municipais/servicos/servico/a067ee20-7410-41ed-b6ae-cdc0572ff694"/>
        <s v="https://admin.pref.rio/servicos-municipais/servicos/servico/25003167-2210-49fe-a857-9104ab229021"/>
        <s v="https://admin.pref.rio/servicos-municipais/servicos/servico/77f09458-ed53-431b-a3f6-8f37df16a11d"/>
        <s v="https://admin.pref.rio/servicos-municipais/servicos/servico/38be4d50-f920-4f1e-b352-8686cf4d9769"/>
        <s v="https://admin.pref.rio/servicos-municipais/servicos/servico/1dac4705-46a8-4246-a56e-27ab88d715eb"/>
        <s v="https://admin.pref.rio/servicos-municipais/servicos/servico/04d44c5d-12f7-4ee0-a9fc-d18dc5ebfbd0"/>
        <s v="https://admin.pref.rio/servicos-municipais/servicos/servico/176569fa-a715-4e74-a69c-e4b39e35cd14"/>
        <s v="https://admin.pref.rio/servicos-municipais/servicos/servico/6e490cde-2e77-4eae-99fb-ff5827da9f24"/>
        <s v="https://admin.pref.rio/servicos-municipais/servicos/servico/296e88a3-b9d5-4c13-8a38-f29480fcfc50"/>
        <s v="https://admin.pref.rio/servicos-municipais/servicos/servico/24a0160f-1548-493e-9cd4-f4bbec90d6df"/>
        <s v="https://admin.pref.rio/servicos-municipais/servicos/servico/d71a23a2-2b99-4f08-9004-bf3de2aae82c"/>
        <s v="https://admin.pref.rio/servicos-municipais/servicos/servico/633fd73f-ef1c-4b47-a002-42781a16cc04"/>
        <s v="https://admin.pref.rio/servicos-municipais/servicos/servico/7133aefa-20a3-4759-ab3b-494c0320a444"/>
        <s v="https://admin.pref.rio/servicos-municipais/servicos/servico/0e2eebb7-3711-4ef9-8c84-87edfee14efd"/>
        <s v="https://admin.pref.rio/servicos-municipais/servicos/servico/b4809212-d549-44f0-9f5d-cbe8126331a6"/>
        <s v="https://admin.pref.rio/servicos-municipais/servicos/servico/ad0a911e-c865-4ee8-9fe8-b52744b2afa7"/>
        <s v="https://admin.pref.rio/servicos-municipais/servicos/servico/e7e40774-de19-4458-a8af-c99c0dca55ca"/>
        <s v="https://admin.pref.rio/servicos-municipais/servicos/servico/0a068370-4e35-4615-a12f-dc06a53f849d"/>
        <s v="https://admin.pref.rio/servicos-municipais/servicos/servico/d92e45a8-b1cf-4b17-92fc-c9352a4e90de"/>
        <s v="https://admin.pref.rio/servicos-municipais/servicos/servico/64b432e9-ee0c-4ead-aafe-e16c4dbaa5e8"/>
        <s v="https://admin.pref.rio/servicos-municipais/servicos/servico/69bbf1f4-9f93-417b-8bd4-a27a792f810f"/>
        <s v="https://admin.pref.rio/servicos-municipais/servicos/servico/fd933608-964b-4bb0-b490-0025f71772c1"/>
        <s v="https://admin.pref.rio/servicos-municipais/servicos/servico/8aaba05a-961a-4393-a098-daefe5cbe8e8"/>
        <s v="https://admin.pref.rio/servicos-municipais/servicos/servico/c9e3b496-056e-4bbb-baeb-6c0ee051c2b9"/>
        <s v="https://admin.pref.rio/servicos-municipais/servicos/servico/87f28b8d-9636-458a-b62f-e048811a3b25"/>
        <s v="https://admin.pref.rio/servicos-municipais/servicos/servico/a89f75a8-05d7-46b3-9ba3-6faa41008831"/>
        <s v="https://admin.pref.rio/servicos-municipais/servicos/servico/0c5cbe4c-541e-4da9-80bb-2ed0241a5968"/>
        <s v="https://admin.pref.rio/servicos-municipais/servicos/servico/d4659d0b-b72c-4085-a1fa-ed6375b6bca0"/>
        <s v="https://admin.pref.rio/servicos-municipais/servicos/servico/a603b41f-9f8d-4d70-8898-0bcce7422bca"/>
        <s v="https://admin.pref.rio/servicos-municipais/servicos/servico/3b793c21-1803-43a4-aeed-e524d4aeee21"/>
        <s v="https://admin.pref.rio/servicos-municipais/servicos/servico/ac2472ca-56ad-487e-80b1-23d13cc5c26f"/>
        <s v="https://admin.pref.rio/servicos-municipais/servicos/servico/557ef700-eab5-4609-8789-29977bd18667"/>
        <s v="https://admin.pref.rio/servicos-municipais/servicos/servico/858ba361-4f6e-494c-9d68-80181e8cdbda"/>
        <s v="https://admin.pref.rio/servicos-municipais/servicos/servico/77af65ec-a3b7-4e6e-bfd4-44bed2696acc"/>
        <s v="https://admin.pref.rio/servicos-municipais/servicos/servico/bedb9d4c-0c70-4f9e-aa19-1d092123face"/>
        <s v="https://admin.pref.rio/servicos-municipais/servicos/servico/f1f5d36c-7422-4704-88a3-8692882b53d6"/>
        <s v="https://admin.pref.rio/servicos-municipais/servicos/servico/0ccfc951-52f7-4ab0-bc02-b8b1ac352522"/>
        <s v="https://admin.pref.rio/servicos-municipais/servicos/servico/54b06fd3-aa21-4597-b05b-a9b2d5cf8cde"/>
        <s v="https://admin.pref.rio/servicos-municipais/servicos/servico/43533258-3b87-4123-96c9-1bba8258993c"/>
        <s v="https://admin.pref.rio/servicos-municipais/servicos/servico/0633ffd1-387e-4965-8186-c78012180045"/>
        <s v="https://admin.pref.rio/servicos-municipais/servicos/servico/3ba93ce2-d253-4767-86f0-a0676c932b54"/>
        <s v="https://admin.pref.rio/servicos-municipais/servicos/servico/29b9d64b-fa68-4f88-aa86-bf69d5c2295f"/>
        <s v="https://admin.pref.rio/servicos-municipais/servicos/servico/6f35e584-6dc2-4989-804f-7e8b8f4f1b2e"/>
        <s v="https://admin.pref.rio/servicos-municipais/servicos/servico/2a0d3ad5-cb0d-40b0-bd48-502327fbad8d"/>
        <s v="https://admin.pref.rio/servicos-municipais/servicos/servico/af6af92f-0683-4e3d-8606-f4e4978890f0"/>
        <s v="https://admin.pref.rio/servicos-municipais/servicos/servico/b08d2b71-1820-4b3f-b48d-643ffdfa2bab"/>
        <s v="https://admin.pref.rio/servicos-municipais/servicos/servico/bf516a8b-46ba-4c28-9ce6-3dbca7e88bb4"/>
        <s v="https://admin.pref.rio/servicos-municipais/servicos/servico/b1619c26-c691-4693-99d6-4f8187318c0c"/>
        <s v="https://admin.pref.rio/servicos-municipais/servicos/servico/754fa2d9-aa44-495a-a5e2-cc6a99f89ba3"/>
        <s v="https://admin.pref.rio/servicos-municipais/servicos/servico/9af41047-4410-44ef-b58b-6f40e7279ad9"/>
        <s v="https://admin.pref.rio/servicos-municipais/servicos/servico/529f647a-a1ec-4d8d-93be-93271e61a0a6"/>
        <s v="https://admin.pref.rio/servicos-municipais/servicos/servico/79cef27c-e68f-4570-9fb6-846b03812094"/>
        <s v="https://admin.pref.rio/servicos-municipais/servicos/servico/5fd8f502-55a4-44fe-966a-de1299825e07"/>
        <s v="https://admin.pref.rio/servicos-municipais/servicos/servico/603e1e69-8d28-440b-a17d-74fdeb929914"/>
        <s v="https://admin.pref.rio/servicos-municipais/servicos/servico/8bf32359-43a5-4125-91ae-7046901f829e"/>
        <s v="https://admin.pref.rio/servicos-municipais/servicos/servico/75d892da-9cd4-46fb-8601-cc2f0cd3edf7"/>
        <s v="https://admin.pref.rio/servicos-municipais/servicos/servico/267e4c54-e47f-4dc1-b0b9-44d53e7054ef"/>
        <s v="https://admin.pref.rio/servicos-municipais/servicos/servico/53c27436-5e52-4575-adff-b7faa05d2eae"/>
        <s v="https://admin.pref.rio/servicos-municipais/servicos/servico/5bd1c52e-cbe1-4eb8-af2a-75031b10ab4b"/>
        <s v="https://admin.pref.rio/servicos-municipais/servicos/servico/789bbb80-0f94-4ac0-9595-c505764ae1cf"/>
        <s v="https://admin.pref.rio/servicos-municipais/servicos/servico/32b1e18a-a6e9-4e36-8793-96d94ac040e4"/>
        <s v="https://admin.pref.rio/servicos-municipais/servicos/servico/c8e4b29b-4ca4-487e-a534-76dfcdb90f43"/>
        <s v="https://admin.pref.rio/servicos-municipais/servicos/servico/01afe426-f047-4451-a6ef-19f090c1f36c"/>
        <s v="https://admin.pref.rio/servicos-municipais/servicos/servico/060dbd6f-898f-40e0-90e3-5561b9ceab6d"/>
        <s v="https://admin.pref.rio/servicos-municipais/servicos/servico/8da96301-3c36-441f-9628-d4e4dbbf4974"/>
        <s v="https://admin.pref.rio/servicos-municipais/servicos/servico/c6a58eef-83b6-4786-84f0-3f4fdbeda3a9"/>
        <s v="https://admin.pref.rio/servicos-municipais/servicos/servico/3b7d1f64-76be-43f3-9d09-ffe52260a6b8"/>
        <s v="https://admin.pref.rio/servicos-municipais/servicos/servico/734e8a95-7671-4344-b3a2-23ee706b619b"/>
        <s v="https://admin.pref.rio/servicos-municipais/servicos/servico/17982b5e-0a5b-4abc-91df-7f42609e5063"/>
        <s v="https://admin.pref.rio/servicos-municipais/servicos/servico/5ee3a086-e2d8-40f4-9c1f-bb79cc63abef"/>
        <s v="https://admin.pref.rio/servicos-municipais/servicos/servico/68b49ba6-7c72-4bdb-b3a7-4267af027126"/>
        <s v="https://admin.pref.rio/servicos-municipais/servicos/servico/bea12a0f-5cc9-4c31-a2e2-96443f4f44c9"/>
        <s v="https://admin.pref.rio/servicos-municipais/servicos/servico/4dbd512c-e44e-47ac-bfc8-57be9e713519"/>
        <s v="https://admin.pref.rio/servicos-municipais/servicos/servico/e8c73dd3-8c15-4545-a344-722414c633e5"/>
        <s v="https://admin.pref.rio/servicos-municipais/servicos/servico/8658d301-c90d-47e2-8574-7b2591af79a1"/>
        <s v="https://admin.pref.rio/servicos-municipais/servicos/servico/069c5102-8a4e-4569-aad2-dc935943576b"/>
        <s v="https://admin.pref.rio/servicos-municipais/servicos/servico/75f10c55-ba1b-4e11-8273-95ac2bfd9e0d"/>
        <s v="https://admin.pref.rio/servicos-municipais/servicos/servico/60920930-b797-4a4a-bd42-db2ed12f69be"/>
        <s v="https://admin.pref.rio/servicos-municipais/servicos/servico/b8f53781-4bcd-46fd-a64e-52ad75e060aa"/>
        <s v="https://admin.pref.rio/servicos-municipais/servicos/servico/f1b544f0-4d8a-4ed0-831e-dcf765aeee0c"/>
        <s v="https://admin.pref.rio/servicos-municipais/servicos/servico/7b6c060b-b1ba-496e-b565-8fa8178b4c45"/>
        <s v="https://admin.pref.rio/servicos-municipais/servicos/servico/56f10648-36f2-4fae-94d0-90da178cfebe"/>
        <s v="https://admin.pref.rio/servicos-municipais/servicos/servico/0d2ae6af-bf0a-4a0b-b2f0-ebdc89e61378"/>
        <s v="https://admin.pref.rio/servicos-municipais/servicos/servico/282a5ee9-d89f-49a9-bd33-91d531e6f660"/>
        <s v="https://admin.pref.rio/servicos-municipais/servicos/servico/a79cc2b9-d33e-41f3-9b7b-d904ccb268e1"/>
        <s v="https://admin.pref.rio/servicos-municipais/servicos/servico/28a968cb-574b-4418-bec5-8f86dce1269d"/>
        <s v="https://admin.pref.rio/servicos-municipais/servicos/servico/8af7e094-a4c4-4ac5-8029-9a9fe4a9486a"/>
        <s v="https://admin.pref.rio/servicos-municipais/servicos/servico/0faea716-2bd8-4c12-a651-6d3063cda630"/>
        <s v="https://admin.pref.rio/servicos-municipais/servicos/servico/a3321050-d229-4957-b9bd-a4d2ab3f2006"/>
        <s v="https://admin.pref.rio/servicos-municipais/servicos/servico/3220a128-098f-430f-9a4e-965475606138"/>
        <s v="https://admin.pref.rio/servicos-municipais/servicos/servico/3dfff2fd-6401-4e9a-8162-689cd826f319"/>
        <s v="https://admin.pref.rio/servicos-municipais/servicos/servico/8afe5adb-0feb-4904-abdb-b1c010c452e5"/>
        <s v="https://admin.pref.rio/servicos-municipais/servicos/servico/ed90a57a-774a-48fc-890b-2e525bde5fbc"/>
        <s v="https://admin.pref.rio/servicos-municipais/servicos/servico/cb3a9bc7-dc8f-4e34-a5c8-0ea6169ea34d"/>
        <s v="https://admin.pref.rio/servicos-municipais/servicos/servico/3c0c3a63-8d15-4530-a993-742f1c92537a"/>
        <s v="https://admin.pref.rio/servicos-municipais/servicos/servico/f0503b1b-8164-454d-99fb-a2f8237068cd"/>
        <s v="https://admin.pref.rio/servicos-municipais/servicos/servico/772c44a4-436c-459e-9d69-823dc7ca6dba"/>
        <s v="https://admin.pref.rio/servicos-municipais/servicos/servico/972267ee-9e63-40d4-b6ee-a0d88b50d04a"/>
        <s v="https://admin.pref.rio/servicos-municipais/servicos/servico/8e1e9a3b-be5d-4c28-be69-27f31bbe568f"/>
        <s v="https://admin.pref.rio/servicos-municipais/servicos/servico/9a93057c-1fdb-4806-aaaf-0535f1398100"/>
        <s v="https://admin.pref.rio/servicos-municipais/servicos/servico/e217d32e-b3fc-4359-949b-e9c6ee8529a9"/>
        <s v="https://admin.pref.rio/servicos-municipais/servicos/servico/b72a1bf0-fb59-42e1-8e57-596d857c14e7"/>
        <s v="https://admin.pref.rio/servicos-municipais/servicos/servico/3bda03ef-1ff0-4cb4-b14c-16d8d950f02c"/>
        <s v="https://admin.pref.rio/servicos-municipais/servicos/servico/6f941954-201a-4ac0-a7c9-46b502607af4"/>
        <s v="https://admin.pref.rio/servicos-municipais/servicos/servico/1f8b9896-77db-4e94-b562-8c0a0e77761d"/>
        <s v="https://admin.pref.rio/servicos-municipais/servicos/servico/b39eea6a-d329-4209-be48-363102607c86"/>
        <s v="https://admin.pref.rio/servicos-municipais/servicos/servico/40905337-dac3-4b2c-87ef-7e3b7f2209bc"/>
        <s v="https://admin.pref.rio/servicos-municipais/servicos/servico/bcdd3837-8ae2-48b4-8a3b-d7b71ebd6c6d"/>
        <s v="https://admin.pref.rio/servicos-municipais/servicos/servico/0410c509-c147-4efa-a5fb-322529eee117"/>
        <s v="https://admin.pref.rio/servicos-municipais/servicos/servico/55cda828-e6e7-4e80-8cd5-4b8878666b05"/>
        <s v="https://admin.pref.rio/servicos-municipais/servicos/servico/63a9d8ff-0450-452a-a815-4c240daaac03"/>
        <s v="https://admin.pref.rio/servicos-municipais/servicos/servico/61346e5b-7bec-4558-a97d-1dfc74ce2733"/>
        <s v="https://admin.pref.rio/servicos-municipais/servicos/servico/b8f65479-0986-4c21-9886-1c5544eaf949"/>
        <s v="https://admin.pref.rio/servicos-municipais/servicos/servico/c16b1856-2383-4f42-9173-8bf2c3325bd5"/>
        <s v="https://admin.pref.rio/servicos-municipais/servicos/servico/e2b90036-fa2b-4efc-ba41-7fff6736c559"/>
        <s v="https://admin.pref.rio/servicos-municipais/servicos/servico/0871f137-858f-4c2d-82b7-63d5723d764e"/>
        <s v="https://admin.pref.rio/servicos-municipais/servicos/servico/aefdb4dd-926d-4df3-9879-b4eec10f7d03"/>
        <s v="https://admin.pref.rio/servicos-municipais/servicos/servico/c3ab1106-265a-471c-be78-c82bdfcfee2e"/>
        <s v="https://admin.pref.rio/servicos-municipais/servicos/servico/9daa2312-a2a6-4cd1-b27a-6dff65a17669"/>
        <s v="https://admin.pref.rio/servicos-municipais/servicos/servico/8263cb76-8c6f-459d-af89-9bd649dd3c1b"/>
        <s v="https://admin.pref.rio/servicos-municipais/servicos/servico/f5364729-b61c-4fe2-85ed-c4ca3afc95bb"/>
        <s v="https://admin.pref.rio/servicos-municipais/servicos/servico/e9dd1066-d388-41f6-9189-deb65d8fc86b"/>
        <s v="https://admin.pref.rio/servicos-municipais/servicos/servico/27f1c010-6b63-4574-89e6-c3517234716c"/>
        <s v="https://admin.pref.rio/servicos-municipais/servicos/servico/924b98b9-1bd9-40a1-90aa-c23a6198f678"/>
        <s v="https://admin.pref.rio/servicos-municipais/servicos/servico/15e1150b-6cf3-481e-8aa0-6c09fda7bc4f"/>
        <s v="https://admin.pref.rio/servicos-municipais/servicos/servico/e7ec81f9-fd29-4856-82ce-39a18d402ed1"/>
        <s v="https://admin.pref.rio/servicos-municipais/servicos/servico/f9c37a65-bcf0-4c8c-98bb-4788f57f260f"/>
        <s v="https://admin.pref.rio/servicos-municipais/servicos/servico/0ee21f92-8fab-44f8-a567-0fe209f53a58"/>
        <s v="https://admin.pref.rio/servicos-municipais/servicos/servico/7c445463-97e8-415b-aa43-53e7aa0826ad"/>
        <s v="https://admin.pref.rio/servicos-municipais/servicos/servico/ed85cf84-782c-4112-b9b5-0be870005b42"/>
        <s v="https://admin.pref.rio/servicos-municipais/servicos/servico/40007dfc-3d98-43fd-9272-8d7ca044b92f"/>
        <s v="https://admin.pref.rio/servicos-municipais/servicos/servico/b479d6b3-0ad9-4ab0-a5fd-3f8f7d041251"/>
        <s v="https://admin.pref.rio/servicos-municipais/servicos/servico/a0b2f56a-6e37-44fb-9147-fa2157e77570"/>
        <s v="https://admin.pref.rio/servicos-municipais/servicos/servico/30958f52-c647-45e4-895d-73c81785fef9"/>
        <s v="https://admin.pref.rio/servicos-municipais/servicos/servico/00b4555b-8a5d-4a58-9ac9-0c5ecfbb31b5"/>
        <s v="https://admin.pref.rio/servicos-municipais/servicos/servico/e3e5f76d-e029-40fa-a3a8-626e2f51e968"/>
        <s v="https://admin.pref.rio/servicos-municipais/servicos/servico/79d4d839-71c8-4480-855e-187712a97f5a"/>
        <s v="https://admin.pref.rio/servicos-municipais/servicos/servico/1455ab00-2202-46db-918c-ece30bd82478"/>
        <s v="https://admin.pref.rio/servicos-municipais/servicos/servico/31c1d7af-5810-4a5e-a96b-fe1d882ec03e"/>
        <s v="https://admin.pref.rio/servicos-municipais/servicos/servico/e0b469e5-b7e8-486c-82ad-1cdc357e7946"/>
        <s v="https://admin.pref.rio/servicos-municipais/servicos/servico/15284555-7be1-40fc-81fe-525223c27841"/>
        <s v="https://admin.pref.rio/servicos-municipais/servicos/servico/e9471adb-a842-4654-8995-921d88e58864"/>
        <s v="https://admin.pref.rio/servicos-municipais/servicos/servico/ae864d84-b262-4828-9606-3a4a1f6237e7"/>
        <s v="https://admin.pref.rio/servicos-municipais/servicos/servico/578b5168-8670-4dfb-82f4-422be409e8ac"/>
        <s v="https://admin.pref.rio/servicos-municipais/servicos/servico/1a2c5490-795f-4451-970b-92abb061ae62"/>
        <s v="https://admin.pref.rio/servicos-municipais/servicos/servico/3de62ebb-bed2-4d11-a962-1611a972e671"/>
        <s v="https://admin.pref.rio/servicos-municipais/servicos/servico/47216a86-5bc1-46ea-b3f4-cf1442fa3d4e"/>
        <s v="https://admin.pref.rio/servicos-municipais/servicos/servico/0e1497c0-a9a9-4891-b65b-2cfcfae2c347"/>
        <s v="https://admin.pref.rio/servicos-municipais/servicos/servico/363c9e9b-3637-41eb-868d-2adcaa82f097"/>
        <s v="https://admin.pref.rio/servicos-municipais/servicos/servico/fe217a5b-6420-47bc-92cb-102f9bbb0197"/>
        <s v="https://admin.pref.rio/servicos-municipais/servicos/servico/755d87f0-d3be-4981-b4bc-6c1ac299357f"/>
        <s v="https://admin.pref.rio/servicos-municipais/servicos/servico/e87ae41a-6815-43df-854b-4e2365ead211"/>
        <s v="https://admin.pref.rio/servicos-municipais/servicos/servico/94917daa-cd79-44bf-9d09-4559b5ba75e4"/>
        <s v="https://admin.pref.rio/servicos-municipais/servicos/servico/073a175e-a432-4666-8e0d-8a6d93814db3"/>
        <s v="https://admin.pref.rio/servicos-municipais/servicos/servico/ee855c2c-194b-4a8d-a89e-95759d6e1bf5"/>
        <s v="https://admin.pref.rio/servicos-municipais/servicos/servico/7bff37d2-481f-4d0c-9576-5386a716d826"/>
        <s v="https://admin.pref.rio/servicos-municipais/servicos/servico/e9fd85ab-aeb9-4a3b-a93e-571387778149"/>
        <s v="https://admin.pref.rio/servicos-municipais/servicos/servico/97cf18bd-ea58-49bb-b3d9-6ee021fe7a72"/>
        <s v="https://admin.pref.rio/servicos-municipais/servicos/servico/ef18bce8-b146-497a-b5d9-7c847fa95007"/>
        <s v="https://admin.pref.rio/servicos-municipais/servicos/servico/c8ad6bfe-af13-4663-af0b-b003d8378b40"/>
        <s v="https://admin.pref.rio/servicos-municipais/servicos/servico/3864b1e2-0c0b-4caf-8b14-8d5ed3fe5e53"/>
        <s v="https://admin.pref.rio/servicos-municipais/servicos/servico/e9d84119-ebe8-4216-994a-00dbf918450d"/>
        <s v="https://admin.pref.rio/servicos-municipais/servicos/servico/109a2528-c324-4095-a8be-1ab414da22d2"/>
        <s v="https://admin.pref.rio/servicos-municipais/servicos/servico/069edf2a-ee0f-4aaf-b3e2-bbc5b4f6671c"/>
        <s v="https://admin.pref.rio/servicos-municipais/servicos/servico/27a002ac-3992-4333-90b0-b4733c622517"/>
        <s v="https://admin.pref.rio/servicos-municipais/servicos/servico/e64895ba-d5da-4699-ab57-bcc488825107"/>
        <s v="https://admin.pref.rio/servicos-municipais/servicos/servico/7a720d5c-3359-4b88-b8a4-af7b564daef2"/>
        <s v="https://admin.pref.rio/servicos-municipais/servicos/servico/ce79a2a5-067e-49b0-8f3f-2c9b4a392714"/>
        <s v="https://admin.pref.rio/servicos-municipais/servicos/servico/3b21922e-0d3c-4493-af48-26d069e269cf"/>
        <s v="https://admin.pref.rio/servicos-municipais/servicos/servico/b4c6fa20-6547-410f-a69f-a2b48d8b13d1"/>
        <s v="https://admin.pref.rio/servicos-municipais/servicos/servico/125f68cf-7d8a-40b2-ab12-83b488457963"/>
        <s v="https://admin.pref.rio/servicos-municipais/servicos/servico/a997a3ef-bd69-4dc4-829e-e7e11d384643"/>
        <s v="https://admin.pref.rio/servicos-municipais/servicos/servico/ec6c3925-3bf8-4c79-8cf6-a45231f4fa1e"/>
        <s v="https://admin.pref.rio/servicos-municipais/servicos/servico/2634c2c8-4cc9-4a03-94a1-326e341254b0"/>
        <s v="https://admin.pref.rio/servicos-municipais/servicos/servico/a83e3d51-94bc-495e-ada8-ed8de6786ce0"/>
        <s v="https://admin.pref.rio/servicos-municipais/servicos/servico/0de3f5b6-d48d-4543-a21a-1b4d2a74a93e"/>
        <s v="https://admin.pref.rio/servicos-municipais/servicos/servico/2bfca3ac-c1bd-4e64-a68c-66d3ac495f97"/>
        <s v="https://admin.pref.rio/servicos-municipais/servicos/servico/09de1ddc-9b96-45bc-9a9f-e08e494fddbd"/>
        <s v="https://admin.pref.rio/servicos-municipais/servicos/servico/0160cab1-b141-47d7-aab4-2f025c51787f"/>
        <s v="https://admin.pref.rio/servicos-municipais/servicos/servico/8c3ac058-6e88-460b-82d7-2fc01cf3999f"/>
        <s v="https://admin.pref.rio/servicos-municipais/servicos/servico/1998c41f-78e9-4a65-81dd-d46beb513f2f"/>
        <s v="https://admin.pref.rio/servicos-municipais/servicos/servico/cd8a9e4c-5c87-460e-ac51-7593ad473535"/>
        <s v="https://admin.pref.rio/servicos-municipais/servicos/servico/8312bad4-82bf-49fd-86d9-7bf967d66bdb"/>
        <s v="https://admin.pref.rio/servicos-municipais/servicos/servico/34e006d6-3300-486a-a156-590393516dfe"/>
        <s v="https://admin.pref.rio/servicos-municipais/servicos/servico/8a0c15fa-5025-4374-a71d-bbb8e522f026"/>
        <s v="https://admin.pref.rio/servicos-municipais/servicos/servico/56b37560-3348-48ad-ac34-050d0b389a63"/>
        <s v="https://admin.pref.rio/servicos-municipais/servicos/servico/857114b2-a674-4dea-886d-d122ca63e31b"/>
        <s v="https://admin.pref.rio/servicos-municipais/servicos/servico/5cfe0cd9-c3fd-4380-8210-d90f9db19bc8"/>
        <s v="https://admin.pref.rio/servicos-municipais/servicos/servico/64709c01-9d6a-4b33-8d7f-6a5491dd1979"/>
        <s v="https://admin.pref.rio/servicos-municipais/servicos/servico/61c39923-7f5f-4e89-99f5-d41bb6aed06b"/>
        <s v="https://admin.pref.rio/servicos-municipais/servicos/servico/0b887f46-a9de-4ef5-afb7-a1d49a3e6077"/>
        <s v="https://admin.pref.rio/servicos-municipais/servicos/servico/99817f98-29aa-4c39-96fd-099a3d6a6b3f"/>
        <s v="https://admin.pref.rio/servicos-municipais/servicos/servico/bab7bb2b-65b9-4567-947f-53bc63b714fd"/>
        <s v="https://admin.pref.rio/servicos-municipais/servicos/servico/c611e17e-fa88-4c3f-b42e-f50445ef3fa5"/>
        <s v="https://admin.pref.rio/servicos-municipais/servicos/servico/ed8dc550-767a-4b82-b211-d528b9390e5c"/>
        <s v="https://admin.pref.rio/servicos-municipais/servicos/servico/fb650068-e674-4617-9b4b-c0541d5f9ff9"/>
        <s v="https://admin.pref.rio/servicos-municipais/servicos/servico/b3ebf5f8-513d-483b-8dac-ab37110c0c71"/>
        <s v="https://admin.pref.rio/servicos-municipais/servicos/servico/327852e3-e691-406b-9759-2c8a6497782f"/>
        <s v="https://admin.pref.rio/servicos-municipais/servicos/servico/9f3ce0e9-1f2f-47b0-a461-eaa8f6cf9c2b"/>
        <s v="https://admin.pref.rio/servicos-municipais/servicos/servico/a6d2ec15-8223-4cdd-814a-0be7e80d8973"/>
        <s v="https://admin.pref.rio/servicos-municipais/servicos/servico/8f472009-adde-429d-a41a-3127664323b0"/>
        <s v="https://admin.pref.rio/servicos-municipais/servicos/servico/cffe0736-80a6-46fe-ace6-3cebb4d262ea"/>
        <s v="https://admin.pref.rio/servicos-municipais/servicos/servico/85d9f64e-fb5b-4997-954c-c3a4132be8e5"/>
        <s v="https://admin.pref.rio/servicos-municipais/servicos/servico/5e368b9b-a2ef-47e2-a316-4f5a743af5ef"/>
        <s v="https://admin.pref.rio/servicos-municipais/servicos/servico/1f3ea2c9-37c6-46a7-b456-9010db39d4ca"/>
        <s v="https://admin.pref.rio/servicos-municipais/servicos/servico/d074809e-bd90-4589-b541-ea3306a57f9e"/>
        <s v="https://admin.pref.rio/servicos-municipais/servicos/servico/d9e93de5-84d5-4da0-9920-f0cbf4e9d0b0"/>
        <s v="https://admin.pref.rio/servicos-municipais/servicos/servico/69335c2f-9fc8-4a7d-bdd2-f2fa2e1a5473"/>
        <s v="https://admin.pref.rio/servicos-municipais/servicos/servico/606782a6-10ec-42b8-ad5a-9947ed4572fa"/>
        <s v="https://admin.pref.rio/servicos-municipais/servicos/servico/c855e8b4-4a43-4277-81d3-d32de8674da4"/>
        <s v="https://admin.pref.rio/servicos-municipais/servicos/servico/ab09648c-2aeb-4f27-aece-9b6ce3c4a42e"/>
        <s v="https://admin.pref.rio/servicos-municipais/servicos/servico/65032c53-4894-4f7c-93a0-01652e54ce64"/>
        <s v="https://admin.pref.rio/servicos-municipais/servicos/servico/8ce2a4bf-ecb2-4571-839b-07f29d85b8e6"/>
        <s v="https://admin.pref.rio/servicos-municipais/servicos/servico/72859db3-8497-4761-90fb-29090997462c"/>
        <s v="https://admin.pref.rio/servicos-municipais/servicos/servico/402aeb9a-3c6f-4fab-bb55-09b977fbe086"/>
        <s v="https://admin.pref.rio/servicos-municipais/servicos/servico/8f550823-7708-4a95-9783-e5841ecd364d"/>
        <s v="https://admin.pref.rio/servicos-municipais/servicos/servico/09992968-54bb-4562-9dca-416794a2ba54"/>
        <s v="https://admin.pref.rio/servicos-municipais/servicos/servico/fd07073e-c577-42ba-85a0-5e731a7e373c"/>
        <s v="https://admin.pref.rio/servicos-municipais/servicos/servico/2b847d69-d3a7-490d-a4fc-9964e77fb8e4"/>
        <s v="https://admin.pref.rio/servicos-municipais/servicos/servico/93c5e5cd-b8e0-4c41-858a-e6999e0d855c"/>
        <s v="https://admin.pref.rio/servicos-municipais/servicos/servico/6568824a-738d-4e03-8d4e-03ed6e2503e9"/>
        <s v="https://admin.pref.rio/servicos-municipais/servicos/servico/b06eafca-901b-47f5-a728-f8c976422f33"/>
        <s v="https://admin.pref.rio/servicos-municipais/servicos/servico/48f669c7-579d-40de-bd16-1cdff0751c52"/>
        <s v="https://admin.pref.rio/servicos-municipais/servicos/servico/585882f1-ba3e-433e-acd6-cb3cb11a8fc5"/>
        <s v="https://admin.pref.rio/servicos-municipais/servicos/servico/1e01d25c-14f2-4f9f-9364-546816300dbd"/>
        <s v="https://admin.pref.rio/servicos-municipais/servicos/servico/f73543a0-00d2-45dc-aacb-22a321531a83"/>
        <s v="https://admin.pref.rio/servicos-municipais/servicos/servico/810a1cea-6fac-4439-8a62-eaafd48803cd"/>
        <s v="https://admin.pref.rio/servicos-municipais/servicos/servico/2b149a46-ab49-4bc1-9a23-81b541ce6ed5"/>
        <s v="https://admin.pref.rio/servicos-municipais/servicos/servico/a1b576c1-02ab-4077-ab0e-668fdfe162d4"/>
        <s v="https://admin.pref.rio/servicos-municipais/servicos/servico/73036ddc-11f0-4186-8b87-c9b978957d3c"/>
        <s v="https://admin.pref.rio/servicos-municipais/servicos/servico/fd005f2c-62e9-4c42-b636-dbb4bd6b2dba"/>
        <s v="https://admin.pref.rio/servicos-municipais/servicos/servico/ed432f86-219a-4f97-a819-de5507ed092b"/>
        <s v="https://admin.pref.rio/servicos-municipais/servicos/servico/4ed7d4a0-a620-431d-8923-013ad0b8a699"/>
        <s v="https://admin.pref.rio/servicos-municipais/servicos/servico/91c11e3f-ede1-4be2-aac5-c7d724716120"/>
        <s v="https://admin.pref.rio/servicos-municipais/servicos/servico/a150b531-04df-449a-96d6-92bf7def16db"/>
        <s v="https://admin.pref.rio/servicos-municipais/servicos/servico/981441b5-76d9-476b-bd6d-c06b2e5fbdac"/>
        <s v="https://admin.pref.rio/servicos-municipais/servicos/servico/043678f3-c521-421f-b648-1d46a3c833dd"/>
        <s v="https://admin.pref.rio/servicos-municipais/servicos/servico/66a82b2f-44d2-4115-87d3-55d2d57ee9f2"/>
        <s v="https://admin.pref.rio/servicos-municipais/servicos/servico/8de7bcc4-d850-4a3b-9c58-03305f71ac1b"/>
        <s v="https://admin.pref.rio/servicos-municipais/servicos/servico/e2777557-fff3-4f78-94a7-2a93f454df55"/>
        <s v="https://admin.pref.rio/servicos-municipais/servicos/servico/3d4e360e-6e42-40ba-be7b-0dce434886fd"/>
        <s v="https://admin.pref.rio/servicos-municipais/servicos/servico/1fd97fa9-6793-4b7a-bad3-3759c053f9b1"/>
        <s v="https://admin.pref.rio/servicos-municipais/servicos/servico/d1d7b1d7-09ba-40d4-9348-155505bf6140"/>
        <s v="https://admin.pref.rio/servicos-municipais/servicos/servico/d85eaa1d-7b52-4f46-97e5-fe4f90772d96"/>
        <s v="https://admin.pref.rio/servicos-municipais/servicos/servico/f4a6e6c4-c4c1-46ee-b27e-77bac2cd1a92"/>
        <s v="https://admin.pref.rio/servicos-municipais/servicos/servico/91bfe6e7-6bbf-4b18-8e9c-9b78d938adcf"/>
        <s v="https://admin.pref.rio/servicos-municipais/servicos/servico/b60a9de8-1546-45dd-be09-2dbc8b3eb90b"/>
        <s v="https://admin.pref.rio/servicos-municipais/servicos/servico/d0463180-1bf4-42cf-a033-c37e9290ba32"/>
        <s v="https://admin.pref.rio/servicos-municipais/servicos/servico/c1314ded-8ff6-4a16-a8d8-45b1e7284ef9"/>
        <s v="https://admin.pref.rio/servicos-municipais/servicos/servico/ac0e0124-2b31-4b7a-bd6e-a495682e6d49"/>
        <s v="https://admin.pref.rio/servicos-municipais/servicos/servico/25cf849c-c62f-4f31-be14-abe22fce3236"/>
        <s v="https://admin.pref.rio/servicos-municipais/servicos/servico/571d85be-0bd2-4fc8-b88e-8afd1f61a41a"/>
        <s v="https://admin.pref.rio/servicos-municipais/servicos/servico/8d53e2b6-b550-46de-a1a6-e7d76f973f78"/>
        <s v="https://admin.pref.rio/servicos-municipais/servicos/servico/ae0766f0-95dd-46e9-9708-e985ff8e2138"/>
        <s v="https://admin.pref.rio/servicos-municipais/servicos/servico/66de6566-4706-44cc-87a7-5bf2ea2aa589"/>
        <s v="https://admin.pref.rio/servicos-municipais/servicos/servico/bdd5bf56-e474-439d-815b-dd0f8f7ebaa7"/>
        <s v="https://admin.pref.rio/servicos-municipais/servicos/servico/e2935f7f-f944-43c2-8e2e-d5edbb1501ea"/>
        <s v="https://admin.pref.rio/servicos-municipais/servicos/servico/fa64e04f-1d06-4ed7-a94f-d4345d7d7ad2"/>
        <s v="https://admin.pref.rio/servicos-municipais/servicos/servico/859b505c-4a56-4768-b629-e361382a935f"/>
        <s v="https://admin.pref.rio/servicos-municipais/servicos/servico/d9337bb7-be39-4db9-9067-b43b1feb5250"/>
        <s v="https://admin.pref.rio/servicos-municipais/servicos/servico/dca6c6d8-31f6-4fe9-a4dd-cd357b453c42"/>
        <s v="https://admin.pref.rio/servicos-municipais/servicos/servico/dbda7570-e6da-41c9-b607-5dc5addb0e20"/>
        <s v="https://admin.pref.rio/servicos-municipais/servicos/servico/06c63884-32c1-4559-bf51-160a16485750"/>
        <s v="https://admin.pref.rio/servicos-municipais/servicos/servico/c9e8015c-95de-4e97-8661-d30026ed1150"/>
        <s v="https://admin.pref.rio/servicos-municipais/servicos/servico/ece397be-673c-416d-9f32-844c86a29b1f"/>
        <s v="https://admin.pref.rio/servicos-municipais/servicos/servico/b8e75e30-e7a3-45bf-b2b2-2799ef44e194"/>
        <s v="https://admin.pref.rio/servicos-municipais/servicos/servico/bcdbab02-4255-4fc4-baf0-2c719cffb7bd"/>
        <s v="https://admin.pref.rio/servicos-municipais/servicos/servico/693f371d-c02e-4abf-83b0-e084901994de"/>
        <s v="https://admin.pref.rio/servicos-municipais/servicos/servico/18addc47-7860-4389-ab4d-f4f9bda57724"/>
        <s v="https://admin.pref.rio/servicos-municipais/servicos/servico/6066f81e-8f3a-4cf5-b99f-8698db81e0a1"/>
        <s v="https://admin.pref.rio/servicos-municipais/servicos/servico/b21283cb-a671-4e82-a2d8-9fb2d02589da"/>
        <s v="https://admin.pref.rio/servicos-municipais/servicos/servico/4e8b5b00-f8c0-4961-9983-197010526754"/>
        <s v="https://admin.pref.rio/servicos-municipais/servicos/servico/a61f969d-eabb-4eea-9726-eac5cf9dc73f"/>
        <s v="https://admin.pref.rio/servicos-municipais/servicos/servico/647c6542-dda3-4d73-9346-d55ede91f642"/>
        <s v="https://admin.pref.rio/servicos-municipais/servicos/servico/a4c68e1a-8d16-403a-a0b1-5d590d52a6f1"/>
        <s v="https://admin.pref.rio/servicos-municipais/servicos/servico/550ad909-62d3-42b4-a2dd-2f4916eb88e4"/>
        <s v="https://admin.pref.rio/servicos-municipais/servicos/servico/73c5b49a-dd3e-46a7-8c5b-0b9131129efc"/>
        <s v="https://admin.pref.rio/servicos-municipais/servicos/servico/df453077-0ce9-4c8a-b46b-c2496b5a8013"/>
        <s v="https://admin.pref.rio/servicos-municipais/servicos/servico/503d1c2f-c5ba-4f0c-802d-7915f39533dd"/>
        <s v="https://admin.pref.rio/servicos-municipais/servicos/servico/98c1ff38-af87-4d02-b286-c0638f93bf8e"/>
        <s v="https://admin.pref.rio/servicos-municipais/servicos/servico/2b6c31d8-1091-414a-99b9-9322f174d67c"/>
        <s v="https://admin.pref.rio/servicos-municipais/servicos/servico/f5f1a160-39bc-4495-bf15-916ffcc6ab62"/>
        <s v="https://admin.pref.rio/servicos-municipais/servicos/servico/49bbe68d-cd43-48a5-8c2b-d66ea3e2961d"/>
        <s v="https://admin.pref.rio/servicos-municipais/servicos/servico/3501fa97-d4ae-483d-9d0b-aac97202e65b"/>
        <s v="https://admin.pref.rio/servicos-municipais/servicos/servico/dee74b81-58ed-47f8-bc9a-27214f9fd092"/>
        <s v="https://admin.pref.rio/servicos-municipais/servicos/servico/dc342f51-ebaa-483c-bd7a-9e4c73d661d5"/>
        <s v="https://admin.pref.rio/servicos-municipais/servicos/servico/6d141d34-c22f-408b-91ef-47e4ba843285"/>
        <s v="https://admin.pref.rio/servicos-municipais/servicos/servico/e5c810d9-a3d8-47b9-bf87-7604de8c0f6e"/>
        <s v="https://admin.pref.rio/servicos-municipais/servicos/servico/7e3ea1a4-5469-45f1-bb17-f3c19fa570a7"/>
        <s v="https://admin.pref.rio/servicos-municipais/servicos/servico/f8354aa1-f9df-4ac7-873c-ad11127043ec"/>
        <s v="https://admin.pref.rio/servicos-municipais/servicos/servico/eda25fe8-532d-4fe2-af68-d8d32f574d2a"/>
        <s v="https://admin.pref.rio/servicos-municipais/servicos/servico/1d94435e-9f6f-48bc-b955-a7b87e375c9e"/>
        <s v="https://admin.pref.rio/servicos-municipais/servicos/servico/f53beb26-9d1e-4fa8-b234-17b969713c2e"/>
        <s v="https://admin.pref.rio/servicos-municipais/servicos/servico/f9bbeda7-16e8-4c13-81cf-e84cc61eb988"/>
        <s v="https://admin.pref.rio/servicos-municipais/servicos/servico/1eb24f5c-5317-44f4-97b9-360d1f0bdd2b"/>
        <s v="https://admin.pref.rio/servicos-municipais/servicos/servico/20679c2c-0fa1-47ff-be20-062e16410469"/>
        <s v="https://admin.pref.rio/servicos-municipais/servicos/servico/a1a323e9-59bb-452b-bbe2-d1f0d3953e37"/>
        <s v="https://admin.pref.rio/servicos-municipais/servicos/servico/161a4fbb-04dc-4cea-893b-593becd7071b"/>
        <s v="https://admin.pref.rio/servicos-municipais/servicos/servico/38ffa803-2ad8-427e-974d-331742559e3b"/>
        <s v="https://admin.pref.rio/servicos-municipais/servicos/servico/53bb7356-baba-4d8b-a693-f007b3efeccc"/>
        <s v="https://admin.pref.rio/servicos-municipais/servicos/servico/684d1d10-ea42-47b6-a6a4-0302fd560a9b"/>
        <s v="https://admin.pref.rio/servicos-municipais/servicos/servico/488714ec-3ec4-40eb-bad1-8815a5a70c5c"/>
        <s v="https://admin.pref.rio/servicos-municipais/servicos/servico/2e774234-40f8-4aab-8722-404ad9267753"/>
        <s v="https://admin.pref.rio/servicos-municipais/servicos/servico/7c066344-9a03-4909-891c-a33458179a42"/>
        <s v="https://admin.pref.rio/servicos-municipais/servicos/servico/d149462b-5c14-4979-876e-85ad245695e7"/>
        <s v="https://admin.pref.rio/servicos-municipais/servicos/servico/4b3586db-d162-4038-8423-b31aef43c612"/>
        <s v="https://admin.pref.rio/servicos-municipais/servicos/servico/078e0849-5f1f-4fb9-9148-c91d6c4ea635"/>
        <s v="https://admin.pref.rio/servicos-municipais/servicos/servico/c764f34a-ce39-45a7-aeef-9ba6516476a5"/>
        <s v="https://admin.pref.rio/servicos-municipais/servicos/servico/8fa1bf2a-0368-4265-850d-964f3f85fc7a"/>
        <s v="https://admin.pref.rio/servicos-municipais/servicos/servico/5471369b-01b3-4e1c-a99d-bc818f25998e"/>
        <s v="https://admin.pref.rio/servicos-municipais/servicos/servico/83d5c864-ba76-42af-a9f6-f82074ec744a"/>
        <s v="https://admin.pref.rio/servicos-municipais/servicos/servico/63f1ee83-8b32-488a-bba9-3b48bccf7339"/>
        <s v="https://admin.pref.rio/servicos-municipais/servicos/servico/c3a2c7dd-99cb-45c1-8094-223cc12b2801"/>
        <s v="https://admin.pref.rio/servicos-municipais/servicos/servico/57b665f5-7552-4123-9a5b-322fb8662d49"/>
        <s v="https://admin.pref.rio/servicos-municipais/servicos/servico/5534235b-99d9-45b8-afb9-b7ea353657ca"/>
        <s v="https://admin.pref.rio/servicos-municipais/servicos/servico/80f3e5f4-065b-482f-96fa-f42983af2327"/>
        <s v="https://admin.pref.rio/servicos-municipais/servicos/servico/25bed40f-e1e3-4f53-b32d-168065df56dd"/>
        <s v="https://admin.pref.rio/servicos-municipais/servicos/servico/b133f534-dd22-470e-a1cd-0211770a976b"/>
        <s v="https://admin.pref.rio/servicos-municipais/servicos/servico/43389607-8138-467b-8b16-e702d5f5eb5c"/>
        <s v="https://admin.pref.rio/servicos-municipais/servicos/servico/6d526f75-5f0d-4cf4-8868-22d7474d5b1d"/>
        <s v="https://admin.pref.rio/servicos-municipais/servicos/servico/146237e8-6343-40ee-835b-88f247772e39"/>
        <s v="https://admin.pref.rio/servicos-municipais/servicos/servico/2db8197b-16d8-405f-b28c-49bc50ce62dd"/>
        <s v="https://admin.pref.rio/servicos-municipais/servicos/servico/85a5947f-a982-48ee-820f-bc6b7f703c10"/>
        <s v="https://admin.pref.rio/servicos-municipais/servicos/servico/76e14fc0-207a-4db5-bd70-ced196a3b8b4"/>
        <s v="https://admin.pref.rio/servicos-municipais/servicos/servico/db108a0c-f247-4e66-91ec-69e7f72138cf"/>
        <s v="https://admin.pref.rio/servicos-municipais/servicos/servico/985d4778-dcdd-462b-860b-ab5442c5a294"/>
        <s v="https://admin.pref.rio/servicos-municipais/servicos/servico/b890997c-14bf-482c-bf3e-59a78a7b8acf"/>
        <s v="https://admin.pref.rio/servicos-municipais/servicos/servico/e38a7757-f16b-4817-bbc9-96edc2e82a4c"/>
        <s v="https://admin.pref.rio/servicos-municipais/servicos/servico/1ec08ee8-d7df-4167-a430-2d5032f168e9"/>
        <s v="https://admin.pref.rio/servicos-municipais/servicos/servico/3e7b500f-1d75-44b2-91bf-67da0e7ac890"/>
        <s v="https://admin.pref.rio/servicos-municipais/servicos/servico/ccd5ba5f-eecd-4455-ae48-6b1474730716"/>
        <s v="https://admin.pref.rio/servicos-municipais/servicos/servico/067ea14a-4fc3-4df0-844d-a5994ad07dad"/>
        <s v="https://admin.pref.rio/servicos-municipais/servicos/servico/7d3f8ced-bf9f-426d-9734-5a9af34d2f9c"/>
        <s v="https://admin.pref.rio/servicos-municipais/servicos/servico/cec73414-6891-4371-bcf0-3b39e881dc81"/>
        <s v="https://admin.pref.rio/servicos-municipais/servicos/servico/1c5192cb-cb02-4f06-90eb-8229b99d67a8"/>
        <s v="https://admin.pref.rio/servicos-municipais/servicos/servico/208013dd-db24-45f7-a419-f10fa0670946"/>
        <s v="https://admin.pref.rio/servicos-municipais/servicos/servico/7cdaef72-2559-4a88-93b2-6fa1c5e8312c"/>
        <s v="https://admin.pref.rio/servicos-municipais/servicos/servico/f77e2846-a49e-44c0-a4f9-826c614c1b8f"/>
        <s v="https://admin.pref.rio/servicos-municipais/servicos/servico/d83274e9-d1f6-42c1-80d2-6927b29fbafe"/>
        <s v="https://admin.pref.rio/servicos-municipais/servicos/servico/b55e08e4-470a-41c6-81a7-1c9b076f9fa6"/>
        <s v="https://admin.pref.rio/servicos-municipais/servicos/servico/728a6848-58df-494d-9ff4-5d1e33e3033c"/>
        <s v="https://admin.pref.rio/servicos-municipais/servicos/servico/f9eda64a-fb8b-4547-a666-940e9dcc3f36"/>
        <s v="https://admin.pref.rio/servicos-municipais/servicos/servico/ea881361-a1c0-44ff-8b2b-2caee344ee89"/>
        <s v="https://admin.pref.rio/servicos-municipais/servicos/servico/24bcdcd1-5d32-4282-a309-30aed98a1f02"/>
        <s v="https://admin.pref.rio/servicos-municipais/servicos/servico/3602ca21-b345-4a5b-835f-ab49583d60a0"/>
        <s v="https://admin.pref.rio/servicos-municipais/servicos/servico/63609445-b2f3-4ffb-bdb2-6073600bc67b"/>
        <s v="https://admin.pref.rio/servicos-municipais/servicos/servico/b3e0fef5-e860-4125-88ae-e1951f1080d6"/>
        <s v="https://admin.pref.rio/servicos-municipais/servicos/servico/3ab716ff-9db4-4991-9444-c269ee36ef5a"/>
        <s v="https://admin.pref.rio/servicos-municipais/servicos/servico/18b0821b-4da4-49c4-9819-bf1fecfe6bbc"/>
        <s v="https://admin.pref.rio/servicos-municipais/servicos/servico/61960762-38fe-4ee0-a7a6-a097e41b65cc"/>
        <s v="https://admin.pref.rio/servicos-municipais/servicos/servico/a4f5f365-3258-4ef7-b0fe-b45d951d57d7"/>
        <s v="https://admin.pref.rio/servicos-municipais/servicos/servico/d66ddc1c-469b-4cf9-9d42-58fe3f46905c"/>
        <s v="https://admin.pref.rio/servicos-municipais/servicos/servico/b437d1b7-0458-476c-8921-54c256678d38"/>
        <s v="https://admin.pref.rio/servicos-municipais/servicos/servico/c7d8ce73-2aa3-4cc8-8d00-ee96c5c16cfa"/>
        <s v="https://admin.pref.rio/servicos-municipais/servicos/servico/d61c7cb5-b3bd-4bb4-ae21-77cb01a96822"/>
        <s v="https://admin.pref.rio/servicos-municipais/servicos/servico/75d82dff-b320-4188-8b88-ae79fab1cecd"/>
        <s v="https://admin.pref.rio/servicos-municipais/servicos/servico/704d6718-a6a3-41a1-9eff-fe07ea9af405"/>
        <s v="https://admin.pref.rio/servicos-municipais/servicos/servico/87367bd0-402b-4de5-afb8-9c3f7b17e185"/>
        <s v="https://admin.pref.rio/servicos-municipais/servicos/servico/ae26465c-acd5-4261-9ef5-0b8a457c3e5b"/>
        <s v="https://admin.pref.rio/servicos-municipais/servicos/servico/77b1f591-2e22-4aab-8030-b2c745b4ec01"/>
        <s v="https://admin.pref.rio/servicos-municipais/servicos/servico/d1aaebed-97ac-4f0d-bbab-e57ed9d4270f"/>
        <s v="https://admin.pref.rio/servicos-municipais/servicos/servico/e7e0625e-a83b-434f-bbee-43f310e2c007"/>
        <s v="https://admin.pref.rio/servicos-municipais/servicos/servico/25067398-cf39-4d54-b235-d8045adfca12"/>
        <s v="https://admin.pref.rio/servicos-municipais/servicos/servico/0998b535-1af6-4803-a117-a0c17f5d8985"/>
        <s v="https://admin.pref.rio/servicos-municipais/servicos/servico/95eebbc7-7e8e-461f-a67b-260ea62abbc8"/>
        <s v="https://admin.pref.rio/servicos-municipais/servicos/servico/25dccf90-bc92-4490-aec5-09b79c5592cc"/>
        <s v="https://admin.pref.rio/servicos-municipais/servicos/servico/950a3598-6e5e-4190-ba7a-a6737e6432d2"/>
        <s v="https://admin.pref.rio/servicos-municipais/servicos/servico/9c60ac09-6a53-4dc1-a17f-839c320fcf33"/>
        <s v="https://admin.pref.rio/servicos-municipais/servicos/servico/c221d393-f9c5-4392-b559-978b1db87d44"/>
        <s v="https://admin.pref.rio/servicos-municipais/servicos/servico/a919451c-7929-4ef4-a797-de7e95eafff7"/>
        <s v="https://admin.pref.rio/servicos-municipais/servicos/servico/d941e0cc-ffa2-4bba-8ab1-cb8a0b47b8fe"/>
        <s v="https://admin.pref.rio/servicos-municipais/servicos/servico/cddd521f-f2a4-4f5e-87fe-5c3898b50c3e"/>
        <s v="https://admin.pref.rio/servicos-municipais/servicos/servico/9281440a-edd1-4112-aa4c-9b601d9a7e03"/>
        <s v="https://admin.pref.rio/servicos-municipais/servicos/servico/0faa9492-cf6a-4aa5-86d0-fa5223333e75"/>
        <s v="https://admin.pref.rio/servicos-municipais/servicos/servico/a13f790a-a630-4ee5-a6c5-60067b286b0e"/>
        <s v="https://admin.pref.rio/servicos-municipais/servicos/servico/dd19dafd-5ae3-43a3-9ae1-1bdaaa62eb51"/>
        <s v="https://admin.pref.rio/servicos-municipais/servicos/servico/79fd0aab-2521-4cf7-89ba-b481d8384354"/>
        <s v="https://admin.pref.rio/servicos-municipais/servicos/servico/c5348aef-a0c4-456f-b292-d9377fe04ea1"/>
        <s v="https://admin.pref.rio/servicos-municipais/servicos/servico/689aebfe-936f-479f-b23a-88a7f9a07e14"/>
        <s v="https://admin.pref.rio/servicos-municipais/servicos/servico/0a9fb384-a35e-4879-8990-82c1c6de03bf"/>
        <s v="https://admin.pref.rio/servicos-municipais/servicos/servico/3358c058-2878-4e17-bbc1-e620749c3c04"/>
        <s v="https://admin.pref.rio/servicos-municipais/servicos/servico/fd0d02b9-32c0-4413-9ead-34cd78f26841"/>
        <s v="https://admin.pref.rio/servicos-municipais/servicos/servico/35c25a73-3c21-460d-becf-70d4bc40911e"/>
        <s v="https://admin.pref.rio/servicos-municipais/servicos/servico/586fa520-4e79-4268-83c5-2e387cc2096a"/>
        <s v="https://admin.pref.rio/servicos-municipais/servicos/servico/7464287b-1514-4472-b97c-d52f524449e3"/>
        <s v="https://admin.pref.rio/servicos-municipais/servicos/servico/3c4e5eab-0e94-408f-8ba0-270d5a24651c"/>
        <s v="https://admin.pref.rio/servicos-municipais/servicos/servico/29f53755-c354-4a6b-95a3-3c2596f7b732"/>
        <s v="https://admin.pref.rio/servicos-municipais/servicos/servico/67bbca7c-88f5-4b3a-a4fd-ba348015700e"/>
        <s v="https://admin.pref.rio/servicos-municipais/servicos/servico/e2cade5e-daa3-4fcb-8f98-8e2ddc09a985"/>
        <s v="https://admin.pref.rio/servicos-municipais/servicos/servico/09100b86-56e8-4f86-abc0-143f428d7aed"/>
        <s v="https://admin.pref.rio/servicos-municipais/servicos/servico/fb16e5f2-4721-4750-a328-6dfcc9d80322"/>
        <s v="https://admin.pref.rio/servicos-municipais/servicos/servico/32d36286-1e4d-4f55-831d-c8967b4e5e99"/>
        <s v="https://admin.pref.rio/servicos-municipais/servicos/servico/a4b915ca-f612-482a-b04a-41a9be2d4d6a"/>
        <s v="https://admin.pref.rio/servicos-municipais/servicos/servico/b3843a38-0aac-4fa4-9e7b-762147ee295f"/>
        <s v="https://admin.pref.rio/servicos-municipais/servicos/servico/c327f96b-87c4-4a78-b7d7-d9f7c8dbcca4"/>
        <s v="https://admin.pref.rio/servicos-municipais/servicos/servico/fdbd413d-7652-4f47-866b-aa91a3960ea5"/>
        <s v="https://admin.pref.rio/servicos-municipais/servicos/servico/4ec29959-2cbd-456d-8bb1-26e4cd2f1fcc"/>
        <s v="https://admin.pref.rio/servicos-municipais/servicos/servico/212690b7-08f4-4c09-bdc0-9d40a466b33e"/>
        <s v="https://admin.pref.rio/servicos-municipais/servicos/servico/a48ea04a-0a71-4e23-9ac1-4f43640fcbbd"/>
        <s v="https://admin.pref.rio/servicos-municipais/servicos/servico/f7750793-943f-4fe4-8fa7-c3a6111265f3"/>
        <s v="https://admin.pref.rio/servicos-municipais/servicos/servico/d36ecd7d-6b14-4748-adb7-6bc0c69553a1"/>
        <s v="https://admin.pref.rio/servicos-municipais/servicos/servico/67cad45a-3a9f-4924-885e-ab108941b7e8"/>
        <s v="https://admin.pref.rio/servicos-municipais/servicos/servico/68498768-2b8b-4363-a8fe-eff3ff02d08a"/>
        <s v="https://admin.pref.rio/servicos-municipais/servicos/servico/500f80e9-8465-4fab-b16d-ebf519d359ed"/>
        <s v="https://admin.pref.rio/servicos-municipais/servicos/servico/ead6097c-6a3e-48f2-8476-c296fe3c7a3e"/>
        <s v="https://admin.pref.rio/servicos-municipais/servicos/servico/2caa2c6f-77c8-420e-b39a-f90bb9236c6d"/>
        <s v="https://admin.pref.rio/servicos-municipais/servicos/servico/04e2de31-b625-4851-b252-a9aec74bb7b9"/>
        <s v="https://admin.pref.rio/servicos-municipais/servicos/servico/8b3fd653-339e-4b30-8083-b61757a3e521"/>
        <s v="https://admin.pref.rio/servicos-municipais/servicos/servico/3cebc258-8f33-4c11-94e6-5a50809a2af7"/>
        <s v="https://admin.pref.rio/servicos-municipais/servicos/servico/c5b7de6e-cadf-4773-a463-4fd1e1e4f4dd"/>
        <s v="https://admin.pref.rio/servicos-municipais/servicos/servico/22dbde2e-e966-41f5-b8aa-8b6993148f1d"/>
        <s v="https://admin.pref.rio/servicos-municipais/servicos/servico/5585091e-9c8a-4856-a375-c1b8a5c818c3"/>
        <s v="https://admin.pref.rio/servicos-municipais/servicos/servico/3cbf89d5-3ca5-474b-a045-8322fa5e50d9"/>
        <s v="https://admin.pref.rio/servicos-municipais/servicos/servico/b856c7ee-3062-47f3-a8a6-d7456defb805"/>
        <s v="https://admin.pref.rio/servicos-municipais/servicos/servico/8ba9ecfc-cc53-4595-99c0-ff9b98b1c94f"/>
        <s v="https://admin.pref.rio/servicos-municipais/servicos/servico/2868ae3d-edff-4037-a810-c98f0f305f35"/>
        <s v="https://admin.pref.rio/servicos-municipais/servicos/servico/ce86528f-66d6-48db-9cac-71a2b163e329"/>
        <s v="https://admin.pref.rio/servicos-municipais/servicos/servico/724950db-5f2a-4428-aff4-678bd722076c"/>
        <s v="https://admin.pref.rio/servicos-municipais/servicos/servico/6a445599-b8fa-44c6-a6fb-e9ef3e90df7a"/>
        <s v="https://admin.pref.rio/servicos-municipais/servicos/servico/e4a4d86c-8d8f-4216-9e72-7d5fceb70527"/>
        <s v="https://admin.pref.rio/servicos-municipais/servicos/servico/eec19dcf-9954-43f2-95b4-db596cf36fa3"/>
        <s v="https://admin.pref.rio/servicos-municipais/servicos/servico/0e57e6ba-4715-4f23-9c24-749d3971b1ba"/>
        <s v="https://admin.pref.rio/servicos-municipais/servicos/servico/726a1555-2b32-4720-b1c7-ce5c148c86e3"/>
        <s v="https://admin.pref.rio/servicos-municipais/servicos/servico/b79ff95b-d337-41d7-884e-9b807b12c48e"/>
        <s v="https://admin.pref.rio/servicos-municipais/servicos/servico/2f8f677e-dadc-4404-9353-0a076c1fe076"/>
        <s v="https://admin.pref.rio/servicos-municipais/servicos/servico/d8aa4d5d-8713-476e-9573-969b3f758e0a"/>
        <s v="https://admin.pref.rio/servicos-municipais/servicos/servico/63ac61eb-ca19-4d22-a49f-7cc473d5bee7"/>
        <s v="https://admin.pref.rio/servicos-municipais/servicos/servico/1038e182-d61a-4d06-b567-a183ed278353"/>
        <s v="https://admin.pref.rio/servicos-municipais/servicos/servico/5e5fd59b-f900-41a2-969e-ef44b9e9505b"/>
        <s v="https://admin.pref.rio/servicos-municipais/servicos/servico/e9f67073-37c3-4cf1-8ede-1f67591c472c"/>
        <s v="https://admin.pref.rio/servicos-municipais/servicos/servico/e22118b5-65b4-4c57-b3af-1167fa037465"/>
        <s v="https://admin.pref.rio/servicos-municipais/servicos/servico/2edbfc24-7849-4ca4-98a8-435dd658e179"/>
        <s v="https://admin.pref.rio/servicos-municipais/servicos/servico/fecae56e-9e7b-4852-abd9-c6f9c2195727"/>
        <s v="https://admin.pref.rio/servicos-municipais/servicos/servico/50eebe3f-dc59-41cf-b21d-4da04d56adff"/>
        <s v="https://admin.pref.rio/servicos-municipais/servicos/servico/9de01769-d88e-4d1c-92f0-33afa2214159"/>
        <s v="https://admin.pref.rio/servicos-municipais/servicos/servico/a6f0706f-c522-4345-b37c-8a49fba1fab9"/>
        <s v="https://admin.pref.rio/servicos-municipais/servicos/servico/fce776cf-0fd2-4f30-b58a-b4a058030c6f"/>
        <s v="https://admin.pref.rio/servicos-municipais/servicos/servico/1f919e2d-e12f-45ba-b860-5b408a9e5f30"/>
        <s v="https://admin.pref.rio/servicos-municipais/servicos/servico/a00f0038-21d6-46a8-97bb-3209826e0086"/>
        <s v="https://admin.pref.rio/servicos-municipais/servicos/servico/42c4d8fa-843b-4a04-a83c-45c5cc27412c"/>
        <s v="https://admin.pref.rio/servicos-municipais/servicos/servico/1225e675-cc60-4baf-ad9a-ff105e716fd5"/>
        <s v="https://admin.pref.rio/servicos-municipais/servicos/servico/713bddba-5bc8-40a1-bdc4-5a1be0d271aa"/>
        <s v="https://admin.pref.rio/servicos-municipais/servicos/servico/caca0f90-992a-4cbf-80fd-22c09425d852"/>
        <s v="https://admin.pref.rio/servicos-municipais/servicos/servico/a9fca329-1066-4b9d-a992-69da89055252"/>
        <s v="https://admin.pref.rio/servicos-municipais/servicos/servico/3cdedc28-60e3-4fda-8149-020d6e389c81"/>
        <s v="https://admin.pref.rio/servicos-municipais/servicos/servico/43c5124b-764d-4d8f-a2d6-4b05535c5e6e"/>
        <s v="https://admin.pref.rio/servicos-municipais/servicos/servico/60388ed0-11d6-4eef-9728-bbac482776ac"/>
        <s v="https://admin.pref.rio/servicos-municipais/servicos/servico/392f2632-2bf7-45fe-88de-ca3fe1d25a67"/>
        <s v="https://admin.pref.rio/servicos-municipais/servicos/servico/7a38a564-1653-4310-9f7e-8d40855407d3"/>
        <s v="https://admin.pref.rio/servicos-municipais/servicos/servico/c706e82a-cd66-418b-a1d8-6ae4f286dd70"/>
        <s v="https://admin.pref.rio/servicos-municipais/servicos/servico/6eeb8756-3123-4a23-870d-e2121353e70f"/>
        <s v="https://admin.pref.rio/servicos-municipais/servicos/servico/087ea6c6-88ff-469a-abe7-4889590013eb"/>
        <s v="https://admin.pref.rio/servicos-municipais/servicos/servico/0b209b17-ab45-49f5-b26b-40010eff2da3"/>
        <s v="https://admin.pref.rio/servicos-municipais/servicos/servico/025e6248-087f-4078-ae25-ee9a1098a4dd"/>
        <s v="https://admin.pref.rio/servicos-municipais/servicos/servico/32399035-00be-4797-b639-03728d7b925c"/>
        <s v="https://admin.pref.rio/servicos-municipais/servicos/servico/8b7e1729-58b6-4531-a0e4-c933df40fb19"/>
        <s v="https://admin.pref.rio/servicos-municipais/servicos/servico/13d790b0-4c7d-49dd-ba21-49bf4699cb66"/>
        <s v="https://admin.pref.rio/servicos-municipais/servicos/servico/b5ad2d27-a751-4f85-88eb-b552d7331d3c"/>
        <s v="https://admin.pref.rio/servicos-municipais/servicos/servico/b001b3c5-eb39-412c-9cd3-4a1914b83b1c"/>
        <s v="https://admin.pref.rio/servicos-municipais/servicos/servico/137717dc-7d58-4f31-856e-4dd53c723666"/>
        <s v="https://admin.pref.rio/servicos-municipais/servicos/servico/4895c2ce-b745-4980-8722-c58917c40ca3"/>
        <s v="https://admin.pref.rio/servicos-municipais/servicos/servico/26075dd9-504f-42d1-bb5a-b248b0c75cfb"/>
        <s v="https://admin.pref.rio/servicos-municipais/servicos/servico/5032e059-54a8-4813-bd21-c54cea1db770"/>
        <s v="https://admin.pref.rio/servicos-municipais/servicos/servico/b7180f1f-2e4a-4a71-abc1-ede24a452057"/>
        <s v="https://admin.pref.rio/servicos-municipais/servicos/servico/f31328fc-2003-44df-9228-9d3b3926a56e"/>
        <s v="https://admin.pref.rio/servicos-municipais/servicos/servico/4170d06d-a6c0-4504-a1a4-556cee7aa77d"/>
        <s v="https://admin.pref.rio/servicos-municipais/servicos/servico/4df5e1f3-014b-434f-9650-fda0710397a9"/>
        <s v="https://admin.pref.rio/servicos-municipais/servicos/servico/592e4eb1-62b5-49b3-a163-0e8c06097d55"/>
        <s v="https://admin.pref.rio/servicos-municipais/servicos/servico/5cc0f364-83fc-491d-8ed5-b4700d08db0b"/>
        <s v="https://admin.pref.rio/servicos-municipais/servicos/servico/713f343a-c167-4285-8ea1-a5aee3eb32cf"/>
        <s v="https://admin.pref.rio/servicos-municipais/servicos/servico/ab85d04d-d718-45cf-a000-0e467f973d3b"/>
        <s v="https://admin.pref.rio/servicos-municipais/servicos/servico/a41b4130-c7e5-496d-abc7-38be42f8e5af"/>
        <s v="https://admin.pref.rio/servicos-municipais/servicos/servico/e3d20db5-27cb-41b4-9fc7-ab35d03a8a76"/>
        <s v="https://admin.pref.rio/servicos-municipais/servicos/servico/890d027c-0465-4654-bc73-5cf97f548a87"/>
        <s v="https://admin.pref.rio/servicos-municipais/servicos/servico/4de1db80-9ba7-4b16-81d5-39a645ab909d"/>
        <s v="https://admin.pref.rio/servicos-municipais/servicos/servico/2c0ef0bc-901e-47b3-bbc7-2a1e25ff5285"/>
        <s v="https://admin.pref.rio/servicos-municipais/servicos/servico/9980f188-a385-48a3-a833-a46156404018"/>
        <s v="https://admin.pref.rio/servicos-municipais/servicos/servico/35b31bbe-326b-461e-8bfd-ab8e112f9a6f"/>
        <s v="https://admin.pref.rio/servicos-municipais/servicos/servico/130ffaa4-eced-44ff-8763-9bd678522375"/>
        <s v="https://admin.pref.rio/servicos-municipais/servicos/servico/6478114c-49c1-4779-bc67-76f23d6e1d4b"/>
        <s v="https://admin.pref.rio/servicos-municipais/servicos/servico/a3b07499-7cb8-4e4c-aaf3-8302ee443e9f"/>
        <s v="https://admin.pref.rio/servicos-municipais/servicos/servico/c1e8da2d-419b-448c-973c-6aeb5f11f8ea"/>
        <s v="https://admin.pref.rio/servicos-municipais/servicos/servico/a32f88c0-525b-4b8b-a25d-bf383d2d8b4a"/>
        <s v="https://admin.pref.rio/servicos-municipais/servicos/servico/b432dc14-5cf1-41c5-8396-ad43db1a4bb7"/>
        <s v="https://admin.pref.rio/servicos-municipais/servicos/servico/901bf85b-445d-40e1-9c2c-e458a5c5ef9b"/>
        <s v="https://admin.pref.rio/servicos-municipais/servicos/servico/e80098fe-cccd-4b00-bc07-18fb122bc765"/>
        <s v="https://admin.pref.rio/servicos-municipais/servicos/servico/53b7b9b0-a8c4-4a3a-ab57-acf2a7dd7643"/>
        <s v="https://admin.pref.rio/servicos-municipais/servicos/servico/14f44145-c9f2-4c0b-958d-ecdf50acee7d"/>
        <s v="https://admin.pref.rio/servicos-municipais/servicos/servico/d3fca4aa-8ade-4869-bb85-bafd9279e2b9"/>
        <s v="https://admin.pref.rio/servicos-municipais/servicos/servico/a5572b83-3340-463e-a606-bf6773df6143"/>
        <s v="https://admin.pref.rio/servicos-municipais/servicos/servico/85f671e9-7382-43bb-b509-68b30a6695a5"/>
        <s v="https://admin.pref.rio/servicos-municipais/servicos/servico/f3f41136-d41b-4a21-a2e2-0fa8f9f9d70c"/>
        <s v="https://admin.pref.rio/servicos-municipais/servicos/servico/042e8b69-c7a8-443d-ace0-057442e1a66b"/>
        <s v="https://admin.pref.rio/servicos-municipais/servicos/servico/f8976c50-d9e3-4057-966e-4bc54193a874"/>
        <s v="https://admin.pref.rio/servicos-municipais/servicos/servico/1335599b-9d62-45d3-91cd-3f04827b0b12"/>
        <s v="https://admin.pref.rio/servicos-municipais/servicos/servico/99e9ff50-6168-4811-be64-531d4ada2f27"/>
        <s v="https://admin.pref.rio/servicos-municipais/servicos/servico/b2c78ebc-d861-4108-b57f-d1993ea03a37"/>
        <s v="https://admin.pref.rio/servicos-municipais/servicos/servico/dfe5c8dd-b1dc-4f63-b81a-2bc9ce1bb21b"/>
        <s v="https://admin.pref.rio/servicos-municipais/servicos/servico/4458588f-e76c-4342-a50a-1ff6cb6f2577"/>
        <s v="https://admin.pref.rio/servicos-municipais/servicos/servico/8b631564-9cb5-4781-ba60-8cf3b1e963cb"/>
        <s v="https://admin.pref.rio/servicos-municipais/servicos/servico/4f1e03f2-9a50-4e8c-92b1-28b167a58248"/>
        <s v="https://admin.pref.rio/servicos-municipais/servicos/servico/dad2ae54-3246-466b-9e0c-2129d0b11734"/>
        <s v="https://admin.pref.rio/servicos-municipais/servicos/servico/c4aca095-7f1a-4a52-bfa3-50be2c0b8e63"/>
        <s v="https://admin.pref.rio/servicos-municipais/servicos/servico/00116adc-5b9d-4709-bfbb-6b72bad03146"/>
        <s v="https://admin.pref.rio/servicos-municipais/servicos/servico/f6157d2d-d6ed-4e73-85c0-864c20602041"/>
        <s v="https://admin.pref.rio/servicos-municipais/servicos/servico/16d4c1f4-857e-4db7-8ebd-905709d0f461"/>
        <s v="https://admin.pref.rio/servicos-municipais/servicos/servico/f4a47923-17da-47b9-ba69-0c9bb6b6074b"/>
        <s v="https://admin.pref.rio/servicos-municipais/servicos/servico/76a72eba-bc81-47bd-ac8a-b69ae6b82fe2"/>
        <s v="https://admin.pref.rio/servicos-municipais/servicos/servico/3cf06f16-60b5-4fa6-9638-dfb1d868edff"/>
        <s v="https://admin.pref.rio/servicos-municipais/servicos/servico/54da90c2-064d-409d-8f76-6d8854c3f19d"/>
        <s v="https://admin.pref.rio/servicos-municipais/servicos/servico/99eea881-736d-4d2c-854e-e30b502e1726"/>
        <s v="https://admin.pref.rio/servicos-municipais/servicos/servico/49144e6e-1693-46dd-ad84-22bda6d88283"/>
        <s v="https://admin.pref.rio/servicos-municipais/servicos/servico/b4335180-64e0-4240-99ad-136617793905"/>
        <s v="https://admin.pref.rio/servicos-municipais/servicos/servico/f19a0ff9-1864-4571-b0a6-810c332a3086"/>
        <s v="https://admin.pref.rio/servicos-municipais/servicos/servico/6356f8a9-8b67-4a82-9bbb-0a3429ec151b"/>
        <s v="https://admin.pref.rio/servicos-municipais/servicos/servico/4b0d2abb-7d49-47f8-b283-6ef129a5a798"/>
        <s v="https://admin.pref.rio/servicos-municipais/servicos/servico/06d0c866-a76a-4ec7-9685-f839b0be08ce"/>
        <s v="https://admin.pref.rio/servicos-municipais/servicos/servico/47a161c7-e445-4336-9d34-bef47a267495"/>
        <s v="https://admin.pref.rio/servicos-municipais/servicos/servico/5d0df076-0110-4659-8f41-87105ce01dda"/>
        <s v="https://admin.pref.rio/servicos-municipais/servicos/servico/d6073bad-d4bc-4cec-b4cb-707778bf2319"/>
        <s v="https://admin.pref.rio/servicos-municipais/servicos/servico/dfa09a61-fea9-4deb-9a19-858c41748996"/>
        <s v="https://admin.pref.rio/servicos-municipais/servicos/servico/55551059-4328-4c25-b261-27ece96a570a"/>
        <s v="https://admin.pref.rio/servicos-municipais/servicos/servico/f74ae0b2-1ea6-4915-814e-4da41c0a913a"/>
        <s v="https://admin.pref.rio/servicos-municipais/servicos/servico/9ff5886c-3955-41a2-a960-7235a0cdc961"/>
        <s v="https://admin.pref.rio/servicos-municipais/servicos/servico/c2f597b3-6825-4bca-93d1-b81f4d158b51"/>
        <s v="https://admin.pref.rio/servicos-municipais/servicos/servico/984c3bb1-d3d7-43fb-82eb-07ee4207333b"/>
        <s v="https://admin.pref.rio/servicos-municipais/servicos/servico/9beb94ea-5ed4-4337-90e2-3430422bea94"/>
        <s v="https://admin.pref.rio/servicos-municipais/servicos/servico/7ab1f413-f90b-4de7-aa0c-15ceb1154c41"/>
        <s v="https://admin.pref.rio/servicos-municipais/servicos/servico/78c2f256-8eaa-4b4e-b6cb-10f118fb59c7"/>
        <s v="https://admin.pref.rio/servicos-municipais/servicos/servico/991ce8b7-3edc-4b72-9563-0b2f0912c358"/>
        <s v="https://admin.pref.rio/servicos-municipais/servicos/servico/f380f5d4-a638-4428-b370-1786ebf8ff0b"/>
        <s v="https://admin.pref.rio/servicos-municipais/servicos/servico/7a68b74c-8094-4ab9-85ac-5e827fd2a484"/>
        <s v="https://admin.pref.rio/servicos-municipais/servicos/servico/39576fe8-5f81-403d-b39a-f2fd34f754f0"/>
        <s v="https://admin.pref.rio/servicos-municipais/servicos/servico/6b02abdc-20a6-4df6-99e1-dec8add952cf"/>
        <s v="https://admin.pref.rio/servicos-municipais/servicos/servico/1e568f65-5526-4380-9e17-832f14ed85ef"/>
        <s v="https://admin.pref.rio/servicos-municipais/servicos/servico/c5122a0d-5fc9-4509-8f45-535ba1e64f8c"/>
        <s v="https://admin.pref.rio/servicos-municipais/servicos/servico/93bf1b35-93da-4a10-b9e1-90b2cc79078b"/>
        <s v="https://admin.pref.rio/servicos-municipais/servicos/servico/69f606d6-bb7a-4413-98f2-fab4483e1a53"/>
        <s v="https://admin.pref.rio/servicos-municipais/servicos/servico/f3c8af0b-d9bf-49c4-81f4-652e182dc59a"/>
        <s v="https://admin.pref.rio/servicos-municipais/servicos/servico/04eec402-8b7f-4413-90fb-07ed88bdca97"/>
        <s v="https://admin.pref.rio/servicos-municipais/servicos/servico/f3369b2f-5e8a-4371-a1b4-7b6946eead2f"/>
        <s v="https://admin.pref.rio/servicos-municipais/servicos/servico/cca6a04d-62b9-418d-9e0d-c90e111ae5bf"/>
        <s v="https://admin.pref.rio/servicos-municipais/servicos/servico/0743d1bf-5b03-4936-810a-4e98ff4aefa1"/>
        <s v="https://admin.pref.rio/servicos-municipais/servicos/servico/c12f9a11-63c6-4782-aab8-b5e52fdcefd8"/>
        <s v="https://admin.pref.rio/servicos-municipais/servicos/servico/0f951550-7439-4f1f-a2d8-0f7a9e94807e"/>
        <s v="https://admin.pref.rio/servicos-municipais/servicos/servico/5762947e-09f9-403b-83e9-f0dd86f275f7"/>
        <s v="https://admin.pref.rio/servicos-municipais/servicos/servico/56a4846a-6756-4236-be92-234793a37333"/>
        <s v="https://admin.pref.rio/servicos-municipais/servicos/servico/e2f689b2-4746-4d44-8924-77d7d8034a92"/>
        <s v="https://admin.pref.rio/servicos-municipais/servicos/servico/e3c9e822-f593-440b-816c-fd28b865a78d"/>
        <s v="https://admin.pref.rio/servicos-municipais/servicos/servico/115067c7-00a9-4480-b9e0-8afaaa3f6d01"/>
        <s v="https://admin.pref.rio/servicos-municipais/servicos/servico/1a5604d1-3c65-4337-9e1c-412cd8fe5bdd"/>
        <s v="https://admin.pref.rio/servicos-municipais/servicos/servico/da3a11c4-4546-4e62-9b46-20c71506caec"/>
        <s v="https://admin.pref.rio/servicos-municipais/servicos/servico/7f8da19c-dcb9-4935-a573-5758b5370a20"/>
        <s v="https://admin.pref.rio/servicos-municipais/servicos/servico/c89663f9-19c0-4640-8566-c4fc5c9a7605"/>
        <s v="https://admin.pref.rio/servicos-municipais/servicos/servico/1879bcfe-2584-4527-b3ef-26f503b0f6d5"/>
        <s v="https://admin.pref.rio/servicos-municipais/servicos/servico/14c61e8c-5595-44d7-8187-67674ae5fc5b"/>
        <s v="https://admin.pref.rio/servicos-municipais/servicos/servico/5aebb158-460f-48f6-9532-ca536ae7fe03"/>
        <s v="https://admin.pref.rio/servicos-municipais/servicos/servico/34e2a9b7-692e-4565-b1af-fb6e7ca8a2d5"/>
        <s v="https://admin.pref.rio/servicos-municipais/servicos/servico/99f629b1-2c6b-4dd5-a06e-6461e1c02722"/>
        <s v="https://admin.pref.rio/servicos-municipais/servicos/servico/cfacf9e6-c916-4c6a-8381-add13c1dc962"/>
        <s v="https://admin.pref.rio/servicos-municipais/servicos/servico/9af07757-85b8-4e27-ba06-09f9443b74ae"/>
        <s v="https://admin.pref.rio/servicos-municipais/servicos/servico/3d4c5ea1-f58a-449b-92ff-0dbf5f18b99a"/>
        <s v="https://admin.pref.rio/servicos-municipais/servicos/servico/36f8ff6d-24f2-44b5-a287-ef2487272086"/>
        <s v="https://admin.pref.rio/servicos-municipais/servicos/servico/a01f0a8f-9a96-43d8-9809-38f339e4ad93"/>
        <s v="https://admin.pref.rio/servicos-municipais/servicos/servico/68b43d38-08bf-48f1-934f-ca402de4d775"/>
        <s v="https://admin.pref.rio/servicos-municipais/servicos/servico/30b84aef-bd3b-4b14-b338-d1da61feab3d"/>
        <s v="https://admin.pref.rio/servicos-municipais/servicos/servico/eb4519b7-1f47-4a00-9317-077665389c98"/>
        <s v="https://admin.pref.rio/servicos-municipais/servicos/servico/ebb48737-c33c-4f69-ace6-d98c1cb6e92f"/>
        <s v="https://admin.pref.rio/servicos-municipais/servicos/servico/b2c45ba9-f701-4b82-909c-5e1acc4a2e7f"/>
        <s v="https://admin.pref.rio/servicos-municipais/servicos/servico/6be48047-c7dc-401d-af90-52622469c6a7"/>
        <s v="https://admin.pref.rio/servicos-municipais/servicos/servico/104af302-0886-4e57-9820-6de5d24174c2"/>
        <s v="https://admin.pref.rio/servicos-municipais/servicos/servico/7a1e503c-26e0-4b1a-b413-57fed42cd84f"/>
        <s v="https://admin.pref.rio/servicos-municipais/servicos/servico/6a76b623-0b12-4b45-b72c-b0d240b6ec4f"/>
        <s v="https://admin.pref.rio/servicos-municipais/servicos/servico/68a6ffa6-3fc1-45bf-bc10-63f2d7f1edd9"/>
        <s v="https://admin.pref.rio/servicos-municipais/servicos/servico/3303e8b9-1dc7-4257-83a8-a78f568e072f"/>
        <s v="https://admin.pref.rio/servicos-municipais/servicos/servico/b4a51a3f-52b0-4658-99a7-8fdf237c056d"/>
        <s v="https://admin.pref.rio/servicos-municipais/servicos/servico/7c1b2935-f548-4033-a453-234d0b0c6621"/>
        <s v="https://admin.pref.rio/servicos-municipais/servicos/servico/307caec2-c37c-49e4-b4c7-3766caf786ee"/>
        <s v="https://admin.pref.rio/servicos-municipais/servicos/servico/c437197f-202e-4270-8e4e-82d3f0a16c57"/>
        <s v="https://admin.pref.rio/servicos-municipais/servicos/servico/254eca2d-f02c-47a0-aff7-f224b16dda9c"/>
        <s v="https://admin.pref.rio/servicos-municipais/servicos/servico/51a77b70-23ec-483c-8c19-0abb62c038b2"/>
        <s v="https://admin.pref.rio/servicos-municipais/servicos/servico/ad6c4963-942f-49cf-92a4-7b9887453aa2"/>
        <s v="https://admin.pref.rio/servicos-municipais/servicos/servico/f48f78aa-c581-4614-b2d9-7379939b1621"/>
        <s v="https://admin.pref.rio/servicos-municipais/servicos/servico/a4090d33-95a4-469d-bd33-d2ab4809a6d6"/>
        <s v="https://admin.pref.rio/servicos-municipais/servicos/servico/0ff91407-1ccf-45f9-80ea-ec897e695dfd"/>
        <s v="https://admin.pref.rio/servicos-municipais/servicos/servico/ac812b87-c535-4fe1-a8fa-3cd16abe2c7b"/>
        <s v="https://admin.pref.rio/servicos-municipais/servicos/servico/d2a42e68-352a-4a1c-a770-0dab215f0216"/>
        <s v="https://admin.pref.rio/servicos-municipais/servicos/servico/72d238a5-da00-47bd-afe6-5eb7b58e58b1"/>
        <s v="https://admin.pref.rio/servicos-municipais/servicos/servico/878bf117-07aa-44ba-aa76-376108ec8c5f"/>
        <s v="https://admin.pref.rio/servicos-municipais/servicos/servico/e0287d99-a4d8-4271-8f2c-c69c22f9a47c"/>
        <s v="https://admin.pref.rio/servicos-municipais/servicos/servico/9cdbf616-e954-49e8-8f06-871f364bc2af"/>
        <s v="https://admin.pref.rio/servicos-municipais/servicos/servico/f2d72d93-5147-44c3-9ef1-6a94a07fa187"/>
        <s v="https://admin.pref.rio/servicos-municipais/servicos/servico/0fc3d012-2f7b-4f4e-8016-911663b10151"/>
        <s v="https://admin.pref.rio/servicos-municipais/servicos/servico/b878304d-c59b-4296-ba56-80215163b85b"/>
        <s v="https://admin.pref.rio/servicos-municipais/servicos/servico/7e8ef6db-fa45-4e9b-8b94-f8a0e45c5382"/>
        <s v="https://admin.pref.rio/servicos-municipais/servicos/servico/d633da45-265c-45bf-a937-42f913581226"/>
        <s v="https://admin.pref.rio/servicos-municipais/servicos/servico/8145a14f-a412-4228-8132-be66410d3d36"/>
        <s v="https://admin.pref.rio/servicos-municipais/servicos/servico/76f28691-a007-4826-b71f-5ba3f8fcb437"/>
        <s v="https://admin.pref.rio/servicos-municipais/servicos/servico/2a1e5314-ded2-46a4-8c14-8b7734da3f4b"/>
        <s v="https://admin.pref.rio/servicos-municipais/servicos/servico/730223e7-edfa-4233-b6bc-2e4daad4e3e5"/>
        <s v="https://admin.pref.rio/servicos-municipais/servicos/servico/c85b7bdc-11f5-4c30-a197-2ef6a3edb92f"/>
        <s v="https://admin.pref.rio/servicos-municipais/servicos/servico/f220060d-bf10-4f49-8aee-d73b73ef90f9"/>
        <s v="https://admin.pref.rio/servicos-municipais/servicos/servico/26ded371-9611-4057-b42f-36857a48b835"/>
        <s v="https://admin.pref.rio/servicos-municipais/servicos/servico/1f8e1fe9-9ae2-40e6-af0d-5a543c687e4c"/>
        <s v="https://admin.pref.rio/servicos-municipais/servicos/servico/e61d3272-b588-434c-9642-019994ad9f51"/>
        <s v="https://admin.pref.rio/servicos-municipais/servicos/servico/92fb62c3-4938-484e-af07-9f333f5bca6c"/>
        <s v="https://admin.pref.rio/servicos-municipais/servicos/servico/d8dbc84b-c043-4f96-8d25-c87a9fa5fc81"/>
        <s v="https://admin.pref.rio/servicos-municipais/servicos/servico/dd3ec389-8204-4a5e-9d6d-2ef3006af117"/>
        <s v="https://admin.pref.rio/servicos-municipais/servicos/servico/c11688d6-d3be-4592-bf5d-2e39d55bc4e1"/>
        <s v="https://admin.pref.rio/servicos-municipais/servicos/servico/883851f1-beda-4f27-9bf8-d954f30a0356"/>
        <s v="https://admin.pref.rio/servicos-municipais/servicos/servico/747d5733-8284-4b9d-872d-0c201dd842dc"/>
        <s v="https://admin.pref.rio/servicos-municipais/servicos/servico/c8e52a86-fde9-40ec-8280-17a0f7c3bc61"/>
        <s v="https://admin.pref.rio/servicos-municipais/servicos/servico/2fadc844-8ddb-433c-8147-44be1be28773"/>
        <s v="https://admin.pref.rio/servicos-municipais/servicos/servico/8328e228-3ea1-4bae-aa39-bd56a870b7cb"/>
        <s v="https://admin.pref.rio/servicos-municipais/servicos/servico/a4954f07-437d-41e4-8387-b502b77cc8f9"/>
        <s v="https://admin.pref.rio/servicos-municipais/servicos/servico/a6554839-9c72-4b47-ac75-3b52c8ce7a9d"/>
        <s v="https://admin.pref.rio/servicos-municipais/servicos/servico/bb05f8e8-0dad-459b-ae07-29dbc4f957ee"/>
        <s v="https://admin.pref.rio/servicos-municipais/servicos/servico/dd32fdaa-a51f-49fd-a8c5-5802abcfa3c5"/>
        <s v="https://admin.pref.rio/servicos-municipais/servicos/servico/099f00ec-90d3-40fa-9e9b-64886e5f0160"/>
        <s v="https://admin.pref.rio/servicos-municipais/servicos/servico/37f898d8-4462-476f-88fe-2beffd67824f"/>
        <s v="https://admin.pref.rio/servicos-municipais/servicos/servico/466a6afa-d497-4c02-a88b-1f6637a26a26"/>
        <s v="https://admin.pref.rio/servicos-municipais/servicos/servico/ab7e5204-a162-494e-9c08-ba35a4573455"/>
        <s v="https://admin.pref.rio/servicos-municipais/servicos/servico/f05c3335-72d4-4951-a3f5-2f048bcc8872"/>
        <s v="https://admin.pref.rio/servicos-municipais/servicos/servico/ac397a8a-4bc2-4803-a635-8961e95106de"/>
        <s v="https://admin.pref.rio/servicos-municipais/servicos/servico/a0dc682e-6ff9-43b7-8723-13890d8158c2"/>
        <s v="https://admin.pref.rio/servicos-municipais/servicos/servico/8783d6a6-47b9-42f0-8727-c248b90cd816"/>
        <s v="https://admin.pref.rio/servicos-municipais/servicos/servico/5758f9e0-93f1-4e8d-b8eb-1513beeedc88"/>
        <s v="https://admin.pref.rio/servicos-municipais/servicos/servico/39e321a3-b79d-4437-a61b-379ccb8e36cb"/>
        <s v="https://admin.pref.rio/servicos-municipais/servicos/servico/aad35c13-39ad-4deb-ae3a-6135be455cbf"/>
        <s v="https://admin.pref.rio/servicos-municipais/servicos/servico/c0940aef-b3fc-4be2-8fee-2efcd636bc2f"/>
        <s v="https://admin.pref.rio/servicos-municipais/servicos/servico/c611827b-58fd-4ce9-a8ac-c44c8f1dc733"/>
        <s v="https://admin.pref.rio/servicos-municipais/servicos/servico/a8b05c2c-91fb-4601-ae4d-f27933cd1627"/>
        <s v="https://admin.pref.rio/servicos-municipais/servicos/servico/7691da90-6fc0-48a9-accf-5d837aba70be"/>
        <s v="https://admin.pref.rio/servicos-municipais/servicos/servico/6e7b7dba-ac36-4db4-8882-d3a97ee99378"/>
        <s v="https://admin.pref.rio/servicos-municipais/servicos/servico/53f09f2d-068c-4238-8597-dc9cb0d11d0f"/>
        <s v="https://admin.pref.rio/servicos-municipais/servicos/servico/a8634b1a-3ab2-4d9a-b92a-f3fc7c7c770e"/>
        <s v="https://admin.pref.rio/servicos-municipais/servicos/servico/685f6ff1-2957-46ba-9415-57f9310cfbf7"/>
        <s v="https://admin.pref.rio/servicos-municipais/servicos/servico/d357ab7b-35f6-4831-85f3-a63a41c8ab39"/>
        <s v="https://admin.pref.rio/servicos-municipais/servicos/servico/8944c4dc-aaa1-4cf3-8b3d-d4685ed8a34d"/>
        <s v="https://admin.pref.rio/servicos-municipais/servicos/servico/1b56aabe-dd24-4bc8-84b9-427e345566eb"/>
        <s v="https://admin.pref.rio/servicos-municipais/servicos/servico/ba9abd1f-91ac-4817-8144-b9fc5938cc4f"/>
        <s v="https://admin.pref.rio/servicos-municipais/servicos/servico/fc0a1f94-25c5-4c18-b3ba-b1c2dba0511f"/>
        <s v="https://admin.pref.rio/servicos-municipais/servicos/servico/930a22f9-d720-4846-bb15-88a13ac17573"/>
        <s v="https://admin.pref.rio/servicos-municipais/servicos/servico/98d2bf1a-0e63-43fe-82c3-efa6fafa6701"/>
        <s v="https://admin.pref.rio/servicos-municipais/servicos/servico/abcdf468-e2f6-4a82-ae2e-99876a859a88"/>
        <s v="https://admin.pref.rio/servicos-municipais/servicos/servico/29f76236-6e9c-4c59-a828-5ede6898fc3b"/>
        <s v="https://admin.pref.rio/servicos-municipais/servicos/servico/f836fafc-6e79-4c55-8eb6-80a0683a31f9"/>
        <s v="https://admin.pref.rio/servicos-municipais/servicos/servico/fcdc15fd-e4dd-4227-bb1f-d5a6dc91ac00"/>
        <s v="https://admin.pref.rio/servicos-municipais/servicos/servico/eea9b334-f35a-4471-8379-839950f4e1a6"/>
        <s v="https://admin.pref.rio/servicos-municipais/servicos/servico/352cd7ea-e14b-4639-ad5a-7784bd33370e"/>
        <s v="https://admin.pref.rio/servicos-municipais/servicos/servico/9851743e-834b-4bf1-818d-0a1419e5552a"/>
        <s v="https://admin.pref.rio/servicos-municipais/servicos/servico/f607d26e-a0b7-4987-a139-9e2c4f390804"/>
        <s v="https://admin.pref.rio/servicos-municipais/servicos/servico/84388ab5-a92d-42dd-b382-6a8b3b58720a"/>
        <s v="https://admin.pref.rio/servicos-municipais/servicos/servico/40a084d9-df0a-4c92-9eb0-b49a060f9214"/>
        <s v="https://admin.pref.rio/servicos-municipais/servicos/servico/ee79ee9d-1f66-4e7d-9388-196a630b0fee"/>
        <s v="https://admin.pref.rio/servicos-municipais/servicos/servico/ff013493-e03f-4a68-a50b-9862410e7f96"/>
        <s v="https://admin.pref.rio/servicos-municipais/servicos/servico/a84eb620-b59e-44a8-a937-79f0346c5c38"/>
        <s v="https://admin.pref.rio/servicos-municipais/servicos/servico/a218690e-cd68-4c36-be08-9d8c8c4964e4"/>
        <s v="https://admin.pref.rio/servicos-municipais/servicos/servico/e17242ee-91f8-4dcc-afc0-6b1192919028"/>
        <s v="https://admin.pref.rio/servicos-municipais/servicos/servico/67acc5e8-9f02-4eaf-a30f-1c19f1e90005"/>
        <s v="https://admin.pref.rio/servicos-municipais/servicos/servico/54f442bb-776f-4a8b-a4fc-cfc44ae6db86"/>
        <s v="https://admin.pref.rio/servicos-municipais/servicos/servico/c21ca7df-0703-452a-95f0-f2126cd726e1"/>
        <s v="https://admin.pref.rio/servicos-municipais/servicos/servico/efd2b89b-5332-4fec-8ee6-13403aa16a47"/>
        <s v="https://admin.pref.rio/servicos-municipais/servicos/servico/a7957ce4-2497-46a8-8387-c67ecd1f02b0"/>
        <s v="https://admin.pref.rio/servicos-municipais/servicos/servico/173d136b-ae9b-40fa-b15b-5cfd5a80befd"/>
        <s v="https://admin.pref.rio/servicos-municipais/servicos/servico/6b12a4e8-fb24-4b3c-a8a2-864c6f2eea81"/>
        <s v="https://admin.pref.rio/servicos-municipais/servicos/servico/047a00b2-2342-4adf-886f-312a458dc4c4"/>
        <s v="https://admin.pref.rio/servicos-municipais/servicos/servico/3a08668c-a5ed-41a4-917f-acdcd554d91a"/>
        <s v="https://admin.pref.rio/servicos-municipais/servicos/servico/92a8d792-037a-4061-8bbf-fe2fadd84f18"/>
        <s v="https://admin.pref.rio/servicos-municipais/servicos/servico/3e02acef-98cc-42f6-a092-af0a40cb284e"/>
        <s v="https://admin.pref.rio/servicos-municipais/servicos/servico/ad512984-c54c-4065-8530-3c225c220cb1"/>
        <s v="https://admin.pref.rio/servicos-municipais/servicos/servico/c6525dc3-017f-4732-b0d3-ea63e66b361d"/>
        <s v="https://admin.pref.rio/servicos-municipais/servicos/servico/ae402328-0915-4a7f-9a97-ee798560490d"/>
        <s v="https://admin.pref.rio/servicos-municipais/servicos/servico/bc38512b-de3f-4c8c-899b-ef20e486b45d"/>
        <s v="https://admin.pref.rio/servicos-municipais/servicos/servico/f6522549-d250-4e8c-9ed1-7b497798f48f"/>
        <s v="https://admin.pref.rio/servicos-municipais/servicos/servico/47717604-079c-4ea9-bd98-240bf7760a9d"/>
        <s v="https://admin.pref.rio/servicos-municipais/servicos/servico/9bd32cd1-c499-42d5-8e5d-1956c7621fae"/>
        <s v="https://admin.pref.rio/servicos-municipais/servicos/servico/d957a8dc-94a4-4374-8190-ae4b59d3fa1f"/>
        <s v="https://admin.pref.rio/servicos-municipais/servicos/servico/4f543853-a894-4d0a-a34b-f109b4d978cb"/>
        <s v="https://admin.pref.rio/servicos-municipais/servicos/servico/557b9298-5de8-4f02-8d4c-1ab73023db7c"/>
        <s v="https://admin.pref.rio/servicos-municipais/servicos/servico/e22d7211-8a7e-46ac-a7aa-29c6e9dd9209"/>
        <s v="https://admin.pref.rio/servicos-municipais/servicos/servico/f3c1e58c-d15a-4f88-bf35-fe5bbe461ad6"/>
        <s v="https://admin.pref.rio/servicos-municipais/servicos/servico/9c8c02e6-7e47-470f-98ef-aeff4e50ac2c"/>
        <s v="https://admin.pref.rio/servicos-municipais/servicos/servico/d8099ae1-090a-4948-b957-e186a9ebc0a6"/>
        <s v="https://admin.pref.rio/servicos-municipais/servicos/servico/96feed2d-72b8-4344-aef9-56f18a7d6961"/>
        <s v="https://admin.pref.rio/servicos-municipais/servicos/servico/1b1b173a-88a2-4408-92bb-08e3af79efc6"/>
        <s v="https://admin.pref.rio/servicos-municipais/servicos/servico/6899cda0-c1d5-481b-b795-920c54ea86d7"/>
        <s v="https://admin.pref.rio/servicos-municipais/servicos/servico/7b8bef23-e514-40ab-962d-d628682730d2"/>
        <s v="https://admin.pref.rio/servicos-municipais/servicos/servico/095fd5e9-61cd-49fc-bb00-d01a98fa08e1"/>
        <s v="https://admin.pref.rio/servicos-municipais/servicos/servico/80264e54-db51-4ef9-8315-216c4fe61761"/>
        <s v="https://admin.pref.rio/servicos-municipais/servicos/servico/78c73d53-5880-4212-9cd5-2a445ab9a670"/>
        <s v="https://admin.pref.rio/servicos-municipais/servicos/servico/0ab22381-5111-4a82-a1f6-2c18721ac47a"/>
        <s v="https://admin.pref.rio/servicos-municipais/servicos/servico/220ce70f-67b7-4e34-b761-6f9817564576"/>
        <s v="https://admin.pref.rio/servicos-municipais/servicos/servico/77927bd9-b33a-4f1a-a2ff-032890df7883"/>
        <s v="https://admin.pref.rio/servicos-municipais/servicos/servico/4f9036a4-628d-49dd-978a-26513e673b20"/>
        <s v="https://admin.pref.rio/servicos-municipais/servicos/servico/a6d8f8c1-7417-4996-89ca-f991e93936b5"/>
        <s v="https://admin.pref.rio/servicos-municipais/servicos/servico/70edda3b-27aa-42e6-bd4c-87a2a59c9e30"/>
        <s v="https://admin.pref.rio/servicos-municipais/servicos/servico/28488dae-81cd-449b-8d6f-d33a417f143d"/>
        <s v="https://admin.pref.rio/servicos-municipais/servicos/servico/0348505c-ee7b-464e-af88-46a5a5cf666d"/>
        <s v="https://admin.pref.rio/servicos-municipais/servicos/servico/34596ae4-f8f7-4860-a1e6-56c2856792a1"/>
        <s v="https://admin.pref.rio/servicos-municipais/servicos/servico/a5a7948f-926d-49a0-8174-615b0b8acf52"/>
        <s v="https://admin.pref.rio/servicos-municipais/servicos/servico/e777f575-990c-4349-9567-b16aae6b40ed"/>
        <s v="https://admin.pref.rio/servicos-municipais/servicos/servico/128ecefb-623a-4cd1-a659-acad09e30431"/>
        <s v="https://admin.pref.rio/servicos-municipais/servicos/servico/bb31f4bd-4394-459f-8f7c-56a395373550"/>
        <s v="https://admin.pref.rio/servicos-municipais/servicos/servico/4d606dcc-3db9-498e-960c-62571790202b"/>
        <s v="https://admin.pref.rio/servicos-municipais/servicos/servico/8da2f379-794f-49bc-be04-861556b665a6"/>
        <s v="https://admin.pref.rio/servicos-municipais/servicos/servico/b4f5902a-1658-4a7d-858d-27c85c849276"/>
        <s v="https://admin.pref.rio/servicos-municipais/servicos/servico/0a3ca10f-0f28-4c76-935b-b2e043b322a8"/>
        <s v="https://admin.pref.rio/servicos-municipais/servicos/servico/7f5c2fb1-6490-4697-8547-4f8581fe0d8c"/>
        <s v="https://admin.pref.rio/servicos-municipais/servicos/servico/cafb6508-2ef0-4ec7-8e48-dca447aa7bcb"/>
        <s v="https://admin.pref.rio/servicos-municipais/servicos/servico/cff1865b-423a-4c5a-89d0-6e190d8154a7"/>
        <s v="https://admin.pref.rio/servicos-municipais/servicos/servico/56eb425e-631f-4918-98b1-d1a904191935"/>
        <s v="https://admin.pref.rio/servicos-municipais/servicos/servico/b5a9b5e3-d0e8-4e0f-bef5-5d9892a95594"/>
        <s v="https://admin.pref.rio/servicos-municipais/servicos/servico/69bf9768-6f3f-4acd-ac02-2d3a188c4023"/>
        <s v="https://admin.pref.rio/servicos-municipais/servicos/servico/668f90f3-f30d-4a4f-a1b0-fb4c9d389bcd"/>
        <s v="https://admin.pref.rio/servicos-municipais/servicos/servico/2f65694a-ba5a-41a3-9464-fc219a61a3dd"/>
        <s v="https://admin.pref.rio/servicos-municipais/servicos/servico/46188643-8734-4cb5-b432-4d82e4c5274d"/>
        <s v="https://admin.pref.rio/servicos-municipais/servicos/servico/e4eff8d8-2215-4ac2-b126-b09da51dcf7a"/>
        <s v="https://admin.pref.rio/servicos-municipais/servicos/servico/80c3bede-0465-458c-9b40-be5873ad2af0"/>
        <s v="https://admin.pref.rio/servicos-municipais/servicos/servico/3ba992b3-0b4b-478a-b8ba-be4ebd0ebcd0"/>
        <s v="https://admin.pref.rio/servicos-municipais/servicos/servico/db92ee1e-dfc9-4fe1-91e2-f405bbafa719"/>
        <s v="https://admin.pref.rio/servicos-municipais/servicos/servico/87f4b222-bf41-494a-aef7-135c8371cd93"/>
        <s v="https://admin.pref.rio/servicos-municipais/servicos/servico/76d66dcf-0bdb-493d-a489-6982043b62c8"/>
        <s v="https://admin.pref.rio/servicos-municipais/servicos/servico/9c23eac4-4c4a-43c9-8cbf-739efc5af482"/>
        <s v="https://admin.pref.rio/servicos-municipais/servicos/servico/866e2839-8aaa-498a-bd16-dfe1fdccd80d"/>
        <s v="https://admin.pref.rio/servicos-municipais/servicos/servico/2a2c4867-de89-4648-8ed4-3aed2088e692"/>
        <s v="https://admin.pref.rio/servicos-municipais/servicos/servico/57cfb208-cfe2-4711-a2f2-34290e647392"/>
        <s v="https://admin.pref.rio/servicos-municipais/servicos/servico/1e453de6-d266-4077-b45d-554dfa6f4b33"/>
        <s v="https://admin.pref.rio/servicos-municipais/servicos/servico/c9f4d7a8-cdcd-4ce7-a9f2-64577ee180c8"/>
        <s v="https://admin.pref.rio/servicos-municipais/servicos/servico/0101bd36-b3e8-4c23-9d22-443bd3d4dd67"/>
        <s v="https://admin.pref.rio/servicos-municipais/servicos/servico/074bddb5-f006-4cbe-bc92-98e7b17a2053"/>
        <s v="https://admin.pref.rio/servicos-municipais/servicos/servico/a86e24ea-c4c2-498f-9b8d-02c5b45f9e91"/>
        <s v="https://admin.pref.rio/servicos-municipais/servicos/servico/0858d801-6115-4f12-8ff6-fd9b1a8c4d34"/>
        <s v="https://admin.pref.rio/servicos-municipais/servicos/servico/62785ad7-17a4-4258-b8cf-42b3ba9ce3aa"/>
        <s v="https://admin.pref.rio/servicos-municipais/servicos/servico/1b231e33-4d4e-4e2b-a46d-4138dc37902f"/>
        <s v="https://admin.pref.rio/servicos-municipais/servicos/servico/ed69b083-e81e-49f3-8204-955c3176e9d5"/>
        <s v="https://admin.pref.rio/servicos-municipais/servicos/servico/9889501b-9a57-4f18-9406-c05d71083529"/>
        <s v="https://admin.pref.rio/servicos-municipais/servicos/servico/1568d915-cf94-440f-bad4-ba748169de5a"/>
        <s v="https://admin.pref.rio/servicos-municipais/servicos/servico/f1ec4504-c23f-41ce-80cf-d780270e1645"/>
        <s v="https://admin.pref.rio/servicos-municipais/servicos/servico/af7a2831-c4d9-4b8d-af8e-1fc1a8c2fec0"/>
        <s v="https://admin.pref.rio/servicos-municipais/servicos/servico/18478080-aba7-4219-aedd-d2a45053c7e3"/>
        <s v="https://admin.pref.rio/servicos-municipais/servicos/servico/b314f6ca-a831-43d8-837e-ca6c41ec8731"/>
        <s v="https://admin.pref.rio/servicos-municipais/servicos/servico/f8b5a45c-0364-43b1-aeff-c66ebda466a3"/>
        <s v="https://admin.pref.rio/servicos-municipais/servicos/servico/7552a26c-d89a-4486-af3a-ebdd6ac10cae"/>
        <s v="https://admin.pref.rio/servicos-municipais/servicos/servico/bd80b9be-ac90-466d-a3ed-c5c943c78f4a"/>
        <s v="https://admin.pref.rio/servicos-municipais/servicos/servico/215ed835-018a-4f16-8da3-361d1162606c"/>
        <s v="https://admin.pref.rio/servicos-municipais/servicos/servico/f0968737-0db9-4a38-956c-d38f7de99b1e"/>
        <s v="https://admin.pref.rio/servicos-municipais/servicos/servico/9a9db41a-2613-4126-a2b9-cb32a468fa29"/>
        <s v="https://admin.pref.rio/servicos-municipais/servicos/servico/66c3af33-3dd3-4de0-8902-29f98f09bb56"/>
        <s v="https://admin.pref.rio/servicos-municipais/servicos/servico/4fa26af0-a178-441d-8f24-2f8aa7c6faee"/>
        <s v="https://admin.pref.rio/servicos-municipais/servicos/servico/92ccdf3f-c786-4f7e-86b6-04e6abbe9f5c"/>
        <s v="https://admin.pref.rio/servicos-municipais/servicos/servico/7a78528b-3d88-4aa1-aa7e-1053d5a06e60"/>
        <s v="https://admin.pref.rio/servicos-municipais/servicos/servico/5ee031b0-a330-4ad1-bf85-55364b595b58"/>
        <s v="https://admin.pref.rio/servicos-municipais/servicos/servico/79bd7459-58f7-4ffc-9d00-ad2503860902"/>
        <s v="https://admin.pref.rio/servicos-municipais/servicos/servico/8a738640-5fb8-4a46-a9ea-b82ae260cc8e"/>
        <s v="https://admin.pref.rio/servicos-municipais/servicos/servico/234d0ae9-02e4-4c99-9a95-d2dd69b4b342"/>
        <s v="https://admin.pref.rio/servicos-municipais/servicos/servico/5e0d578c-7a7d-4a79-8566-535e257bf1af"/>
        <s v="https://admin.pref.rio/servicos-municipais/servicos/servico/f3b74847-9c7e-45dc-801f-b1fd8c2c8147"/>
        <s v="https://admin.pref.rio/servicos-municipais/servicos/servico/5515f357-2954-4549-a5f3-08fe5ea8afc1"/>
        <s v="https://admin.pref.rio/servicos-municipais/servicos/servico/09ee0e86-c562-49ff-bb42-5434b13c79af"/>
        <s v="https://admin.pref.rio/servicos-municipais/servicos/servico/0b6054f4-f953-4c23-ae05-d1b624f615a4"/>
        <s v="https://admin.pref.rio/servicos-municipais/servicos/servico/c3c77df3-acf6-4b14-8855-0a258aa3484a"/>
        <s v="https://admin.pref.rio/servicos-municipais/servicos/servico/f3184d39-9523-40ea-87dd-2c9152d4cfc5"/>
        <s v="https://admin.pref.rio/servicos-municipais/servicos/servico/ef507d22-40e1-46de-9213-ff1505ca7bd8"/>
        <s v="https://admin.pref.rio/servicos-municipais/servicos/servico/b7e761f6-3c12-48fc-b0fe-1f50be2ad07e"/>
        <s v="https://admin.pref.rio/servicos-municipais/servicos/servico/9c94720d-b5e3-4204-be8f-1feb97d6be27"/>
        <s v="https://admin.pref.rio/servicos-municipais/servicos/servico/c0e94731-421d-4c95-8df4-f0cb3be50b08"/>
        <s v="https://admin.pref.rio/servicos-municipais/servicos/servico/68056732-19b2-43b6-ad11-ffab366446c1"/>
        <s v="https://admin.pref.rio/servicos-municipais/servicos/servico/62557588-d4e7-4622-b526-f5597cf036c7"/>
        <s v="https://admin.pref.rio/servicos-municipais/servicos/servico/9755ee05-3af0-42d7-a704-d5ad7cfbad1d"/>
        <s v="https://admin.pref.rio/servicos-municipais/servicos/servico/0e60ea02-17c0-4ee4-832c-dba50366689d"/>
        <s v="https://admin.pref.rio/servicos-municipais/servicos/servico/88706987-d43f-4fe7-b82e-32f10f0c683b"/>
        <s v="https://admin.pref.rio/servicos-municipais/servicos/servico/3692b6d0-6a9e-4180-9ac6-57446555d24f"/>
        <s v="https://admin.pref.rio/servicos-municipais/servicos/servico/9bcfaf1c-4fc1-4f02-97b0-26663e923556"/>
        <s v="https://admin.pref.rio/servicos-municipais/servicos/servico/a0530490-e4ed-4d24-a814-7dde44af769b"/>
        <s v="https://admin.pref.rio/servicos-municipais/servicos/servico/85f26760-cf77-486d-b89c-422073bc70d0"/>
        <s v="https://admin.pref.rio/servicos-municipais/servicos/servico/eafe856c-fc85-4982-bf34-bb549bc4674e"/>
        <s v="https://admin.pref.rio/servicos-municipais/servicos/servico/d04482a2-d781-4bc3-9064-1fce7f0653a2"/>
        <s v="https://admin.pref.rio/servicos-municipais/servicos/servico/7c294507-117b-44cf-a7d3-4a6722bfd293"/>
        <s v="https://admin.pref.rio/servicos-municipais/servicos/servico/02014580-9be2-429f-8093-ddb44e8c8978"/>
        <s v="https://admin.pref.rio/servicos-municipais/servicos/servico/3c38fed3-80bf-495b-a13b-2104364b07ce"/>
        <s v="https://admin.pref.rio/servicos-municipais/servicos/servico/da464a41-4fa3-4ec2-a557-54ba6338fd9a"/>
        <s v="https://admin.pref.rio/servicos-municipais/servicos/servico/b32e2918-b75c-452b-86ba-028740893890"/>
        <s v="https://admin.pref.rio/servicos-municipais/servicos/servico/97366ac8-bfdf-4e20-981f-e45fbefa9a76"/>
        <s v="https://admin.pref.rio/servicos-municipais/servicos/servico/dd879cf1-d883-4cf1-8d77-8f33f7313485"/>
        <s v="https://admin.pref.rio/servicos-municipais/servicos/servico/75229b76-0144-497a-a60f-3d90c123b6b8"/>
        <s v="https://admin.pref.rio/servicos-municipais/servicos/servico/d67b0a43-f7a6-4ca1-a42f-648432d20d5e"/>
        <s v="https://admin.pref.rio/servicos-municipais/servicos/servico/da349a4e-ad1b-4e87-90a5-e76ff4593df9"/>
        <s v="https://admin.pref.rio/servicos-municipais/servicos/servico/959c8cfa-2baa-47d3-83de-317a486152e4"/>
        <s v="https://admin.pref.rio/servicos-municipais/servicos/servico/624448f2-8466-4cd7-913c-7795af510c16"/>
        <s v="https://admin.pref.rio/servicos-municipais/servicos/servico/104c9959-16f0-45c5-95e3-4390770238f3"/>
        <s v="https://admin.pref.rio/servicos-municipais/servicos/servico/6b0d214a-81e7-4100-8b0b-906d983a8691"/>
        <s v="https://admin.pref.rio/servicos-municipais/servicos/servico/fa5dc246-b9cf-4bf1-923d-0744bc0c0653"/>
        <s v="https://admin.pref.rio/servicos-municipais/servicos/servico/b6a17004-a288-4281-9568-c5a70d61817a"/>
        <s v="https://admin.pref.rio/servicos-municipais/servicos/servico/a0e05016-2c19-482d-b321-24a3143e176a"/>
        <s v="https://admin.pref.rio/servicos-municipais/servicos/servico/00b7bae8-a357-4fdb-876d-33e93940c896"/>
        <s v="https://admin.pref.rio/servicos-municipais/servicos/servico/444b5ac8-1bdf-41b4-b10a-03ce279db88a"/>
        <s v="https://admin.pref.rio/servicos-municipais/servicos/servico/8984e28b-7241-4d74-b816-6c7b6fda40b1"/>
        <s v="https://admin.pref.rio/servicos-municipais/servicos/servico/6e27da3b-ef75-4da7-a799-7f43412986b1"/>
        <s v="https://admin.pref.rio/servicos-municipais/servicos/servico/159abdcc-af14-4269-bbe3-c20188f29cdc"/>
        <s v="https://admin.pref.rio/servicos-municipais/servicos/servico/0e2462bc-352d-44b6-bbb3-00fd17be38bd"/>
        <s v="https://admin.pref.rio/servicos-municipais/servicos/servico/944ffb4c-8714-4b52-9c3b-7094e6eccf28"/>
        <s v="https://admin.pref.rio/servicos-municipais/servicos/servico/39569ef2-b3d5-4ddb-be59-e97b816744a2"/>
        <s v="https://admin.pref.rio/servicos-municipais/servicos/servico/9c36e761-4fe9-4565-89c5-7a0dbfe3cf82"/>
        <s v="https://admin.pref.rio/servicos-municipais/servicos/servico/409b165f-be18-4f8d-8fa6-a6eb0c9116b5"/>
        <s v="https://admin.pref.rio/servicos-municipais/servicos/servico/2b3280b5-9645-4041-93e2-12bad293e001"/>
        <s v="https://admin.pref.rio/servicos-municipais/servicos/servico/073c0d57-223b-4bd3-b385-868fa86329b4"/>
        <s v="https://admin.pref.rio/servicos-municipais/servicos/servico/39764ed4-d40c-49ec-9ea1-ab9c664600bf"/>
        <s v="https://admin.pref.rio/servicos-municipais/servicos/servico/4d73e2d4-8c51-461a-8bd7-cfaf0246f7f6"/>
        <s v="https://admin.pref.rio/servicos-municipais/servicos/servico/de5e0edf-5f04-43c4-bfd0-380c872f0f12"/>
        <s v="https://admin.pref.rio/servicos-municipais/servicos/servico/a037f378-24bf-4b87-be76-0488eadf6034"/>
        <s v="https://admin.pref.rio/servicos-municipais/servicos/servico/9b9f85f1-4e46-4ae4-a544-92e66fbb5478"/>
        <s v="https://admin.pref.rio/servicos-municipais/servicos/servico/e67077e4-85a3-4a34-ad6e-73bba9c9dafd"/>
        <s v="https://admin.pref.rio/servicos-municipais/servicos/servico/b831da7d-758f-44de-bc3f-a2c99fb366b2"/>
        <s v="https://admin.pref.rio/servicos-municipais/servicos/servico/caa7cd30-1904-460c-b061-5710c7a62eab"/>
        <s v="https://admin.pref.rio/servicos-municipais/servicos/servico/edc02aac-96f7-45df-9729-be3c332304d8"/>
        <s v="https://admin.pref.rio/servicos-municipais/servicos/servico/59cf423c-37ca-48df-a99a-df95588b7afd"/>
        <s v="https://admin.pref.rio/servicos-municipais/servicos/servico/2a823d4b-e503-4476-a219-0634482b0ccb"/>
        <s v="https://admin.pref.rio/servicos-municipais/servicos/servico/5b198365-d28e-4386-96c8-b2dc455fd8a2"/>
        <s v="https://admin.pref.rio/servicos-municipais/servicos/servico/3beb55ba-be3e-4c6f-9519-bd9a59d0a54d"/>
        <s v="https://admin.pref.rio/servicos-municipais/servicos/servico/feef9847-4eb2-4da6-9066-90690f2dab67"/>
        <s v="https://admin.pref.rio/servicos-municipais/servicos/servico/35ca3034-3d10-42e2-b9de-c7537f11bfed"/>
        <s v="https://admin.pref.rio/servicos-municipais/servicos/servico/5c3fe4d9-66e1-4dd8-88b3-b004c48cc868"/>
        <s v="https://admin.pref.rio/servicos-municipais/servicos/servico/edec8831-74cc-421a-85a8-9028286267c0"/>
        <s v="https://admin.pref.rio/servicos-municipais/servicos/servico/86a294e8-f086-45fa-b2ad-7a2ac4756248"/>
        <s v="https://admin.pref.rio/servicos-municipais/servicos/servico/bdc43d40-a098-411b-a7dc-b9c889da6a22"/>
        <s v="https://admin.pref.rio/servicos-municipais/servicos/servico/d7868e2c-82e7-4353-ac1a-4ebb39b5357f"/>
        <s v="https://admin.pref.rio/servicos-municipais/servicos/servico/dba62f32-88f2-4e89-8a28-98bb1352e8c9"/>
        <s v="https://admin.pref.rio/servicos-municipais/servicos/servico/b32f789c-f59d-4fff-bd35-c6376b9db1c1"/>
        <s v="https://admin.pref.rio/servicos-municipais/servicos/servico/b0cd545d-b40b-43cf-8ace-364fd7ea3188"/>
        <s v="https://admin.pref.rio/servicos-municipais/servicos/servico/b47ab260-656e-4400-abbe-dd70c228b01a"/>
        <s v="https://admin.pref.rio/servicos-municipais/servicos/servico/d68032e9-e935-4df2-8d75-7c66d200d6b9"/>
        <s v="https://admin.pref.rio/servicos-municipais/servicos/servico/3dc866e0-7530-4729-9106-85337b240921"/>
        <s v="https://admin.pref.rio/servicos-municipais/servicos/servico/be77fa16-58b1-4132-9522-3fb210896686"/>
        <s v="https://admin.pref.rio/servicos-municipais/servicos/servico/5df28782-7ec6-40f7-9fba-25a8d52d6384"/>
        <s v="https://admin.pref.rio/servicos-municipais/servicos/servico/e9288ed6-393b-41fe-bc8b-22a71f1e01ce"/>
        <s v="https://admin.pref.rio/servicos-municipais/servicos/servico/b1ed4c9e-6cb1-47ce-9484-1c5be7420712"/>
        <s v="https://admin.pref.rio/servicos-municipais/servicos/servico/ff1f9543-3ec9-4a76-a418-6939b052f5be"/>
        <s v="https://admin.pref.rio/servicos-municipais/servicos/servico/828caa99-993f-4d06-8453-1bcad077475a"/>
        <s v="https://admin.pref.rio/servicos-municipais/servicos/servico/5025c065-1c0f-4933-9db2-0db6e3b67dbb"/>
        <s v="https://admin.pref.rio/servicos-municipais/servicos/servico/011ce275-9faa-4b57-b422-ac78f061ee12"/>
        <s v="https://admin.pref.rio/servicos-municipais/servicos/servico/d7aa57e3-0623-4797-adba-0a915c2da157"/>
        <s v="https://admin.pref.rio/servicos-municipais/servicos/servico/79ad6435-acaa-452f-b153-0cd905efb77e"/>
        <s v="https://admin.pref.rio/servicos-municipais/servicos/servico/9fdde0a9-2aa7-4837-b083-e7c21598ffe6"/>
        <s v="https://admin.pref.rio/servicos-municipais/servicos/servico/deed3f7e-8f79-45fb-bd5a-3e8200fca27b"/>
        <s v="https://admin.pref.rio/servicos-municipais/servicos/servico/202d0a5f-8e2a-4280-84be-6e0e40d34c74"/>
        <s v="https://admin.pref.rio/servicos-municipais/servicos/servico/4a190d5e-1b13-49c7-be37-04e716a50549"/>
        <s v="https://admin.pref.rio/servicos-municipais/servicos/servico/b42ba94d-b744-44c4-8c79-51d2a68f13bc"/>
        <s v="https://admin.pref.rio/servicos-municipais/servicos/servico/5b8f9833-1a05-4ab6-8707-f369375b3f84"/>
        <s v="https://admin.pref.rio/servicos-municipais/servicos/servico/d388f593-0f69-4d4e-a6fc-378ed59a4fd9"/>
        <s v="https://admin.pref.rio/servicos-municipais/servicos/servico/d073628d-3f2b-4088-8675-1b7127ab5bba"/>
        <s v="https://admin.pref.rio/servicos-municipais/servicos/servico/5207cce2-042e-4da3-bbe7-ea0a97e24597"/>
        <s v="https://admin.pref.rio/servicos-municipais/servicos/servico/6e75eb22-0762-4121-9ae4-7ef776014e21"/>
        <s v="https://admin.pref.rio/servicos-municipais/servicos/servico/a8a012f9-16d8-4b50-9ff5-33eb2a80785e"/>
        <s v="https://admin.pref.rio/servicos-municipais/servicos/servico/79443905-21a2-4029-87d9-ce6b0515ffa6"/>
        <s v="https://admin.pref.rio/servicos-municipais/servicos/servico/a05dcb32-53c4-469f-83a4-3cf5d5807b30"/>
        <s v="https://admin.pref.rio/servicos-municipais/servicos/servico/8def8286-1923-4b2d-a7b2-b3da259d2797"/>
        <s v="https://admin.pref.rio/servicos-municipais/servicos/servico/99766427-9d11-451f-b340-edcc401dcf35"/>
        <s v="https://admin.pref.rio/servicos-municipais/servicos/servico/f8a67fbf-da97-4070-9d26-3a3302f40378"/>
        <s v="https://admin.pref.rio/servicos-municipais/servicos/servico/4d2b2976-addd-46bc-9a54-ab1790c58fb7"/>
        <s v="https://admin.pref.rio/servicos-municipais/servicos/servico/02d6d952-2ab0-46d0-b823-8a8b199353d4"/>
        <s v="https://admin.pref.rio/servicos-municipais/servicos/servico/ce34f00f-c892-4d74-a63b-9136ea355322"/>
        <s v="https://admin.pref.rio/servicos-municipais/servicos/servico/8c765f96-0107-4230-811a-c5706333e801"/>
        <s v="https://admin.pref.rio/servicos-municipais/servicos/servico/ab604b97-c065-4b8a-883c-1c386b9994bf"/>
        <s v="https://admin.pref.rio/servicos-municipais/servicos/servico/f10df893-3c44-4b9d-947c-59a5bcc510b3"/>
        <s v="https://admin.pref.rio/servicos-municipais/servicos/servico/4db62ed8-3149-479a-a4e0-72729e403129"/>
        <s v="https://admin.pref.rio/servicos-municipais/servicos/servico/33a7f3b1-c4c1-41ed-bbc8-49abdb08545f"/>
        <s v="https://admin.pref.rio/servicos-municipais/servicos/servico/ec350748-4bf5-4306-ba48-235ff9813627"/>
        <s v="https://admin.pref.rio/servicos-municipais/servicos/servico/28d3eb1c-19b4-451c-a6fb-d8918ae758bd"/>
        <s v="https://admin.pref.rio/servicos-municipais/servicos/servico/ee572544-7f1f-4f07-857d-0531107e83ac"/>
        <s v="https://admin.pref.rio/servicos-municipais/servicos/servico/1548fcbd-b353-42e8-a9e0-2cfb9c3f5cb7"/>
        <s v="https://admin.pref.rio/servicos-municipais/servicos/servico/eec62660-aef7-4be2-88fe-ae0bad013820"/>
        <s v="https://admin.pref.rio/servicos-municipais/servicos/servico/402a854f-b98d-41ca-a7e4-1e984a84b0f5"/>
        <s v="https://admin.pref.rio/servicos-municipais/servicos/servico/aed368c6-f63b-41ce-9b01-0556ceaf9e4e"/>
        <s v="https://admin.pref.rio/servicos-municipais/servicos/servico/d210dc23-96f1-4630-938f-84694357b73d"/>
        <s v="https://admin.pref.rio/servicos-municipais/servicos/servico/d2b43593-f786-4f98-8927-9ebc125d6a2b"/>
        <s v="https://admin.pref.rio/servicos-municipais/servicos/servico/d14436f7-012c-4677-99dc-d41534519d86"/>
        <s v="https://admin.pref.rio/servicos-municipais/servicos/servico/feb3f4e9-a772-4efe-850a-03c55f887fb1"/>
        <s v="https://admin.pref.rio/servicos-municipais/servicos/servico/35146c03-d3ff-467a-8de7-7adea4015767"/>
        <s v="https://admin.pref.rio/servicos-municipais/servicos/servico/a09d13ae-5340-4b75-b03b-ae9b03ffbcfc"/>
        <s v="https://admin.pref.rio/servicos-municipais/servicos/servico/235db3c2-e75c-4bea-9002-65f713388c47"/>
        <s v="https://admin.pref.rio/servicos-municipais/servicos/servico/4fecdbea-be40-45c3-ac71-6641bf4a0f1e"/>
        <s v="https://admin.pref.rio/servicos-municipais/servicos/servico/4547c2ba-d7f0-42d9-b7b4-479cc3f3d727"/>
        <s v="https://admin.pref.rio/servicos-municipais/servicos/servico/25f169c9-89f2-4c34-95d8-382743637f75"/>
        <s v="https://admin.pref.rio/servicos-municipais/servicos/servico/3e933bee-1e90-4023-853d-a143e8a0321f"/>
        <s v="https://admin.pref.rio/servicos-municipais/servicos/servico/e28d4a4b-a057-4842-9e32-5559bb8f352b"/>
      </sharedItems>
    </cacheField>
    <cacheField name="categoria" numFmtId="0">
      <sharedItems count="21">
        <s v="Cidadania"/>
        <s v="Tributos"/>
        <s v="Licenças"/>
        <s v="Família"/>
        <s v="Ordem Pública"/>
        <s v="Transporte"/>
        <s v="Servidor"/>
        <s v="Cidade"/>
        <s v="Educação"/>
        <s v="Meio Ambiente"/>
        <s v="Saúde"/>
        <s v="Animais"/>
        <s v="Cultura"/>
        <s v="Central Anticorrupção"/>
        <s v="Lei de Acesso à Informação (LAI)"/>
        <s v="Trabalho"/>
        <s v="Trânsito"/>
        <s v="Segurança"/>
        <s v="Ouvidoria"/>
        <s v="Lei Geral de Proteção de Dados (LGPD)"/>
        <s v="Obras"/>
      </sharedItems>
    </cacheField>
    <cacheField name="sub_categoria" numFmtId="0">
      <sharedItems containsBlank="1" count="85">
        <s v="Assistência social"/>
        <s v="IPTU"/>
        <s v="Alvará"/>
        <m/>
        <s v="ITBI"/>
        <s v="Estacionamento irregular"/>
        <s v="Certidões"/>
        <s v="Processos"/>
        <s v="Pagamentos"/>
        <s v="Limpeza urbana"/>
        <s v="Dívida Ativa"/>
        <s v="Iluminação pública"/>
        <s v="Veículos"/>
        <s v="Imposto"/>
        <s v="Vida escolar"/>
        <s v="Perturbação do sossego"/>
        <s v="Conservação"/>
        <s v="Matrícula"/>
        <s v="Suporte técnico e teleatendimento"/>
        <s v="Ônibus"/>
        <s v="Árvores"/>
        <s v="Atendimento ambulatorial"/>
        <s v="Proteção"/>
        <s v="Jaé"/>
        <s v="Gratuidade"/>
        <s v="ISS"/>
        <s v="Saúde do servidor"/>
        <s v="Imóveis"/>
        <s v="Consultas e Exames"/>
        <s v="Benefícios"/>
        <s v="Atendimento clínico"/>
        <s v="Táxi e Mototáxi"/>
        <s v="Equipamentos culturais"/>
        <s v="Animais domésticos"/>
        <s v="Dengue"/>
        <s v="Denúncia"/>
        <s v="Transparência"/>
        <s v="Auxílios"/>
        <s v="Praças e Parques"/>
        <s v="Vigilância Sanitária"/>
        <s v="Procon carioca"/>
        <s v="Pronto Atendimento"/>
        <s v="Cegonha carioca"/>
        <s v="Educação especial"/>
        <s v="Vacinação"/>
        <s v="Emprego e estágio"/>
        <s v="Licitação e pregão"/>
        <s v="Nota Carioca"/>
        <s v="VLT"/>
        <s v="Multas"/>
        <s v="Educação infantil"/>
        <s v="Serviço funerário"/>
        <s v="Cursos"/>
        <s v="Licenças"/>
        <s v="Sinalização gráfica"/>
        <s v="Campanhas"/>
        <s v="Atendimento médico"/>
        <s v="Poluição do ar"/>
        <s v="Transporte complementar"/>
        <s v="Incentivo Cultural"/>
        <s v="Acessibilidade"/>
        <s v="Animais silvestres"/>
        <s v="Reclamação"/>
        <s v="Bibliotecas"/>
        <s v="Intolerância religiosa e racial"/>
        <s v="BRT"/>
        <s v="Medicamentos"/>
        <s v="Mulher carioca"/>
        <s v="Comércio"/>
        <s v="Poluição da água"/>
        <s v="Esportes e Lazer"/>
        <s v="Educação Fundamental"/>
        <s v="Carnaval"/>
        <s v="Feiras"/>
        <s v="Transporte escolar"/>
        <s v="Estacionamento"/>
        <s v="Audiovisual"/>
        <s v="Turismo"/>
        <s v="MultiRio"/>
        <s v="Informações"/>
        <s v="Fiscalização"/>
        <s v="Bicicletas"/>
        <s v="Fiscalização de queimadas"/>
        <s v="Licenciamento"/>
        <s v="Mobilidade Urbana"/>
      </sharedItems>
    </cacheField>
    <cacheField name="status_do_servico" numFmtId="0">
      <sharedItems count="3">
        <s v="Publicado"/>
        <s v="Em Edição"/>
        <s v="Aguardando Aprovação"/>
      </sharedItems>
    </cacheField>
    <cacheField name="id_temp" numFmtId="0">
      <sharedItems containsSemiMixedTypes="0" containsString="0" containsNumber="1" containsInteger="1" minValue="1" maxValue="1065" count="1065">
        <n v="107"/>
        <n v="586"/>
        <n v="27"/>
        <n v="569"/>
        <n v="434"/>
        <n v="458"/>
        <n v="694"/>
        <n v="651"/>
        <n v="266"/>
        <n v="585"/>
        <n v="596"/>
        <n v="594"/>
        <n v="730"/>
        <n v="163"/>
        <n v="568"/>
        <n v="897"/>
        <n v="650"/>
        <n v="218"/>
        <n v="649"/>
        <n v="731"/>
        <n v="909"/>
        <n v="732"/>
        <n v="599"/>
        <n v="581"/>
        <n v="179"/>
        <n v="575"/>
        <n v="990"/>
        <n v="280"/>
        <n v="905"/>
        <n v="164"/>
        <n v="582"/>
        <n v="565"/>
        <n v="443"/>
        <n v="571"/>
        <n v="116"/>
        <n v="570"/>
        <n v="696"/>
        <n v="30"/>
        <n v="181"/>
        <n v="201"/>
        <n v="722"/>
        <n v="566"/>
        <n v="736"/>
        <n v="182"/>
        <n v="974"/>
        <n v="899"/>
        <n v="813"/>
        <n v="482"/>
        <n v="270"/>
        <n v="835"/>
        <n v="1036"/>
        <n v="55"/>
        <n v="511"/>
        <n v="578"/>
        <n v="68"/>
        <n v="936"/>
        <n v="440"/>
        <n v="224"/>
        <n v="314"/>
        <n v="576"/>
        <n v="427"/>
        <n v="619"/>
        <n v="729"/>
        <n v="632"/>
        <n v="1030"/>
        <n v="112"/>
        <n v="475"/>
        <n v="171"/>
        <n v="831"/>
        <n v="138"/>
        <n v="915"/>
        <n v="476"/>
        <n v="233"/>
        <n v="726"/>
        <n v="607"/>
        <n v="127"/>
        <n v="72"/>
        <n v="901"/>
        <n v="609"/>
        <n v="645"/>
        <n v="875"/>
        <n v="1065"/>
        <n v="123"/>
        <n v="574"/>
        <n v="151"/>
        <n v="1033"/>
        <n v="336"/>
        <n v="276"/>
        <n v="215"/>
        <n v="1043"/>
        <n v="484"/>
        <n v="269"/>
        <n v="661"/>
        <n v="598"/>
        <n v="728"/>
        <n v="456"/>
        <n v="735"/>
        <n v="483"/>
        <n v="126"/>
        <n v="817"/>
        <n v="591"/>
        <n v="727"/>
        <n v="662"/>
        <n v="597"/>
        <n v="663"/>
        <n v="951"/>
        <n v="183"/>
        <n v="154"/>
        <n v="255"/>
        <n v="808"/>
        <n v="150"/>
        <n v="666"/>
        <n v="921"/>
        <n v="1054"/>
        <n v="44"/>
        <n v="169"/>
        <n v="898"/>
        <n v="203"/>
        <n v="826"/>
        <n v="572"/>
        <n v="670"/>
        <n v="373"/>
        <n v="583"/>
        <n v="618"/>
        <n v="451"/>
        <n v="579"/>
        <n v="383"/>
        <n v="172"/>
        <n v="220"/>
        <n v="964"/>
        <n v="278"/>
        <n v="252"/>
        <n v="577"/>
        <n v="710"/>
        <n v="708"/>
        <n v="519"/>
        <n v="243"/>
        <n v="981"/>
        <n v="448"/>
        <n v="631"/>
        <n v="302"/>
        <n v="226"/>
        <n v="998"/>
        <n v="70"/>
        <n v="78"/>
        <n v="329"/>
        <n v="1038"/>
        <n v="43"/>
        <n v="538"/>
        <n v="51"/>
        <n v="564"/>
        <n v="1056"/>
        <n v="185"/>
        <n v="647"/>
        <n v="1000"/>
        <n v="64"/>
        <n v="130"/>
        <n v="200"/>
        <n v="455"/>
        <n v="587"/>
        <n v="523"/>
        <n v="838"/>
        <n v="949"/>
        <n v="906"/>
        <n v="100"/>
        <n v="247"/>
        <n v="530"/>
        <n v="225"/>
        <n v="20"/>
        <n v="707"/>
        <n v="968"/>
        <n v="965"/>
        <n v="136"/>
        <n v="1010"/>
        <n v="56"/>
        <n v="771"/>
        <n v="186"/>
        <n v="904"/>
        <n v="115"/>
        <n v="54"/>
        <n v="317"/>
        <n v="211"/>
        <n v="919"/>
        <n v="1012"/>
        <n v="567"/>
        <n v="407"/>
        <n v="470"/>
        <n v="896"/>
        <n v="377"/>
        <n v="1042"/>
        <n v="824"/>
        <n v="717"/>
        <n v="522"/>
        <n v="426"/>
        <n v="889"/>
        <n v="705"/>
        <n v="1002"/>
        <n v="922"/>
        <n v="855"/>
        <n v="912"/>
        <n v="306"/>
        <n v="359"/>
        <n v="614"/>
        <n v="180"/>
        <n v="11"/>
        <n v="272"/>
        <n v="385"/>
        <n v="41"/>
        <n v="908"/>
        <n v="65"/>
        <n v="655"/>
        <n v="955"/>
        <n v="839"/>
        <n v="321"/>
        <n v="761"/>
        <n v="189"/>
        <n v="895"/>
        <n v="644"/>
        <n v="680"/>
        <n v="944"/>
        <n v="454"/>
        <n v="823"/>
        <n v="216"/>
        <n v="653"/>
        <n v="658"/>
        <n v="459"/>
        <n v="437"/>
        <n v="711"/>
        <n v="268"/>
        <n v="89"/>
        <n v="480"/>
        <n v="338"/>
        <n v="733"/>
        <n v="259"/>
        <n v="42"/>
        <n v="971"/>
        <n v="90"/>
        <n v="510"/>
        <n v="492"/>
        <n v="952"/>
        <n v="819"/>
        <n v="452"/>
        <n v="400"/>
        <n v="893"/>
        <n v="827"/>
        <n v="517"/>
        <n v="91"/>
        <n v="29"/>
        <n v="47"/>
        <n v="160"/>
        <n v="775"/>
        <n v="643"/>
        <n v="493"/>
        <n v="149"/>
        <n v="743"/>
        <n v="760"/>
        <n v="463"/>
        <n v="959"/>
        <n v="818"/>
        <n v="992"/>
        <n v="334"/>
        <n v="80"/>
        <n v="637"/>
        <n v="294"/>
        <n v="907"/>
        <n v="916"/>
        <n v="755"/>
        <n v="355"/>
        <n v="871"/>
        <n v="468"/>
        <n v="295"/>
        <n v="1011"/>
        <n v="900"/>
        <n v="665"/>
        <n v="67"/>
        <n v="162"/>
        <n v="604"/>
        <n v="656"/>
        <n v="423"/>
        <n v="152"/>
        <n v="654"/>
        <n v="166"/>
        <n v="364"/>
        <n v="129"/>
        <n v="584"/>
        <n v="217"/>
        <n v="610"/>
        <n v="1019"/>
        <n v="416"/>
        <n v="135"/>
        <n v="316"/>
        <n v="512"/>
        <n v="622"/>
        <n v="82"/>
        <n v="245"/>
        <n v="392"/>
        <n v="466"/>
        <n v="759"/>
        <n v="286"/>
        <n v="738"/>
        <n v="360"/>
        <n v="2"/>
        <n v="354"/>
        <n v="98"/>
        <n v="46"/>
        <n v="600"/>
        <n v="17"/>
        <n v="231"/>
        <n v="873"/>
        <n v="330"/>
        <n v="474"/>
        <n v="683"/>
        <n v="31"/>
        <n v="304"/>
        <n v="825"/>
        <n v="509"/>
        <n v="886"/>
        <n v="439"/>
        <n v="525"/>
        <n v="110"/>
        <n v="132"/>
        <n v="342"/>
        <n v="720"/>
        <n v="677"/>
        <n v="504"/>
        <n v="261"/>
        <n v="1032"/>
        <n v="410"/>
        <n v="615"/>
        <n v="453"/>
        <n v="608"/>
        <n v="284"/>
        <n v="267"/>
        <n v="515"/>
        <n v="676"/>
        <n v="953"/>
        <n v="641"/>
        <n v="271"/>
        <n v="562"/>
        <n v="394"/>
        <n v="929"/>
        <n v="763"/>
        <n v="290"/>
        <n v="561"/>
        <n v="931"/>
        <n v="768"/>
        <n v="758"/>
        <n v="477"/>
        <n v="307"/>
        <n v="501"/>
        <n v="375"/>
        <n v="242"/>
        <n v="131"/>
        <n v="170"/>
        <n v="554"/>
        <n v="700"/>
        <n v="877"/>
        <n v="989"/>
        <n v="918"/>
        <n v="362"/>
        <n v="821"/>
        <n v="628"/>
        <n v="595"/>
        <n v="222"/>
        <n v="621"/>
        <n v="1021"/>
        <n v="822"/>
        <n v="45"/>
        <n v="1025"/>
        <n v="652"/>
        <n v="709"/>
        <n v="660"/>
        <n v="253"/>
        <n v="1044"/>
        <n v="753"/>
        <n v="531"/>
        <n v="688"/>
        <n v="275"/>
        <n v="847"/>
        <n v="450"/>
        <n v="53"/>
        <n v="5"/>
        <n v="703"/>
        <n v="77"/>
        <n v="724"/>
        <n v="507"/>
        <n v="690"/>
        <n v="113"/>
        <n v="202"/>
        <n v="623"/>
        <n v="122"/>
        <n v="1027"/>
        <n v="114"/>
        <n v="747"/>
        <n v="96"/>
        <n v="193"/>
        <n v="219"/>
        <n v="308"/>
        <n v="213"/>
        <n v="920"/>
        <n v="293"/>
        <n v="749"/>
        <n v="335"/>
        <n v="664"/>
        <n v="934"/>
        <n v="943"/>
        <n v="714"/>
        <n v="326"/>
        <n v="691"/>
        <n v="412"/>
        <n v="97"/>
        <n v="933"/>
        <n v="657"/>
        <n v="892"/>
        <n v="984"/>
        <n v="461"/>
        <n v="935"/>
        <n v="942"/>
        <n v="613"/>
        <n v="28"/>
        <n v="932"/>
        <n v="606"/>
        <n v="168"/>
        <n v="25"/>
        <n v="809"/>
        <n v="24"/>
        <n v="502"/>
        <n v="535"/>
        <n v="404"/>
        <n v="264"/>
        <n v="870"/>
        <n v="602"/>
        <n v="772"/>
        <n v="734"/>
        <n v="996"/>
        <n v="188"/>
        <n v="367"/>
        <n v="363"/>
        <n v="526"/>
        <n v="553"/>
        <n v="1063"/>
        <n v="14"/>
        <n v="910"/>
        <n v="1058"/>
        <n v="88"/>
        <n v="887"/>
        <n v="221"/>
        <n v="103"/>
        <n v="894"/>
        <n v="449"/>
        <n v="419"/>
        <n v="158"/>
        <n v="669"/>
        <n v="913"/>
        <n v="716"/>
        <n v="303"/>
        <n v="312"/>
        <n v="1034"/>
        <n v="527"/>
        <n v="324"/>
        <n v="725"/>
        <n v="975"/>
        <n v="66"/>
        <n v="1039"/>
        <n v="380"/>
        <n v="751"/>
        <n v="638"/>
        <n v="210"/>
        <n v="343"/>
        <n v="516"/>
        <n v="393"/>
        <n v="263"/>
        <n v="124"/>
        <n v="19"/>
        <n v="1014"/>
        <n v="879"/>
        <n v="265"/>
        <n v="884"/>
        <n v="917"/>
        <n v="640"/>
        <n v="861"/>
        <n v="238"/>
        <n v="190"/>
        <n v="876"/>
        <n v="765"/>
        <n v="854"/>
        <n v="285"/>
        <n v="534"/>
        <n v="248"/>
        <n v="1028"/>
        <n v="1020"/>
        <n v="21"/>
        <n v="963"/>
        <n v="369"/>
        <n v="283"/>
        <n v="695"/>
        <n v="706"/>
        <n v="108"/>
        <n v="950"/>
        <n v="445"/>
        <n v="143"/>
        <n v="485"/>
        <n v="382"/>
        <n v="846"/>
        <n v="441"/>
        <n v="1008"/>
        <n v="500"/>
        <n v="249"/>
        <n v="673"/>
        <n v="833"/>
        <n v="402"/>
        <n v="244"/>
        <n v="927"/>
        <n v="828"/>
        <n v="891"/>
        <n v="156"/>
        <n v="333"/>
        <n v="563"/>
        <n v="627"/>
        <n v="544"/>
        <n v="357"/>
        <n v="520"/>
        <n v="536"/>
        <n v="865"/>
        <n v="928"/>
        <n v="513"/>
        <n v="737"/>
        <n v="702"/>
        <n v="914"/>
        <n v="99"/>
        <n v="381"/>
        <n v="856"/>
        <n v="387"/>
        <n v="420"/>
        <n v="318"/>
        <n v="79"/>
        <n v="832"/>
        <n v="746"/>
        <n v="125"/>
        <n v="769"/>
        <n v="325"/>
        <n v="288"/>
        <n v="1017"/>
        <n v="208"/>
        <n v="311"/>
        <n v="83"/>
        <n v="315"/>
        <n v="1004"/>
        <n v="687"/>
        <n v="141"/>
        <n v="1051"/>
        <n v="399"/>
        <n v="26"/>
        <n v="401"/>
        <n v="862"/>
        <n v="1048"/>
        <n v="612"/>
        <n v="603"/>
        <n v="624"/>
        <n v="549"/>
        <n v="145"/>
        <n v="63"/>
        <n v="105"/>
        <n v="620"/>
        <n v="1050"/>
        <n v="411"/>
        <n v="87"/>
        <n v="514"/>
        <n v="305"/>
        <n v="991"/>
        <n v="926"/>
        <n v="537"/>
        <n v="764"/>
        <n v="421"/>
        <n v="1026"/>
        <n v="770"/>
        <n v="767"/>
        <n v="885"/>
        <n v="1037"/>
        <n v="148"/>
        <n v="109"/>
        <n v="497"/>
        <n v="8"/>
        <n v="903"/>
        <n v="719"/>
        <n v="319"/>
        <n v="1052"/>
        <n v="617"/>
        <n v="1003"/>
        <n v="524"/>
        <n v="611"/>
        <n v="947"/>
        <n v="430"/>
        <n v="155"/>
        <n v="713"/>
        <n v="447"/>
        <n v="491"/>
        <n v="339"/>
        <n v="888"/>
        <n v="633"/>
        <n v="946"/>
        <n v="429"/>
        <n v="766"/>
        <n v="559"/>
        <n v="752"/>
        <n v="762"/>
        <n v="139"/>
        <n v="1023"/>
        <n v="712"/>
        <n v="462"/>
        <n v="58"/>
        <n v="313"/>
        <n v="675"/>
        <n v="750"/>
        <n v="503"/>
        <n v="206"/>
        <n v="978"/>
        <n v="589"/>
        <n v="557"/>
        <n v="693"/>
        <n v="384"/>
        <n v="368"/>
        <n v="251"/>
        <n v="742"/>
        <n v="774"/>
        <n v="630"/>
        <n v="863"/>
        <n v="178"/>
        <n v="128"/>
        <n v="424"/>
        <n v="204"/>
        <n v="986"/>
        <n v="258"/>
        <n v="671"/>
        <n v="273"/>
        <n v="94"/>
        <n v="101"/>
        <n v="212"/>
        <n v="495"/>
        <n v="396"/>
        <n v="320"/>
        <n v="541"/>
        <n v="588"/>
        <n v="341"/>
        <n v="681"/>
        <n v="39"/>
        <n v="1049"/>
        <n v="668"/>
        <n v="405"/>
        <n v="999"/>
        <n v="679"/>
        <n v="682"/>
        <n v="543"/>
        <n v="864"/>
        <n v="187"/>
        <n v="1045"/>
        <n v="340"/>
        <n v="473"/>
        <n v="425"/>
        <n v="92"/>
        <n v="851"/>
        <n v="184"/>
        <n v="499"/>
        <n v="414"/>
        <n v="1031"/>
        <n v="194"/>
        <n v="941"/>
        <n v="1009"/>
        <n v="435"/>
        <n v="235"/>
        <n v="739"/>
        <n v="106"/>
        <n v="93"/>
        <n v="345"/>
        <n v="699"/>
        <n v="560"/>
        <n v="487"/>
        <n v="9"/>
        <n v="1018"/>
        <n v="756"/>
        <n v="75"/>
        <n v="413"/>
        <n v="556"/>
        <n v="842"/>
        <n v="528"/>
        <n v="837"/>
        <n v="490"/>
        <n v="117"/>
        <n v="323"/>
        <n v="436"/>
        <n v="979"/>
        <n v="840"/>
        <n v="867"/>
        <n v="812"/>
        <n v="121"/>
        <n v="820"/>
        <n v="1035"/>
        <n v="1041"/>
        <n v="625"/>
        <n v="157"/>
        <n v="930"/>
        <n v="59"/>
        <n v="1013"/>
        <n v="814"/>
        <n v="773"/>
        <n v="467"/>
        <n v="331"/>
        <n v="415"/>
        <n v="836"/>
        <n v="301"/>
        <n v="444"/>
        <n v="958"/>
        <n v="390"/>
        <n v="874"/>
        <n v="718"/>
        <n v="464"/>
        <n v="62"/>
        <n v="406"/>
        <n v="81"/>
        <n v="346"/>
        <n v="811"/>
        <n v="34"/>
        <n v="1057"/>
        <n v="428"/>
        <n v="332"/>
        <n v="291"/>
        <n v="254"/>
        <n v="1024"/>
        <n v="52"/>
        <n v="358"/>
        <n v="236"/>
        <n v="418"/>
        <n v="40"/>
        <n v="551"/>
        <n v="18"/>
        <n v="417"/>
        <n v="365"/>
        <n v="281"/>
        <n v="539"/>
        <n v="945"/>
        <n v="642"/>
        <n v="292"/>
        <n v="635"/>
        <n v="853"/>
        <n v="667"/>
        <n v="1055"/>
        <n v="969"/>
        <n v="686"/>
        <n v="754"/>
        <n v="22"/>
        <n v="376"/>
        <n v="626"/>
        <n v="689"/>
        <n v="232"/>
        <n v="3"/>
        <n v="859"/>
        <n v="298"/>
        <n v="140"/>
        <n v="279"/>
        <n v="548"/>
        <n v="277"/>
        <n v="505"/>
        <n v="347"/>
        <n v="704"/>
        <n v="48"/>
        <n v="69"/>
        <n v="849"/>
        <n v="1053"/>
        <n v="195"/>
        <n v="976"/>
        <n v="659"/>
        <n v="961"/>
        <n v="471"/>
        <n v="868"/>
        <n v="882"/>
        <n v="229"/>
        <n v="925"/>
        <n v="883"/>
        <n v="937"/>
        <n v="506"/>
        <n v="207"/>
        <n v="431"/>
        <n v="542"/>
        <n v="388"/>
        <n v="23"/>
        <n v="191"/>
        <n v="104"/>
        <n v="297"/>
        <n v="246"/>
        <n v="829"/>
        <n v="175"/>
        <n v="296"/>
        <n v="1047"/>
        <n v="370"/>
        <n v="494"/>
        <n v="173"/>
        <n v="153"/>
        <n v="672"/>
        <n v="60"/>
        <n v="841"/>
        <n v="327"/>
        <n v="239"/>
        <n v="721"/>
        <n v="995"/>
        <n v="227"/>
        <n v="960"/>
        <n v="366"/>
        <n v="816"/>
        <n v="177"/>
        <n v="858"/>
        <n v="49"/>
        <n v="674"/>
        <n v="137"/>
        <n v="533"/>
        <n v="982"/>
        <n v="1029"/>
        <n v="634"/>
        <n v="1015"/>
        <n v="12"/>
        <n v="205"/>
        <n v="715"/>
        <n v="209"/>
        <n v="159"/>
        <n v="250"/>
        <n v="957"/>
        <n v="282"/>
        <n v="558"/>
        <n v="446"/>
        <n v="796"/>
        <n v="38"/>
        <n v="815"/>
        <n v="983"/>
        <n v="911"/>
        <n v="146"/>
        <n v="684"/>
        <n v="1007"/>
        <n v="15"/>
        <n v="1046"/>
        <n v="997"/>
        <n v="757"/>
        <n v="260"/>
        <n v="701"/>
        <n v="241"/>
        <n v="830"/>
        <n v="84"/>
        <n v="214"/>
        <n v="119"/>
        <n v="834"/>
        <n v="4"/>
        <n v="843"/>
        <n v="85"/>
        <n v="371"/>
        <n v="948"/>
        <n v="1059"/>
        <n v="386"/>
        <n v="32"/>
        <n v="546"/>
        <n v="397"/>
        <n v="144"/>
        <n v="985"/>
        <n v="938"/>
        <n v="478"/>
        <n v="777"/>
        <n v="118"/>
        <n v="1"/>
        <n v="1006"/>
        <n v="489"/>
        <n v="379"/>
        <n v="374"/>
        <n v="165"/>
        <n v="791"/>
        <n v="852"/>
        <n v="881"/>
        <n v="442"/>
        <n v="408"/>
        <n v="199"/>
        <n v="356"/>
        <n v="300"/>
        <n v="237"/>
        <n v="977"/>
        <n v="601"/>
        <n v="890"/>
        <n v="10"/>
        <n v="73"/>
        <n v="197"/>
        <n v="398"/>
        <n v="133"/>
        <n v="174"/>
        <n v="1040"/>
        <n v="409"/>
        <n v="954"/>
        <n v="776"/>
        <n v="792"/>
        <n v="940"/>
        <n v="35"/>
        <n v="289"/>
        <n v="7"/>
        <n v="61"/>
        <n v="685"/>
        <n v="134"/>
        <n v="76"/>
        <n v="287"/>
        <n v="111"/>
        <n v="228"/>
        <n v="857"/>
        <n v="1022"/>
        <n v="372"/>
        <n v="962"/>
        <n v="800"/>
        <n v="802"/>
        <n v="550"/>
        <n v="230"/>
        <n v="460"/>
        <n v="309"/>
        <n v="956"/>
        <n v="850"/>
        <n v="552"/>
        <n v="781"/>
        <n v="988"/>
        <n v="1060"/>
        <n v="142"/>
        <n v="787"/>
        <n v="86"/>
        <n v="432"/>
        <n v="678"/>
        <n v="980"/>
        <n v="234"/>
        <n v="74"/>
        <n v="161"/>
        <n v="391"/>
        <n v="872"/>
        <n v="786"/>
        <n v="457"/>
        <n v="692"/>
        <n v="192"/>
        <n v="521"/>
        <n v="848"/>
        <n v="529"/>
        <n v="806"/>
        <n v="16"/>
        <n v="328"/>
        <n v="555"/>
        <n v="783"/>
        <n v="361"/>
        <n v="403"/>
        <n v="798"/>
        <n v="779"/>
        <n v="780"/>
        <n v="698"/>
        <n v="778"/>
        <n v="196"/>
        <n v="789"/>
        <n v="804"/>
        <n v="256"/>
        <n v="95"/>
        <n v="262"/>
        <n v="198"/>
        <n v="782"/>
        <n v="13"/>
        <n v="465"/>
        <n v="797"/>
        <n v="176"/>
        <n v="794"/>
        <n v="987"/>
        <n v="422"/>
        <n v="788"/>
        <n v="488"/>
        <n v="1016"/>
        <n v="1061"/>
        <n v="741"/>
        <n v="784"/>
        <n v="795"/>
        <n v="803"/>
        <n v="801"/>
        <n v="924"/>
        <n v="793"/>
        <n v="349"/>
        <n v="785"/>
        <n v="790"/>
        <n v="799"/>
        <n v="880"/>
        <n v="972"/>
        <n v="310"/>
        <n v="547"/>
        <n v="805"/>
        <n v="966"/>
        <n v="993"/>
        <n v="496"/>
        <n v="508"/>
        <n v="353"/>
        <n v="395"/>
        <n v="740"/>
        <n v="866"/>
        <n v="274"/>
        <n v="973"/>
        <n v="33"/>
        <n v="344"/>
        <n v="967"/>
        <n v="472"/>
        <n v="1001"/>
        <n v="351"/>
        <n v="923"/>
        <n v="36"/>
        <n v="37"/>
        <n v="50"/>
        <n v="57"/>
        <n v="71"/>
        <n v="102"/>
        <n v="120"/>
        <n v="147"/>
        <n v="167"/>
        <n v="223"/>
        <n v="240"/>
        <n v="257"/>
        <n v="299"/>
        <n v="322"/>
        <n v="348"/>
        <n v="350"/>
        <n v="352"/>
        <n v="378"/>
        <n v="389"/>
        <n v="438"/>
        <n v="469"/>
        <n v="486"/>
        <n v="518"/>
        <n v="532"/>
        <n v="540"/>
        <n v="545"/>
        <n v="573"/>
        <n v="580"/>
        <n v="590"/>
        <n v="592"/>
        <n v="593"/>
        <n v="6"/>
        <n v="605"/>
        <n v="616"/>
        <n v="629"/>
        <n v="636"/>
        <n v="639"/>
        <n v="646"/>
        <n v="648"/>
        <n v="697"/>
        <n v="723"/>
        <n v="744"/>
        <n v="745"/>
        <n v="748"/>
        <n v="807"/>
        <n v="810"/>
        <n v="844"/>
        <n v="845"/>
        <n v="860"/>
        <n v="869"/>
        <n v="878"/>
        <n v="902"/>
        <n v="939"/>
        <n v="970"/>
        <n v="994"/>
        <n v="1005"/>
        <n v="1062"/>
        <n v="1064"/>
        <n v="433"/>
        <n v="481"/>
        <n v="479"/>
        <n v="337"/>
        <n v="498"/>
      </sharedItems>
    </cacheField>
    <cacheField name="nome_join" numFmtId="0">
      <sharedItems count="1060">
        <s v="cadrio agendamento"/>
        <s v="iptu 2026"/>
        <s v="alvara - consulta previa de local"/>
        <s v="iptu - certidao de situacao fiscal e enfiteutica"/>
        <s v="informacoes sobre inscricao e atualizacao do cadastro unico"/>
        <s v="informacoes sobre o cadastro unico"/>
        <s v="licenca sanitaria de funcionamento"/>
        <s v="itbi - simulacao de valor e pedido de guia"/>
        <s v="fiscalizacao de estacionamento irregular de veiculo"/>
        <s v="iptu 2025 e anteriores - cobranca na fazenda"/>
        <s v="iss - comprovante de inscricao e de situacao cadastral"/>
        <s v="iss - certidao de situacao fiscal"/>
        <s v="multa de transito - consulta de multa"/>
        <s v="consulta de contracheques"/>
        <s v="iptu - certidao de elementos cadastrais"/>
        <s v="remocao de entulho"/>
        <s v="itbi - impressao de guia para pagamento"/>
        <s v="emissao de certidao de divida ativa"/>
        <s v="itbi - emissao da certidao de pagamento"/>
        <s v="multa de transito - defesa previa de autuacao"/>
        <s v="reparo de luminaria"/>
        <s v="multa de transito - informacoes sobre como pagar"/>
        <s v="iss - emissao de darm para pagamento"/>
        <s v="iptu - parcelamento 2025 - solicitacao e emissao de boletos"/>
        <s v="consultar declaracao de escolaridade"/>
        <s v="iptu - notificacao de lancamento (inclusive guias extraordinarias)"/>
        <s v="solicitacao de orientacoes sobre o alvara pela internet"/>
        <s v="fiscalizacao de perturbacao do sossego"/>
        <s v="reparo de buraco, deformacao ou afundamento na pista"/>
        <s v="consulta de debitos de iptu em divida ativa"/>
        <s v="iptu - regularizacao de recolhimentos (parcelamento, restituicao, alegacao e transposicao)"/>
        <s v="iptu - alteracao de nome do proprietario"/>
        <s v="informacoes sobre matricula na rede municipal - 2026"/>
        <s v="iptu - consulta a pagamentos e debito automatico"/>
        <s v="cartao de estacionamento para pessoas com deficiencia - pcd"/>
        <s v="iptu - certidao de valor venal"/>
        <s v="licenciamento de eventos - autorizacao transitoria"/>
        <s v="alvara a jato"/>
        <s v="contracheque de servidor inativo e pensionista"/>
        <s v="declaracao do imposto de renda na fonte para aposentados e pensionistas"/>
        <s v="manutencao/desobstrucao de ramais de aguas pluviais e ralos"/>
        <s v="iptu - atualizacao de cpf/cnpj"/>
        <s v="multa de transito - troca do real infrator"/>
        <s v="controle de roedores e caramujos africanos"/>
        <s v="solicitacao de correcao de falhas e de cadastro no portal e app 1746"/>
        <s v="remocao de residuos em vias publicas"/>
        <s v="parcelamento de debitos em divida ativa"/>
        <s v="informacoes sobre o programa bolsa familia"/>
        <s v="fiscalizacao de ma conduta do motorista/despachante"/>
        <s v="poda de arvore em vias publicas"/>
        <s v="verificacao de frequencia irregular da coleta domiciliar com retirada do residuo"/>
        <s v="atendimento em unidades de atencao primaria em saude"/>
        <s v="informacoes sobre os centro de referencia de assistencia social - cras"/>
        <s v="iptu - certidao de historico fiscal"/>
        <s v="autorizacao e legalizacao de comercio ambulante"/>
        <s v="resgate de animais silvestres"/>
        <s v="informacoes sobre liberacao de veiculos rebocados"/>
        <s v="emissao de guia de pagamento de divida ativa em atraso"/>
        <s v="historico de tarifas"/>
        <s v="iptu - regularizacao, parcelamento, restituicao, alegacao ou transposicao"/>
        <s v="informacoes sobre gratuidade no transporte municipal"/>
        <s v="iss - consulta de pendencias com o fisco municipal para ingresso no simples nacional"/>
        <s v="multa de transito - cancelamento (1ª instancia)"/>
        <s v="iss - profissional autonomo: autonomo estabelecido, autonomo equiparado a empresa e autonomo nao estabelecido"/>
        <s v="varricao de vias publicas"/>
        <s v="capina em vias publicas"/>
        <s v="informacoes sobre o plano de saude do servidor municipal - pssm"/>
        <s v="consulta e emissao de auto de infracao - coordenadoria de controle urbano"/>
        <s v="pesquisa de existencia de alvara"/>
        <s v="certidao negativa de debito (nada consta)"/>
        <s v="reparo de sinal de transito apagado"/>
        <s v="informacoes sobre o portal sisreg"/>
        <s v="emprestimo consignado e margem consignavel"/>
        <s v="minhas empresas/cadastrar procurador de empresa"/>
        <s v="iss - acompanhamento da formalizacao da opcao pelo simples nacional"/>
        <s v="castracao gratuita de caes e gatos - programa bicho rio"/>
        <s v="autorizacao para exibicao de publicidade"/>
        <s v="remocao de veiculo abandonado em via publica"/>
        <s v="iss - aliquotas, base de calculo e codigo de atividades"/>
        <s v="itbi - autenticacao da certidao de pagamento"/>
        <s v="recadastramento anual de servidores inativos e pensionistas"/>
        <s v="vistoria veicular e atualizacao documental - taxi"/>
        <s v="carteira digital de transito - cdt"/>
        <s v="iptu - formulario de alteracao de titularidade"/>
        <s v="concessao de alvara para eventos"/>
        <s v="verificacao de ar condicionado inoperante no onibus"/>
        <s v="informacoes sobre a carteira da pessoa idosa"/>
        <s v="fiscalizacao de obras em imovel privado"/>
        <s v="emissao de 2ª via do iptu"/>
        <s v="visitacao ao museu do universo no planetario do rio"/>
        <s v="informacoes sobre o programa cartao familia carioca"/>
        <s v="fiscalizacao de ma condicao do onibus"/>
        <s v="itbi - processo de reconhecimento de isencao"/>
        <s v="iss - emissao de darm de iss trimestral de contribuintes autonomos"/>
        <s v="multa de transito - acompanhamento de recurso"/>
        <s v="informacoes sobre o bilhete unico carioca"/>
        <s v="multa de transito - solicitacao de copia do auto de infracao (ait ou foto)"/>
        <s v="informacoes sobre o programa carioca paga meia"/>
        <s v="castracao de caes e gatos agendamento on-line"/>
        <s v="patrimonio - aviso do foreiro"/>
        <s v="iss - baixa de inscricao/exclusao de atividades"/>
        <s v="multa de transito - 2ª instancia"/>
        <s v="itbi - processo de restituicao total ou parcial"/>
        <s v="iss - confissao de divida, parcelamento e reparcelamento de debito nao inscrito em divida ativa"/>
        <s v="itbi - processo de revisao de valor e reconsideracao de decisao"/>
        <s v="segunda via de alvara"/>
        <s v="coordenadorias regionais de educacao (cres)"/>
        <s v="conselho de contribuintes"/>
        <s v="fiscalizacao de buraco na calcada"/>
        <s v="numero da inscricao imobiliaria"/>
        <s v="concessao de alvara de licenca de estabelecimento pela internet"/>
        <s v="itbi- processo de reconhecimento de nao incidencia"/>
        <s v="reposicao de grelha ou tampao"/>
        <s v="vistoria em foco de aedes aegypti (dengue, chikungunya e zika)"/>
        <s v="atendimento clinico em animais"/>
        <s v="consulta de situacao cadastral por permissao"/>
        <s v="remocao de residuos de poda"/>
        <s v="denuncia de corrupcao e/ou improbidade administrativa"/>
        <s v="pedido de acesso a informacao (lai)"/>
        <s v="iptu - consulta ao valor do m² por nome de rua (logradouro)"/>
        <s v="legalizacao de obras com contrapartida (mais valia)"/>
        <s v="informacoes sobre atividades esportivas gratuitas"/>
        <s v="iptu - revisao de lancamento"/>
        <s v="iss - confirmacao de autenticidade de certidao"/>
        <s v="informacoes sobre o auxilio educacao"/>
        <s v="iptu - declaracao de existencia/nao existencia de imoveis"/>
        <s v="informacoes sobre cadastro no programa minha casa, minha vida"/>
        <s v="consulta e encaminhamento para vagas de emprego"/>
        <s v="emissao de certidoes do iptu"/>
        <s v="solicitacao de atendimento do conselho tutelar"/>
        <s v="fiscalizacao de obstaculo fixo na calcada"/>
        <s v="fiscalizacao de atividades economicas sem alvara"/>
        <s v="iptu - autenticidade da certidao de situacao fiscal e enfiteutica do imovel"/>
        <s v="limpeza de ralos"/>
        <s v="limpeza de pracas e parques"/>
        <s v="informacoes sobre pagamento do iptu"/>
        <s v="fiscalizacao da atuacao do guardador de estacionamento rio rotativo"/>
        <s v="solicitacao de emissao de brat em acidente de transito sem vitima"/>
        <s v="informacoes sobre o acolhimento institucional de adultos, familias, idosos em vulnerabilidade"/>
        <s v="iss - prazos de pagamento"/>
        <s v="fiscalizacao sanitaria em servicos de alimentos e ensino"/>
        <s v="emissao de relatorio de informacao urbanistica (riu)"/>
        <s v="solicitacao de servicos para os povos e comunidades tradicionais"/>
        <s v="autorizacao para colocacao de mesas e cadeiras em area publica"/>
        <s v="avaliacao de risco de queda da arvore"/>
        <s v="inclusao ou exclusao de motorista auxiliar de taxi"/>
        <s v="verificacao de negligencia com idoso, abandono ou autonegligencia"/>
        <s v="atendimento ao consumidor - procon carioca"/>
        <s v="informacoes sobre tarifas de taxi"/>
        <s v="atendimento em hospitais de emergencia e pronto atendimento"/>
        <s v="iptu - alteracao de dados do destinatario"/>
        <s v="vistoria em imovel com rachadura e infiltracao"/>
        <s v="copia digital de planta de arquitetura"/>
        <s v="itbi - correcao de dados da guia paga (folha suplementar)"/>
        <s v="solicitacao de transporte da gestante para a maternidade"/>
        <s v="autorizacao de poda ou remocao de arvore em area particular"/>
        <s v="certidao de habite-se/aceitacao"/>
        <s v="declaracao de rendimentos de servidor ativo"/>
        <s v="informacoes sobre o beneficio de prestacao continuada"/>
        <s v="isencao de imposto de renda"/>
        <s v="informacoes sobre pedido de aposentadoria"/>
        <s v="previ-rio - atendimento ao publico"/>
        <s v="reviver centro"/>
        <s v="reparo de cabo de iluminacao publica"/>
        <s v="cadastramento de vagas de emprego"/>
        <s v="fiscalizacao da ocupacao irregular de area publica por estabelecimentos comerciais, industriais ou servicos"/>
        <s v="informacoes sobre reboque ou remocao de veiculos enguicados ou acidentados"/>
        <s v="emissao de guia para pagamento a vista em divida ativa"/>
        <s v="alistamento militar nas gerencias executivas locais (gel's)"/>
        <s v="limpeza de papeleira, conteiner e cacamba da comlurb"/>
        <s v="solicitacao de autorizacao de filmagem - rio film commission"/>
        <s v="solicitacao de atendimento social"/>
        <s v="certidao municipal de inexigibilidade de licenciamento ambiental para atividades industriais, de comercio e servicos (cmi)"/>
        <s v="taxa de incendio - informacoes"/>
        <s v="atendimento em unidades de pronto atendimento (upa 24 horas)"/>
        <s v="notificacao ao proprietario para limpeza de residuos em terreno baldio"/>
        <s v="copia ou certidao de inteiro teor de documento ou processo"/>
        <s v="reparo de buraco em calcada de pedra portuguesa"/>
        <s v="cartao de estacionamento para idosos"/>
        <s v="atendimento em policlinicas"/>
        <s v="imoveis penhorados como garantia para o pagamento de execucoes fiscais"/>
        <s v="distribuicao de kit enxoval do bebe"/>
        <s v="reparo em equipamentos de poste de iluminacao publica"/>
        <s v="taxas - taxa de coleta domiciliar de lixo (tcl)"/>
        <s v="iptu - autenticidade da certidao de elementos cadastrais"/>
        <s v="informacoes sobre desentupimento ou reparo de rede de esgoto em logradouros publicos"/>
        <s v="informacoes sobre o material rioeduca"/>
        <s v="remocao de carcaca de veiculo nao identificavel"/>
        <s v="informacoes sobre avaliacao de aluno incluido"/>
        <s v="verificacao do numero do processo aberto na secretaria municipal de transportes"/>
        <s v="patrimonio - remicao de foro"/>
        <s v="manutencao de mobiliario, brinquedos e equipamentos esportivos em pracas e parques publicos"/>
        <s v="informacoes sobre peculio"/>
        <s v="informacoes sobre fiscalizacao de irregularidades em linhas de onibus"/>
        <s v="reinstalacao de ponto de luz"/>
        <s v="licenciamento truck rio"/>
        <s v="solicitacao de vacinacao em domicilio"/>
        <s v="requerimento de adiantamento de decimo terceiro salario para servidor ativo"/>
        <s v="programa trabalha rio"/>
        <s v="reparo de poste caido ou em risco de queda"/>
        <s v="fornecedores de bens e servicos - solicitacao de cadastro"/>
        <s v="informacoes sobre acoes de acolhimento a pessoas em situacao de rua"/>
        <s v="iss - casos de responsabilidade e retencao"/>
        <s v="consultar minhas solicitacoes do processo.rio"/>
        <s v="acervo de imagens paa/pal"/>
        <s v="fiscalizacao de obras de concessionarias de servicos publicos"/>
        <s v="informacoes sobre cartao familia carioca e beneficio adicional por desempenho escolar"/>
        <s v="assistencia veterinaria do programa bicho rio"/>
        <s v="reparo de erros no processamento de servicos"/>
        <s v="autorizacao de poda ou remocao de arvore em area publica"/>
        <s v="itbi - cumprimento de exigencia em protocolo"/>
        <s v="sepultamento no cemiterio de pequenos animais"/>
        <s v="procedimentos para admissao em cargo publico efetivo"/>
        <s v="impressao de taxa de uso de area publica (tuap) para mesas e cadeiras"/>
        <s v="nota carioca - codigos de atividades e codigos de servicos"/>
        <s v="cremacao de animais"/>
        <s v="remocao de arvore em vias publicas"/>
        <s v="iss visto fiscal/inclusao predial - parcelamento (exclusivo para processos abertos na gerencia de visto fiscal)"/>
        <s v="licenca de transformacao de uso de edificacao"/>
        <s v="retirada de protesto em divida ativa"/>
        <s v="informacoes sobre o auxilio moradia"/>
        <s v="patrimonio - recadastramento enfiteutico"/>
        <s v="emissao de boleto para pagamento de multa (darm) no vlt"/>
        <s v="itbi - certidao de quitacao fiscal (nada consta)"/>
        <s v="itbi - peticao em processo administrativo ja aberto"/>
        <s v="informacoes sobre o calendario escolar"/>
        <s v="informacoes sobre isencao de taxa de inscricao em concurso"/>
        <s v="limpeza de vala de drenagem"/>
        <s v="fiscalizacao de irregularidades em taxi"/>
        <s v="beneficio de prestacao continuada - bpc"/>
        <s v="informacoes sobre o programa auxilio gas dos brasileiros"/>
        <s v="informacoes sobre a concessao de alvara"/>
        <s v="multa de transito - ressarcimento de valor pago"/>
        <s v="fiscalizacao de carros de som"/>
        <s v="atendimento a saude da crianca e do adolescente"/>
        <s v="solicitacao de cartao morador"/>
        <s v="beneficios relacionados ao falecimento do servidor"/>
        <s v="informacoes sobre oficios de registro de imoveis"/>
        <s v="informacoes sobre o programa lixo zero"/>
        <s v="segunda via de certificado de vistoria, ciat ou atualizacao cadastral para taxistas"/>
        <s v="patrimonio - emissao de guias para pagamento pelo uso de bens imoveis publicos"/>
        <s v="informacoes sobre o auxilio funeral"/>
        <s v="informacoes sobre creches parceiras"/>
        <s v="relatorio de informacoes urbanisticas"/>
        <s v="permissao para veiculos de carga e descarga de mudancas residenciais"/>
        <s v="informacoes sobre os procedimentos para sepultamento"/>
        <s v="bloqueio de pagamento de servidor aposentado e pensionista"/>
        <s v="alvara - solicitacao de alteracao cadastral"/>
        <s v="atendimento domiciliar para vacinacao antirrabica animal"/>
        <s v="consulta a legislacao"/>
        <s v="notificacao de falta de agua ou luz"/>
        <s v="iss visto fiscal/inclusao predial - gerar darm para pagamento a vista (exclusivo para processos abertos na gerencia de visto fiscal)"/>
        <s v="informacoes sobre o programa rio + cursos"/>
        <s v="comunicacao de autovistoria"/>
        <s v="nota carioca - cancelamento e substituicao de nota fiscal eletronica"/>
        <s v="nota carioca - cadastro: alteracao de dados do tomador e obrigatoriedade de cadastro"/>
        <s v="informacoes sobre o centro de referencia especializado para populacao em situacao de rua - centro pop"/>
        <s v="sessoes de cupula no planetario do rio"/>
        <s v="patrimonio - consulta enfiteuse"/>
        <s v="solicitacao de plantio de arvore em area publica"/>
        <s v="informacoes e servicos nos postos de atendimento da secretaria municipal de fazenda"/>
        <s v="avaliacao para instalacao e/ou retirada de papeleira"/>
        <s v="iss - restituicao de indebitos de iss de autonomos e de taxas"/>
        <s v="fiscalizacao dos servicos de esgoto da zona oeste mais saneamento"/>
        <s v="reparo de calcada danificada por raiz"/>
        <s v="reparo de sinal de transito travado"/>
        <s v="nota carioca - autenticidade: verificacao"/>
        <s v="informacoes sobre abertura de escola de educacao infantil"/>
        <s v="realizacao de exames laboratoriais em animais"/>
        <s v="informacoes sobre o geopal"/>
        <s v="fiscalizacao sanitaria de estabelecimentos comerciais em geral"/>
        <s v="taxas - emissao de darm da taxa de fiscalizacao de cemiterios"/>
        <s v="remocao de toco e raiz (destoca)"/>
        <s v="itbi - revalidacao de protocolo com instrumento ja lavrado (fiscalizacao)"/>
        <s v="autorizacao de taxi/mototaxi para motoristas auxiliares - abertura de termo"/>
        <s v="consulta ao andamento de processos administrativos da coordenadoria de licenciamento e fiscalizacao"/>
        <s v="iss - restituicao e credito na nota carioca de iss/taxas, autonomos e visto fiscal"/>
        <s v="itbi - duvidas sobre avaliacao, interpretacao e aplicacao da legislacao tributaria"/>
        <s v="informacoes sobre familia acolhedora - faco"/>
        <s v="concessao de autorizacao de matricula nova em feiras livres, feiras moveis, feiras especiais e antiquarios"/>
        <s v="itbi - cumprimento de exigencia em processo administrativo"/>
        <s v="consulta de multas por permissao em taxi"/>
        <s v="informacoes sobre afericao dos equipamentos de fiscalizacao eletronica"/>
        <s v="certidao de cadastro de taxista/mototaxista - verificacao do tempo de servico"/>
        <s v="iptu - verificacao da autenticidade da certidao de valor venal"/>
        <s v="emissao de carta de isencao tributaria por permissao de taxi/mototaxi"/>
        <s v="iss - apropriacao de guia de pagamento (exceto codigo de receita 129-5)"/>
        <s v="tesouro - auto de infracao administrativo smfp"/>
        <s v="informacoes sobre empresas conveniadas com a prefeitura"/>
        <s v="certidao municipal de dispensa de licenciamento ambiental (cmd)"/>
        <s v="id jovem"/>
        <s v="informacoes sobre os centro de referencia especializado de assistencia social - creas"/>
        <s v="iss - emissao de certidao de elementos cadastrais"/>
        <s v="averbacao de tempo de contribuicao / servico"/>
        <s v="fiscalizacao da higiene em mercados e supermercados"/>
        <s v="informacoes sobre concursos publicos"/>
        <s v="informacoes sobre o conselho tutelar"/>
        <s v="nota carioca - cadastro municipal: numero de inscricao"/>
        <s v="fiscalizacao de poluicao sonora"/>
        <s v="multa de transito paga/nao recebida"/>
        <s v="informacoes sobre acoes de ordenamento urbano"/>
        <s v="fundo de protecao animal"/>
        <s v="informacoes sobre a transferencia de titularidade de jazigo"/>
        <s v="cadastramento de profissional na rio-aguas"/>
        <s v="atendimento da coordenadoria tecnica de pericias medicas"/>
        <s v="iss - impugnacao a auto de infracao ou nota de lancamento"/>
        <s v="agendamento e atendimento de audiencias"/>
        <s v="emissao de taxas por permissao em taxi"/>
        <s v="realizacao de visita guiada a maternidade"/>
        <s v="informacao sobre a situacao dos imoveis no municipio do rio de janeiro"/>
        <s v="informacoes sobre o pis/pasep"/>
        <s v="licenca municipal de operacao (lmo)"/>
        <s v="alvara de licenca de estabelecimento - solicitacao de baixa da atividade"/>
        <s v="fiscalizacao sanitaria em servicos de saude"/>
        <s v="patrimonio - transferencia do foreiro"/>
        <s v="informacoes sobre o uso de quadras de esporte no aterro"/>
        <s v="reducao de carga horaria do servidor"/>
        <s v="informacoes sobre leilao de veiculos rebocados"/>
        <s v="informacoes sobre planta aerofotogrametrica (planta cadastral)"/>
        <s v="cancelamento de cobranca em divida ativa"/>
        <s v="certidao de inexistencia de atividade economica"/>
        <s v="informacoes sobre a inclusao de alunos da educacao especial"/>
        <s v="manutencao de sinalizacao grafica horizontal viaria"/>
        <s v="licenca de edificacao unifamiliar ou bifamiliar"/>
        <s v="informacoes sobre o super centro carioca de saude"/>
        <s v="fiscalizacao de corte ou sacrificio de arvore"/>
        <s v="verificacao de alteracao indevida de itinerario de onibus"/>
        <s v="informacoes sobre desvios e interdicoes de vias"/>
        <s v="iss - certidao de pagamento de iss ou taxa"/>
        <s v="informacoes sobre o auxilio medicamento"/>
        <s v="iss - acrescimos moratorios"/>
        <s v="fiscalizacao de poluicao do ar"/>
        <s v="fiscalizacao de eventos com exposicao de animais"/>
        <s v="informacoes sobre os enderecos da rio-aguas e zona oeste mais saneamento"/>
        <s v="licenca de demolicao de edificacao"/>
        <s v="segunda via de cotas de pagamento em divida ativa"/>
        <s v="iss - visto fiscal/inclusao predial - ciencia de nota de lancamento"/>
        <s v="fiscalizacao de marquises e estruturas"/>
        <s v="instalacao e manutencao de placas de identificacao de rua"/>
        <s v="informacoes sobre consulta e estorno de pagamento de beneficios / auxilios"/>
        <s v="requerimento para acumulacao de cargos, empregos e funcoes na administracao direta e indireta"/>
        <s v="nota carioca - denuncia de nao emissao da nota"/>
        <s v="fiscalizacao de transporte complementar"/>
        <s v="instalacao do validador jae"/>
        <s v="requerimento para emissao do perfil profissiografico previdenciario - ppp"/>
        <s v="nota carioca - retencao: tomadores de servicos de outros municipios"/>
        <s v="nota carioca - cadastramento no sistema e certificado digital"/>
        <s v="informacoes sobre o pro-carioca - programa de fomento a cultura carioca"/>
        <s v="fornecimento de informacoes sobre paa e pal"/>
        <s v="informacoes sobre o sistema de custo de obras"/>
        <s v="informacoes sobre auto de interdicao da defesa civil"/>
        <s v="feiras especiais de artes - feirartes"/>
        <s v="certidao de historico de revisao de numeracao"/>
        <s v="consulta de validade de contracheques"/>
        <s v="insatisfacao com o atendimento da central 1746"/>
        <s v="licenciamento de reparo emergencial em vias publicas"/>
        <s v="recred - programa de recuperacao de creditos de multas disciplinares"/>
        <s v="solicitacao de orientacao do comdef-rio"/>
        <s v="reparo de tampao ou poste danificado ou fora de prumo"/>
        <s v="informacoes sobre acolhimento institucional de adultos idosos e familias em vulnerabilidade"/>
        <s v="patrimonio - parcelamento de foros anuais em atraso"/>
        <s v="iss - paralisacao temporaria da atividade"/>
        <s v="iss - certidao de visto fiscal para fins de &quot;habite-se&quot; ou aceitacao da obra"/>
        <s v="emissao de declaracao de tempo de contribuicao"/>
        <s v="iss - declaracao de pessoa nao inscrita"/>
        <s v="transacao individualizada em divida ativa"/>
        <s v="patrimonio - permissao de uso de imovel municipal"/>
        <s v="atendimento clinico para animais com esporotricose"/>
        <s v="troca de endereco de correspondencia / e-mail de inativo ou pensionista no previ-rio"/>
        <s v="itbi - abertura de processo sem formulario especifico"/>
        <s v="limpeza de praias"/>
        <s v="itbi - processo de parcelamento de credito"/>
        <s v="fiscalizacao de banca de jornal"/>
        <s v="vista de processo ou requerimento em divida ativa"/>
        <s v="nota carioca - simples nacional: emissao de nota carioca e procedimentos"/>
        <s v="informacoes sobre ressarcimento de danos a terceiros no caso de acidentes com veiculos e/ou equipamentos da comlurb"/>
        <s v="licenca municipal simplificada (lms)"/>
        <s v="fiscalizacao de obras em area de especial interesse social ou comunidade"/>
        <s v="programa de atencao domiciliar ao idoso (padi)"/>
        <s v="informacoes sobre o auxilio adocao"/>
        <s v="atendimento em maternidades"/>
        <s v="informacoes sobre poda de arvores em areas privadas"/>
        <s v="licenciamento para execucao de obra e/ou reparo programados em vias publicas"/>
        <s v="autorizacao para publicidade vinculada a eventos"/>
        <s v="mensagens de alerta da defesa civil"/>
        <s v="informacoes sobre o treinamento para taxistas"/>
        <s v="licenca para construcao de muro ou gradis"/>
        <s v="captura para analise de morcegos caidos ou que atacaram pessoas e/ou animais"/>
        <s v="declaracao eletronica de nada consta do servidor"/>
        <s v="iss - emissao de declaracao de realizacao de eventos"/>
        <s v="carteira de trabalho digital"/>
        <s v="usucapiao extrajudicial"/>
        <s v="carta de cobranca e informacoes sobre existencia de debitos"/>
        <s v="nota carioca - emissao: autorizacao e procedimento"/>
        <s v="cadastramento de cpf/cnpj"/>
        <s v="cursos de astronomia no planetario do rio"/>
        <s v="emissao de certidao de pagamento de itbi - 2ª via"/>
        <s v="frequencia irregular de coleta seletiva"/>
        <s v="eleicoes para conselheiro tutelar do rio de janeiro"/>
        <s v="reparo em gradis e guarda-corpo de viadutos e pontes"/>
        <s v="fiscalizacao do atendimento prestado pela zona oeste mais saneamento"/>
        <s v="nota carioca - informacoes sobre carta de correcao"/>
        <s v="informacoes sobre a administracao de medicamentos em unidade escolar"/>
        <s v="itbi - relatorio de reposicao (inventario e separacao/divorcio) ou de extincao de condominio apos o pagamento da guia"/>
        <s v="requerimento para implantacao ou reposicao de equipamento de fiscalizacao eletronica (cet-rio)"/>
        <s v="retirada de cacamba particular cheia"/>
        <s v="manutencao de banheiros publicos"/>
        <s v="inclusao de veiculos em modais de transporte"/>
        <s v="licenca para construcao ou modificacao de edificacao/ licin, prorrogacao de licenca"/>
        <s v="informacoes sobre doacao de livros"/>
        <s v="cadastramento de imovel de benfeitoria/posse"/>
        <s v="requerimento para implantacao de quebra-molas"/>
        <s v="itbi - impugnacao de lancamento e recurso de decisao"/>
        <s v="relacao de licencas ambientais emitidas"/>
        <s v="solicitacao de implantacao ou remanejamento de ponto de onibus"/>
        <s v="informacoes sobre o censo cadastral previdenciario"/>
        <s v="requerimento para instalacao de sinal de transito"/>
        <s v="restituicao de indebito em divida ativa"/>
        <s v="iss - calculo do valor atualizado de debito nao inscrito em divida ativa"/>
        <s v="alvara - recurso de consulta previa"/>
        <s v="requerimento para implantacao de area para carga e descarga comum ou temporaria para obras"/>
        <s v="iss - solicitacao de envio de debito de iss para divida ativa"/>
        <s v="consulta de requerimentos na vigilancia sanitaria"/>
        <s v="alteracao no nome do proprietario no cadastro do iptu"/>
        <s v="observacao do ceu no planetario do rio"/>
        <s v="alteracao na escolaridade nos cargos de merendeira, agente educador e inspetor para aposentados"/>
        <s v="informacoes sobre o sistema de notificacao eletronica (sne)"/>
        <s v="informacoes sobre sinaleiras de garagem"/>
        <s v="informacoes sobre desaparecimento/remocao de ossada humana em cemiterio"/>
        <s v="fiscalizacao de desmatamento"/>
        <s v="realizacao de exames de imagem em animais"/>
        <s v="iss - informacoes sobre reconhecimento de imunidade, nao incidencia, isencao e reducao de iss"/>
        <s v="notificacao de casos de intolerancia etnico-racial"/>
        <s v="multa de transito - solicitacao de copia de aviso de recebimento"/>
        <s v="solicitacao de reforma de jardins de pracas ou de canteiros centrais"/>
        <s v="credenciamento de profissionais e empresas na fundacao parques e jardins"/>
        <s v="informacoes sobre as embaixadas cariocas"/>
        <s v="informacoes sobre acolhimento institucional de criancas e adolescentes"/>
        <s v="informacoes sobre portabilidade bancaria (troca de banco) para aposentados e pensionistas"/>
        <s v="ingresso ou baixa em cooperativa, associacao ou prestadora de servico de taxi"/>
        <s v="vistoria pos-incendio"/>
        <s v="acompanhamento de solicitacao no procon carioca"/>
        <s v="reparo de luminaria fora de posicao"/>
        <s v="vistoria em onibus"/>
        <s v="baixa de veiculos dos modais de transporte"/>
        <s v="registro de engenheiros e empresas do ramo de aparelhos de transporte"/>
        <s v="emissao de copia autentica (defesa civil)"/>
        <s v="cadastro moto.rio"/>
        <s v="remocao de animais mortos em via publica"/>
        <s v="informacoes sobre o arquivo geral da cidade"/>
        <s v="informacoes sobre enderecos de cemiterios e servicos funerarios"/>
        <s v="consulta a andamento de processos fisicos de licenciamento ambiental"/>
        <s v="legalizacao de obra e/ou reparo em vias publicas"/>
        <s v="reparo de poste ou tampao da rioluz dando choque"/>
        <s v="manutencao de equipamentos das academias da terceira idade (ati)"/>
        <s v="fiscalizacao sanitaria em servicos de embelezamento e atividades fisicas"/>
        <s v="habilitacao previa de beneficiario para recebimento do peculio"/>
        <s v="verificacao de autenticidade de documentos de processos administrativos"/>
        <s v="informacoes sobre portal da transparencia rio"/>
        <s v="inclusao de pessoas com deficiencia no mercado de trabalho"/>
        <s v="minhas bancas de jornais e revistas"/>
        <s v="solicitacao de desinterdicao a defesa civil"/>
        <s v="autorizacao de remocao de vegetacao (arv)"/>
        <s v="verificacao de ocorrencias na conexao brt"/>
        <s v="informacoes sobre bolsa de estudo"/>
        <s v="nota carioca - mensagem de erro no sistema da nota pela opcao do simples nacional"/>
        <s v="iss - retirada de bloqueio da inscricao municipal"/>
        <s v="distribuicao de insumos para tratamento de diabetes com insulina"/>
        <s v="informacoes sobre a instalacao de quebra-molas (apos avaliacao favoravel da cet-rio)"/>
        <s v="informacoes sobre os enderecos e canais de contato da zona oeste mais saneamento"/>
        <s v="informacoes sobre conselho tutelar e justica contra crianca e/ou adolescente"/>
        <s v="fiscalizacao de danos ao patrimonio publico"/>
        <s v="casas da mulher carioca"/>
        <s v="alegacao de pagamento em divida ativa"/>
        <s v="taxi.rio cidades - informacoes sobre utilizacao do aplicativo"/>
        <s v="recurso contra negativa ou omissao de acesso a informacao"/>
        <s v="fiscalizacao de drenagem irregular"/>
        <s v="recurso para auto de infracao de atividade economica"/>
        <s v="reparo de tampao de sinal de transito quebrado ou ausente e de cabos expostos de sinal de transito"/>
        <s v="iss - vista de processo da gerencia de fiscalizacao"/>
        <s v="projeto nupdec - nucleo de protecao e defesa civil"/>
        <s v="enquadramento de nivel por curso de formacao para professores"/>
        <s v="criacao de conta mobilidade rio - bilhetagem digital jae"/>
        <s v="reconhecimento e sugestao de nominacao de logradouros"/>
        <s v="nota carioca - emissao: casos de isentos, imunes e devedores do iss"/>
        <s v="programa selo de acessibilidade e inclusao"/>
        <s v="fiscalizacao de poluicao do solo"/>
        <s v="informacoes sobre senha para os beneficios"/>
        <s v="fiscalizacao de abrigos para idosos (casas de repouso) por relatos de maus tratos"/>
        <s v="valor das aliquotas e base de calculo"/>
        <s v="tesouro - cadastro dos dados bancarios de pessoas fisicas e juridicas"/>
        <s v="alteracao de autorizacao de comercio ambulante"/>
        <s v="solicitacao de alteracao ou implantacao de ponto de taxi"/>
        <s v="informacoes sobre atendimento a mulher vitima de violencia (ceam)"/>
        <s v="fiscalizacao de poluicao da agua"/>
        <s v="licenciamento de aparelhos de transporte"/>
        <s v="limpeza de margens de rios"/>
        <s v="calendario da rede de rodas de samba"/>
        <s v="secretaria municipal de esportes"/>
        <s v="informacoes sobre merenda escolar"/>
        <s v="certificado de protecao do imovel"/>
        <s v="informacoes sobre o programa de apoio ao ensino medio"/>
        <s v="informacoes sobre cadastro no auxilio habitacional temporario"/>
        <s v="programa cadeira cativa - ingressos gratuitos"/>
        <s v="informacoes sobre licitacao e pregao"/>
        <s v="suspensao do abono de permanencia"/>
        <s v="informacoes sobre o sistema brt do rio de janeiro"/>
        <s v="fiscalizacao de animais silvestres em cativeiro"/>
        <s v="licenca ambiental municipal comunicada para atividades industriais, de comercio e servicos (lac)"/>
        <s v="plano de saude - movimentacoes"/>
        <s v="informacoes sobre cursos da vigilancia sanitaria"/>
        <s v="fiscalizacao da exposicao de publicidade irregular"/>
        <s v="requerimento de licenca para trato de interesses particulares"/>
        <s v="permuta de veiculo - taxi/mototaxi"/>
        <s v="relacao de empresas licenciadas para receber residuos da construcao civil (rcc)"/>
        <s v="conservacao e manutencao de passarelas, viadutos, pontes e tuneis revestidos"/>
        <s v="informacoes do jae no metrorio"/>
        <s v="instalacao, remocao e manutencao de placa com nome de rua"/>
        <s v="iss - pagamento de auto de infracao de iss com desconto"/>
        <s v="informacoes sobre vacinacao humana"/>
        <s v="informacoes sobre acerto de vida escolar (avanco ou retencao de ano)"/>
        <s v="informacoes sobre painel de transparencia de obras do municipio do rio de janeiro"/>
        <s v="informacoes sobre sinalizacao indicativa de servico"/>
        <s v="prorrogacao de prazo para vistoria de taxi"/>
        <s v="requerimento de readaptacao do servidor"/>
        <s v="informacoes sobre os centros de atencao psicossocial (caps)"/>
        <s v="multa de transito - verificacao da troca de real infrator"/>
        <s v="licenciamento de servico em vias publicas"/>
        <s v="reparo de rampa de acesso em vias publicas"/>
        <s v="cadastramento de protetores voluntarios e de protetores de colonias"/>
        <s v="informacoes sobre cadastramento para obtencao de gratuidade especial do jae"/>
        <s v="projeto agente experiente"/>
        <s v="informacoes sobre cobranca antecipada (tabelada) de corridas de taxi"/>
        <s v="informacoes sobre enderecos de escolas municipais"/>
        <s v="implantacao de equipamentos de lazer em parques, pracas e areas verdes da cidade"/>
        <s v="avaliacao de surto por doenca transmitida por alimentos e agua"/>
        <s v="planejamento urbano local e regional"/>
        <s v="nota carioca - emissao de nota fiscal eletronica"/>
        <s v="casas de convivencia e lazer para pessoas idosas"/>
        <s v="nota carioca - retencao: tributos federais e iss"/>
        <s v="inclusao de veiculo - taxi/mototaxi"/>
        <s v="fiscalizacao de quiosque de praia"/>
        <s v="taxi.rio cidades - verificacao de problemas no aplicativo"/>
        <s v="desvinculacao em divida ativa"/>
        <s v="gestao de contratos e/ou creditos habitacionais dos imoveis construidos pela rio-urbe"/>
        <s v="baixa de autorizacao de publicidade"/>
        <s v="homologacao de materiais e equipamentos de iluminacao publica"/>
        <s v="solicitacao para ligacao de aguas pluviais na rede publica"/>
        <s v="licenca municipal previa e de instalacao (lmpi)"/>
        <s v="certificado de adequacao de imovel (cai) protegidos pelo patrimonio cultural"/>
        <s v="vistoria em ameaca ou queda de revestimento externo"/>
        <s v="informacoes sobre copia de plantas de cursos d'agua e redes de drenagem"/>
        <s v="alteracoes cadastrais em divida ativa"/>
        <s v="informacoes sobre cremacao de corpo ou membros"/>
        <s v="projeto vida ativa"/>
        <s v="vistoria em ameaca de deslizamento de barreira, encosta e talude"/>
        <s v="iss - cadastro de contribuintes autonomos no emissor nacional (nfs-e)"/>
        <s v="iss - recurso voluntario"/>
        <s v="iss - impugnacao ao indeferimento da opcao pelo simples nacional"/>
        <s v="infracao ao codigo disciplinar de transporte de passageiros - defesa previa"/>
        <s v="circuito carioca de economia solidaria"/>
        <s v="autorizacao de pesquisa em unidades de conservacao"/>
        <s v="cadastro no 'push processo' para mensagens sobre o andamento de processos fisicos"/>
        <s v="iss - cumprimento de exigencia da gerencia de fiscalizacao do iss"/>
        <s v="vistoria em ameaca ou queda de passarela, ponte, viaduto e demais estruturas publicas"/>
        <s v="informacoes sobre distribuicao de uniformes e material escolar"/>
        <s v="baixa de veiculo - taxi/mototaxi"/>
        <s v="informacoes sobre os desfiles das escolas de samba das series prata e bronze e blocos de enredo"/>
        <s v="fiscalizacao/inspecao de feiras livres, feiras de artes e feiras especiais"/>
        <s v="solicitacao de palestras da secretaria de protecao e defesa dos animais"/>
        <s v="requerimento de gratificacao por substituicao de cargo de confianca de direcao"/>
        <s v="informacoes sobre surto psicotico"/>
        <s v="nota carioca - emissao de nota para tomador estrangeiro"/>
        <s v="informacoes sobre esgotamento sanitario"/>
        <s v="usucapiao"/>
        <s v="nota carioca - sistema: formas de acesso"/>
        <s v="nota carioca - recibo provisorio de servicos: cancelamento, conversao e emissao"/>
        <s v="recurso para recuperacao de mercadorias e equipamentos apreendidos"/>
        <s v="verificacao de irregularidades na bilhetagem eletronica"/>
        <s v="comprovacao do auxilio-creche"/>
        <s v="campanha de adocao com os animais da fazenda modelo: &quot;maratona de adocao&quot;"/>
        <s v="informacoes sobre o projeto de empreendedorismo comunitario"/>
        <s v="abertura de termo para transporte escolar"/>
        <s v="reparacao pos-destoca"/>
        <s v="manutencao de relogio digital"/>
        <s v="implantacao de pracas"/>
        <s v="vistoria em deslizamento de barreira, encosta e talude"/>
        <s v="iss - ciencia de decisao da gerencia de fiscalizacao do iss"/>
        <s v="solicitacao para implantacao de canteiros e dispositivos especiais"/>
        <s v="informacoes sobre pensao alimenticia de dependente de servidor inativo ou pensionista"/>
        <s v="iss - atividade de incorporacao-construcao imobiliaria"/>
        <s v="revisao de projeto de alinhamento (p.a.)"/>
        <s v="informacoes sobre implantacao de area para embarque e desembarque"/>
        <s v="conservacao e manutencao de monumentos e chafarizes"/>
        <s v="locacao de espacos no planetario do rio"/>
        <s v="informacoes sobre multas da smdu"/>
        <s v="informacoes sobre o programa hortas cariocas"/>
        <s v="informacoes sobre a contribuicao para custeio do servico de iluminacao publica (cosip)"/>
        <s v="registro de engenheiros e empresas do ramo de ar-condicionado e ventilacao mecanica"/>
        <s v="iss - prorrogacao de prazo para apresentacao de impugnacao ou recurso"/>
        <s v="revisao de pensao por falecimento"/>
        <s v="informacoes sobre implantacao de area de lazer"/>
        <s v="nota carioca - microempreendedor individual"/>
        <s v="instalacao de rampa de acesso em vias publicas"/>
        <s v="nota carioca - pagamento ou recurso de auto de infracao"/>
        <s v="nota carioca - declaracao de ausencia de movimento"/>
        <s v="certificado de aceitacao das condicoes de acessibilidade"/>
        <s v="transferencia de matricula por falecimento em feiras livres, feiras moveis, feiras especiais e feirartes"/>
        <s v="limpeza, desassoreamento e manutencao de rios e canais"/>
        <s v="informacoes sobre o centro de referencia de inclusao produtiva - crip"/>
        <s v="atendimento para pessoas vitimas de violencia"/>
        <s v="historico de pagamentos em divida ativa"/>
        <s v="licenca ambiental municipal previa (lmp)"/>
        <s v="nota carioca - informacoes sobre credito pendente"/>
        <s v="informacoes sobre o sistema veritas"/>
        <s v="desconto em contracheque de debito de encerramento de folha-servidor aposentado"/>
        <s v="solicitacao de desinterdicao em servicos de alimentos e ensino"/>
        <s v="isencao de tuap para feiras livres, feiras moveis, feiras especiais e feirartes"/>
        <s v="instalacao de equipamentos fotovoltaicos em imoveis protegidos"/>
        <s v="licenca para instalacao de antenas"/>
        <s v="informacoes sobre caes e gatos agressivos ou agressores"/>
        <s v="informacoes sobre assistencia financeira para funeral de dependente"/>
        <s v="fiscalizacao de aterro, terraplanagem ou extracao mineral irregular"/>
        <s v="nota carioca - alteracao de usuario, definicao de perfil, acesso do contador"/>
        <s v="notificacao de descumprimento de acordo - procon carioca"/>
        <s v="iss - pedido de exclusao do nome do responsavel, pessoa juridica (escritorio contabil) ou contador, do perfil da nota carioca"/>
        <s v="projeto voluntarios para atuacao em protecao e defesa civil"/>
        <s v="consulta sobre a regularidade de funcionamento de escola privada de educacao infantil"/>
        <s v="centros municipais de referencia da pessoa com deficiencia"/>
        <s v="informacoes sobre financiamento imobiliario (carta de credito)"/>
        <s v="desarquivamento de processo na secretaria municipal de transportes"/>
        <s v="solicitacao de licenca para tratamento de saude para servidores municipais"/>
        <s v="fiscalizacao de captacao irregular de agua"/>
        <s v="legislacao do regulamento do iptu"/>
        <s v="fiscalizacao de obras de contencao em andamento"/>
        <s v="cad - conselho de administracao do previ-rio"/>
        <s v="cadastro de animais no sisbicho"/>
        <s v="editais rio capital mundial do livro 2025"/>
        <s v="informacoes sobre o programa zonas de cultura"/>
        <s v="informacoes sobre contagem volumetrica de veiculos"/>
        <s v="imposto de renda para servidor inativo residente no exterior"/>
        <s v="informacoes sobre troca de agencia do banco santander para servidor inativo e pensionista"/>
        <s v="isencao de iss para empresas que realizaram obras em imoveis protegidos"/>
        <s v="informacoes sobre a fiscalizacao ambiental"/>
        <s v="licenca municipal de instalacao (lmi)"/>
        <s v="arborizacao para liberacao de habite-se"/>
        <s v="vistoria em ameaca de rolamento de pedra"/>
        <s v="laudo tecnico de imoveis com data de construcao igual ou anterior a 1938 e imoveis situados no entorno de bens tombados"/>
        <s v="informacoes sobre desapropriacao de imovel para obras de infraestrutura da smi"/>
        <s v="solicitacao de transferencia de titularidade de comercio ambulante"/>
        <s v="licenca de obras"/>
        <s v="licenca municipal de instalacao e operacao (lmio)"/>
        <s v="informacoes sobre vacinacao de idosos contra a gripe em domicilio"/>
        <s v="projetos para novas construcoes no mesmo lote de imoveis protegidos"/>
        <s v="corregedoria da procuradoria geral do municipio do rio de janeiro"/>
        <s v="vistoria anual obrigatoria - transporte complementar"/>
        <s v="informacoes sobre a familia acolhedora"/>
        <s v="informacoes sobre o parque nacional da tijuca"/>
        <s v="informacoes sobre fiscalizacao das instalacoes de aparelhos de transporte"/>
        <s v="busca e cadastramento de locacoes para producao audiovisual - rio film commission"/>
        <s v="programa idoso em familia"/>
        <s v="copia de acordo de parcelamento em divida ativa"/>
        <s v="informacoes sobre o projeto de volta a terra natal"/>
        <s v="informacoes sobre educacao de jovens e adultos (eja)"/>
        <s v="verificacao de achados e perdidos em taxis"/>
        <s v="cursos para servidor publico municipal - informacoes"/>
        <s v="restituicao de indebito de iss"/>
        <s v="suspensao ou nao reversao de pensao para filha solteira"/>
        <s v="informacoes sobre inscricao para estagio na riotur"/>
        <s v="encerramento de folha de pagamento do servidor publico ativo"/>
        <s v="naves do conhecimento"/>
        <s v="cadastro para acesso as cozinhas comunitarias"/>
        <s v="busca e cadastramento de prestadores de servico para producao audiovisual - rio film commission"/>
        <s v="informacoes sobre a multirio"/>
        <s v="licenciamento de obra para atendimento ao consumidor em vias publicas"/>
        <s v="instalacao de temporizador de iluminacao publica"/>
        <s v="informacoes sobre o programa de educacao animal"/>
        <s v="abertura de termo para transporte fretamento - turismo / eventos"/>
        <s v="termo municipal de encerramento (tme)"/>
        <s v="nota carioca - base de calculo: deducoes"/>
        <s v="autorizacao para manejo de fauna (amf)"/>
        <s v="informacoes sobre educacao ambiental no municipio do rio de janeiro"/>
        <s v="inscricao em programa de tratamento antitabagismo"/>
        <s v="procuradoria administrativa - padm"/>
        <s v="informacoes sobre posicionamento por tempo de servico"/>
        <s v="postos de informacoes turisticas da riotur"/>
        <s v="informacoes sobre o programa documenta rio"/>
        <s v="cartao de estacionamento para prestadores de servicos de utilidade publica"/>
        <s v="inclusao de auxiliar - transporte complementar"/>
        <s v="informacoes sobre isencao / imunidade / nao incidencia no iss"/>
        <s v="solicitacao de desinterdicao em servicos de saude, embelezamento e atividades fisicas"/>
        <s v="processo de desapropriacao"/>
        <s v="protecao de bens culturais de natureza material e imaterial"/>
        <s v="pagamento do financiamento imobiliario do previ-rio - 2ª via de boleto bancario"/>
        <s v="carteira de projetos urbanisticos estruturantes da smdu/subpu"/>
        <s v="patrimonio - parcelamento de debitos pelo uso de imovel publico do patrimonio municipal"/>
        <s v="verificacao de desrespeito a gratuidade"/>
        <s v="verificacao de ocorrencias no brt"/>
        <s v="iss - impugnacao ao termo de exclusao do simples nacional"/>
        <s v="constituicao de pessoa juridica para atividade dispensada de alvara de licenca de estabelecimento"/>
        <s v="requerimento para aprovacao de projeto tecnico de pavimentacao"/>
        <s v="atualizacao cadastral - transporte complementar"/>
        <s v="taxi.rio cidades - informacoes sobre objeto perdido e verificacao de irregularidades em taxi"/>
        <s v="parcelamento em casos de posse em divida ativa"/>
        <s v="notificacao de casos de intolerancia religiosa"/>
        <s v="informacoes sobre o data.rio"/>
        <s v="informacao sobre autorizacao para funcionamento de cemiterios e servicos funerarios"/>
        <s v="informacoes sobre emissao de licenca para obras de contencao de encosta e de extracao mineral"/>
        <s v="pontos de referencia, garagens e areas de uso comum"/>
        <s v="fiscalizacao sanitaria em criacoes de animais para fins comerciais"/>
        <s v="informacoes sobre medicina alternativa para servidores"/>
        <s v="servidor celetista - atualizacao da carteira de trabalho do servidor celetista"/>
        <s v="informacoes sobre concurso de bandas especializadas em carnaval"/>
        <s v="reativacao de autorizacao de comercio ambulante"/>
        <s v="manutencao de obras de drenagem"/>
        <s v="informacoes sobre o conselho municipal de defesa dos direitos da pessoa idosa (comdepi-rio)"/>
        <s v="autorizacao de inicio de obra de drenagem urbana - aio"/>
        <s v="informacoes sobre desconto e isencao do imposto sindical"/>
        <s v="averbacao de licencas e certidoes (avb)"/>
        <s v="informacoes sobre a participacao da defesa civil em eventos"/>
        <s v="orientacao para obter o cartao nacional sus (cns)"/>
        <s v="analise de criacao, extincao ou alteracao de linha de onibus (sppo)"/>
        <s v="vistoria em local com presenca de insetos (mosquito, aranha e lacraia)"/>
        <s v="informacoes sobre heranca jacente"/>
        <s v="informacao sobre licenciamento de produtos da multirio"/>
        <s v="fiscalizacao de transporte de fretamento"/>
        <s v="fiscalizacao de bens adotados"/>
        <s v="transferencia de matricula por renuncia em feiras livres, feiras moveis, feiras especiais e feirartes"/>
        <s v="atendimento em hospitais gerais e especializados"/>
        <s v="informacoes sobre acidentes com viaturas/equipamentos da rioluz"/>
        <s v="encerramento de termo - taxi/mototaxi"/>
        <s v="informacoes sobre encerramento de folha de pagamento de servidor"/>
        <s v="arrematacao em divida ativa"/>
        <s v="infracao ao codigo disciplinar de transporte de passageiros - segunda instancia"/>
        <s v="agendamento, consulta e cancelamento de vistoria por permissao - transporte complementar"/>
        <s v="informacoes sobre emprestimo de livros nas bibliotecas populares"/>
        <s v="informacoes sobre apoio indireto (iss - lei de incentivo a cultura)"/>
        <s v="fiscalizacao de pesca predatoria"/>
        <s v="informacoes sobre trabalho ou estagio na multirio"/>
        <s v="retirada ou adequacao de quebra-molas (apos avaliacao favoravel da cet-rio)."/>
        <s v="iss - visto fiscal/inclusao predial - reenvio da certidao de visto fiscal"/>
        <s v="fiscalizacao de transporte escolar"/>
        <s v="iss - recurso especial"/>
        <s v="programa rio dignidade"/>
        <s v="juntada de documentos em divida ativa"/>
        <s v="vistoria em imovel apresentando trepidacao"/>
        <s v="solicitacao de autorizacao para do desfile de blocos de rua"/>
        <s v="licenca municipal de recuperacao e operacao (lmro)"/>
        <s v="nota carioca - arquivos: envio em lote (notas convencionais recebidas) e importacao"/>
        <s v="alteracao de endereco para atividades dispensadas de alvara"/>
        <s v="informacoes sobre autorizacao para realizacao de pesquisa academica"/>
        <s v="iss - incorporacao de empresas"/>
        <s v="licenca municipal simplificada de habitacao (lsh)"/>
        <s v="emissao de tuap para feirantes"/>
        <s v="informacoes sobre a vacina antirrabica em humanos"/>
        <s v="projeto de arborizacao para urbanizacao de endereco"/>
        <s v="fiscalizacao sanitaria de fumo em mercados, supermercados e agroindustria"/>
        <s v="certificado de adequacao de imovel (cai) em unidades de conservacao ambiental"/>
        <s v="fiscalizacao de ocupacao por atividade irregular na natureza"/>
        <s v="infracao ao codigo disciplinar de transporte de passageiros - cancelamento (primeira instancia)"/>
        <s v="fiscalizacao de obras em passarela, viaduto, ponte e tunel revestido"/>
        <s v="informacoes sobre o terreirao do samba"/>
        <s v="informacoes sobre a politica nacional aldir blanc (pnab)"/>
        <s v="licenciamento sacolao volante"/>
        <s v="atendimento em centro de emergencia regional (cer)"/>
        <s v="autorizacao para cemiterios e crematorios particulares de animais"/>
        <s v="programa de visitas a cgm"/>
        <s v="vistoria em escavacao ou aterro irregular"/>
        <s v="declaracao de conformidade ambiental (dca)"/>
        <s v="solicitacao de desinterdicao em estabelecimentos comerciais em geral"/>
        <s v="itbi - peticao para deposito administrativo do credito tributario"/>
        <s v="situacao de nota de debito na smdu"/>
        <s v="informacoes sobre o monitoramento da qualidade do ar"/>
        <s v="prova de vida - feirantes, expositores e ambulantes em feiras"/>
        <s v="recurso de notificacao de atividade economica"/>
        <s v="emissao de segunda via do ciat - transporte complementar"/>
        <s v="requerimento de fruicao de valor de cargo de confianca"/>
        <s v="recurso de notificacao e intimacao emitidas pela rio-aguas"/>
        <s v="responsabilidade tributaria"/>
        <s v="informacoes sobre o tratamento de dados pessoais pela prefeitura do rio de janeiro"/>
        <s v="desfile blocos de embalo e enredo"/>
        <s v="informacoes sobre imposto sindical"/>
        <s v="informacoes sobre uso de espacos para projetos culturais"/>
        <s v="informacoes sobre compensacao das emissoes de gases do efeito estufa de obras (resolucao conjunta nº 14/2009)"/>
        <s v="alteracao do sentido de circulacao de vias"/>
        <s v="criacao de novas feiras livres, feiras moveis, feiras especiais e feirartes"/>
        <s v="cadastro nacional de estabelecimento de saude"/>
        <s v="fiscalizacao sanitaria de fumo em estabelecimentos fechados de alimento ou de ensino"/>
        <s v="fiscalizacao da manutencao da pavimentacao de vias privatizadas - linha amarela"/>
        <s v="pesquisa ao acervo arqueologico do laboratorio aberto de arqueologia urbana (laau)"/>
        <s v="consulta previa de imoveis em area de entorno de bens tombados"/>
        <s v="fiscalizacao sanitaria de fumo em estabelecimentos comerciais em geral"/>
        <s v="vistoria de taxi - 1ª autonomia, inclusao e permuta de veiculo e vistoria extra"/>
        <s v="informacoes sobre atendimento em classe domiciliar"/>
        <s v="informacoes sobre o programa territorios sociais"/>
        <s v="consulta previa - intervencoes em espacos publicos protegidos pelo patrimonio cultural"/>
        <s v="concurso de foliao original"/>
        <s v="levantamento de deposito em divida ativa"/>
        <s v="atualizacao de dados cadastrais em feiras livres, feiras moveis, feiras especiais e feirartes"/>
        <s v="processo de fatura para fornecedor da rio-aguas"/>
        <s v="inclusao e exclusao de substituto ou preposto em feiras livres, feiras moveis, feiras especiais e feirartes"/>
        <s v="exames laboratoriais para diagnostico de raiva animal"/>
        <s v="manutencao do tunel marcelo alencar (mergulhao)"/>
        <s v="solicitacao de rebaixamento de meio fio para acesso de veiculos"/>
        <s v="emissao de segunda via de carteira e cartao em feiras livres, feiras moveis, feiras especiais e feirartes"/>
        <s v="sinalizacao grafica horizontal viaria"/>
        <s v="informacoes sobre as casas da juventude"/>
        <s v="participa.rio - populacao"/>
        <s v="consulta previa para imoveis em area do sitio paisagens cariocas, bem como instalacao de mobiliario e publicidade em areas urbanas protegidas."/>
        <s v="projeto de arborizacao para loteamento"/>
        <s v="atendimento em centros especializados de reabilitacao"/>
        <s v="licenca ambiental municipal comunicada para obras publicas de infraestrutura (lac)"/>
        <s v="certidao municipal de inexigibilidade de licenciamento ambiental para obras"/>
        <s v="informacoes sobre seguro contra danos fisicos de imovel financiado pelo previ-rio"/>
        <s v="solicitacao de fiscalizacao de instalacoes de ar-condicionado central"/>
        <s v="valores pagos indevidamente ao previ-rio - ressarcimento"/>
        <s v="iss - recurso contra declaracao de perempcao"/>
        <s v="taxi.rio cidades - solicitacao de devolucao de pagamento"/>
        <s v="acolhimento em residencia inclusiva para pessoas com deficiencia"/>
        <s v="desarquivamento em divida ativa"/>
        <s v="manutencao de bicicletas do sistema bike rio"/>
        <s v="disponibilizacao do acervo da biblioteca da pgm"/>
        <s v="consulta a comissao de integridade publica"/>
        <s v="fiscalizacao de arvore plantada em local irregular"/>
        <s v="servicos de iluminacao na transolimpica"/>
        <s v="fiscalizacao de plantio recente de arvore em vias publicas"/>
        <s v="instalacao de publicidade, gradil e toldos em imoveis protegidos"/>
        <s v="informacoes sobre monumentos e chafarizes"/>
        <s v="notificacao de irregularidades em contratos de empresas terceirizadas da secretaria de educacao"/>
        <s v="apoio a producoes audiovisuais - rio film commission"/>
        <s v="participa.rio - gestores da prefeitura"/>
        <s v="solicitacao de fiscalizacao de instalacoes de exaustao mecanica de cozinha industrial"/>
        <s v="reparo de pier de madeira"/>
        <s v="colocacao de mesas e cadeiras em area de protecao do ambiente cultural (apac) ou em areas de entorno de bem tombado (aebt)"/>
        <s v="licenca municipal de recuperacao (lmr)"/>
        <s v="suspensao de cobranca em divida ativa"/>
        <s v="afastamento por licenca em feiras livres, feiras moveis, feiras especiais e feirartes"/>
        <s v="vistoria de imovel para emissao de laudo tecnico de ausencia de animais em demolicoes"/>
        <s v="solicitacao de revisao do fgts do servidor celetista"/>
        <s v="nota carioca - beneficios para pessoa juridica: prestador e tomador de servicos"/>
        <s v="fiscalizacao de comercio ilegal de animais silvestres"/>
        <s v="licenciamento de reparos de emergencia especiais em vias publicas"/>
        <s v="extincao de servico de transporte de passageiros complementar comunitario (stpc)"/>
        <s v="pesquisa arqueologica nas obras de intervencao urbana"/>
        <s v="baixa de auxiliar - transporte complementar"/>
        <s v="emissao da certidao municipal de cumprimento de condicionantes (cmcc)"/>
        <s v="cartao de estacionamento para veiculos prestadores de servicos de mobiliario urbano"/>
        <s v="planta de demarcacao faixa non aedificandi (fna) ou faixa marginal de protecao (fmp)"/>
        <s v="informacoes sobre plano diretor de arborizacao urbana"/>
        <s v="procuradoria de servicos publicos - pse"/>
        <s v="baixa de matricula em feiras livres, feiras moveis, feiras especiais e feirartes"/>
        <s v="informacoes sobre atendimento em classe hospitalar"/>
        <s v="revisao dos valores da declaracao de rendimentos inativos e pensionistas - dirf"/>
        <s v="vistoria em rolamento de pedra"/>
        <s v="informacoes sobre cartilha de educacao animal"/>
        <s v="analise de alteracao de linha de stpl"/>
        <s v="informacoes tecnicas sobre obras, projetos e instrucao processual"/>
        <s v="informacoes sobre continuidade de pensao &quot;post mortem&quot;"/>
        <s v="cidade das artes - solicitacao de pauta para espetaculos, shows e eventos"/>
        <s v="solicitacao de licenca medica por acidente de trabalho para servidores municipais"/>
        <s v="ressarcimento de saldo remanescente de arrematacao de veiculo leiloado"/>
        <s v="informacoes sobre o programa acoes locais"/>
        <s v="notificacao de irregularidades em contratos de empresas terceirizadas da comlurb"/>
        <s v="cartao de estacionamento para veiculos de imprensa"/>
        <s v="fiscalizacao do uso de fumo em estabelecimentos de saude, estetica e atividade fisica"/>
        <s v="suporte tecnico a plataforma multirio"/>
        <s v="informacoes sobre o programa de saude vocal do professor"/>
        <s v="informacoes sobre beneficios para moradores de imoveis interditados pela defesa civil"/>
        <s v="informacoes sobre aumento da tarifa modal"/>
        <s v="consulta de multas por permissao - transporte complementar"/>
        <s v="notificacao de irregularidades em contratos de empresas terceirizadas da secretaria da pessoa com deficiencia"/>
        <s v="programa jovens cientistas cariocas 2026"/>
        <s v="recurso de edital de atividade economica"/>
        <s v="informacoes sobre limites de areas protegidas"/>
        <s v="informacoes sobre desfiles das escolas de samba no sambodromo"/>
        <s v="declaracao de possibilidade de esgotamento pluvial (dpep)"/>
        <s v="informacoes sobre abertura de processos de licenciamento ambiental municipal e legislacoes pertinentes"/>
        <s v="fiscalizacao sanitaria em agroindustrias e cervejas artesanais"/>
        <s v="encerramento de termo dos modais de transporte"/>
        <s v="solicitacao de desinterdicao em mercados, supermercados e agroindustria"/>
        <s v="iss - informacoes sobre desconto/parcelamento para empresas no entorno da avenida brasil"/>
        <s v="relacao de autorizacoes de remocao de vegetacao emitidas"/>
        <s v="abono de faltas em feiras livres, feiras moveis, feiras especiais, antiquarios e feirartes"/>
        <s v="autorizacao para instalacao de paraciclos em local publico"/>
        <s v="declaracao de cota de infradorso"/>
        <s v="informacoes sobre controle de queimadas - incendio florestal"/>
        <s v="certidao de tempo de servico em feiras livres, feiras moveis, feiras especiais e feirartes"/>
        <s v="consulta previa - rio-aguas"/>
        <s v="verificacao de ocorrencias nas bilheterias do brt"/>
        <s v="informacoes sobre desmatamento no parque nacional da tijuca"/>
        <s v="selo amigo dos animais"/>
        <s v="notificacao de irregularidades em contratos de empresas terceirizadas da cet-rio"/>
        <s v="notificacao de irregularidades em contratos de empresas terceirizadas da secretaria de assistencia social"/>
        <s v="restabelecimento de matricula em feiras livres, feiras moveis, feiras especiais, antiquarios e feirartes"/>
        <s v="analise de projeto arquitetonico e pronunciamento, de acordo com a arquitetura e/ou geometria do terreno"/>
        <s v="fiscalizacao de retirada e comercio ilegal de plantas nativas"/>
        <s v="abertura de termo para servico de transporte de passageiros complementar comunitario (stpc)"/>
        <s v="aumento de feira em feiras livres e feiras moveis"/>
        <s v="licenca municipal de recuperacao e instalacao (lmri)"/>
        <s v="certidao de vinculacao de imovel com unidade de conservacao da natureza"/>
        <s v="autorizacao para plantio voluntario de arvore em area publica"/>
        <s v="fiscalizacao de projetos e obras executados pela rio-urbe em unidades municipais"/>
        <s v="capacitacao em boas praticas e normas sanitarias para servicos veterinarios e de interesse a saude do animal"/>
        <s v="emissao de segunda via do certificado de vistoria - transporte complementar"/>
        <s v="projeto de arborizacao para enriquecimento floristico"/>
        <s v="transferencia de feira em feiras livres, feiras moveis e feirartes"/>
        <s v="informacoes sobre atendimentos pela assistencia social em situacoes de desastres"/>
        <s v="solicitacao de alteracao de ponto final de onibus"/>
        <s v="notificacao de irregularidades em contratos de empresas terceirizadas da secretaria de ordem publica"/>
        <s v="notificacao de irregularidades em contratos de empresas terceirizadas da secretaria de transportes"/>
        <s v="infracao ao codigo disciplinar de transporte de passageiros - baixa de recurso"/>
        <s v="emissao de taxas por permissao - transporte complementar"/>
        <s v="informacoes sobre o calendario oficial de eventos da cidade - rio o ano inteiro"/>
        <s v="funcionamento extraordinario ou em datas especiais em feiras livres, feiras moveis, feiras especiais e feirartes"/>
        <s v="servico de traducao e interpretacao em libras da central carioca de interpretes de libras (ccil)"/>
        <s v="programa empreenda.rio"/>
        <s v="ingresso ou baixa em cooperativa - transporte complementar"/>
        <s v="notificacao de irregularidades em contratos de empresas terceirizadas da fundacao parques e jardins"/>
        <s v="solicitacao de mudanca na localizacao de poste na calcada"/>
        <s v="vistoria extra para segunda via de selo - transporte complementar"/>
        <s v="certificado de isencao da aceitacao das condicoes de acessibilidade"/>
        <s v="notificacao de irregularidades em contratos de empresas terceirizadas da rio-aguas"/>
        <s v="baixa de permissao em feiras livres e feiras moveis"/>
        <s v="informacoes sobre incendio no parque nacional da tijuca"/>
        <s v="licenca de obra de instalacao de suporte etr's"/>
        <s v="solicitacao de desinterdicao em servicos veterinarios e de interesse a saude do animal"/>
        <s v="encerramento de contrato de trabalho para servidor celetista"/>
        <s v="autorizacao para ligacao de efluentes sanitarios"/>
        <s v="consulta a processos na secretaria municipal de cultura"/>
        <s v="informacoes sobre concurso para eleicao da corte real do carnaval"/>
        <s v="realizacao de necropsia em animais de medio e pequeno porte"/>
        <s v="notificacao de irregularidades em contratos de empresas terceirizadas da procuradoria geral do municipio"/>
        <s v="informacoes sobre o bioparque do rio"/>
        <s v="licenca para desmonte de rocha ou estabilizacao de encosta"/>
        <s v="cumprimento de exigencias do corpo de bombeiros, light e ceg em imoveis protegidos"/>
        <s v="informacoes sobre patrocinio em eventos esportivos"/>
        <s v="programa de dispensacao de tecnologia assistiva da sms (opm's)"/>
        <s v="informacoes sobre programa academia carioca da saude"/>
        <s v="notificacao de irregularidades em contratos de empresas terceirizadas do riocentro"/>
        <s v="agendamento de vistoria por permissao em taxi"/>
        <s v="inclusao e exclusao de tecnica artistica ou produto em feirartes"/>
        <s v="inscricao de chapa de eleicao para comissao de administracao de feirartes e representantes de feiras de ambulantes"/>
        <s v="notificacao de irregularidades em contratos de empresas terceirizadas da guarda municipal"/>
        <s v="informacoes sobre acoes para reassentamento"/>
        <s v="informacoes sobre custeio em projetos esportivos"/>
        <s v="notificacao de irregularidades em contratos de empresas terceirizadas da secretaria de infraestrutura"/>
        <s v="notificacao de irregularidades em contratos de empresas terceirizadas da controladoria geral do municipio"/>
        <s v="notificacao de irregularidades em contratos de empresas terceirizadas da fundacao cidade das artes"/>
        <s v="licenciamento de movimento de material terroso para fins de recuperacao de areas degradas por terraplanagem"/>
        <s v="notificacao de irregularidades em contratos de empresas terceirizadas da companhia municipal de transportes coletivos"/>
        <s v="declaracao de cota de greide"/>
        <s v="notificacao de irregularidades em contratos de empresas terceirizadas da riofilme"/>
        <s v="notificacao de irregularidades em contratos de empresas terceirizadas da secretaria municipal de desenvolvimento urbano e licenciamento"/>
        <s v="fiscalizacao de caca e/ou captura de animais silvestres"/>
        <s v="cadastramento de cotista para pensao alimenticia paga por servidor municipal"/>
        <s v="fiscalizacao de danos a arborizacao urbana"/>
        <s v="declaracao de isencao de reservatorio de retardo"/>
        <s v="notificacao de irregularidades em contratos de empresas terceirizadas da geo-rio"/>
        <s v="acompanhamento de processo na coordenadoria de feiras"/>
        <s v="informacoes sobre o conselho municipal de politica cultural"/>
        <s v="notificacao de irregularidades em contratos de empresas terceirizadas da secretaria de fazenda"/>
        <s v="consulta previa para emissao de relatorio de diretrizes territoriais (rdt)"/>
        <s v="notificacao de irregularidades em contratos de empresas terceirizadas da secretaria de conservacao"/>
        <s v="solicitacao de material de divulgacao de informacoes turisticas"/>
        <s v="informacoes sobre eventos nas salas de exibicao da riofilme"/>
        <s v="notificacao de irregularidades em contratos de empresas terceirizadas da rio-urbe"/>
        <s v="informacoes sobre o programa de fomento cultural - viva o talento"/>
        <s v="taxi.rio cidades - verificacao de comportamento de taxistas contra usuarios do aplicativo"/>
        <s v="vistoria para inclusao de veiculo - transporte complementar"/>
        <s v="navezinhas cariocas"/>
        <s v="notificacao de irregularidades em contratos de empresas terceirizadas da multirio"/>
        <s v="notificacao de irregularidades em contratos de empresas terceirizadas da secretaria de desenvolvimento economico"/>
        <s v="notificacao de irregularidades em contratos de empresas terceirizadas da secretaria especial de inclusao"/>
        <s v="notificacao de irregularidades em contratos de empresas terceirizadas da secretaria de politicas para mulheres e cuidados"/>
        <s v="requerimento de aprovacao de projeto geometrico viario"/>
        <s v="notificacao de irregularidades em contratos de empresas terceirizadas da secretaria de ciencia, tecnologia e inovacao"/>
        <s v="informacoes sobre a procuradoria de pessoal - ppe"/>
        <s v="notificacao de irregularidades em contratos de empresas terceirizadas da previ-rio"/>
        <s v="notificacao de irregularidades em contratos de empresas terceirizadas da secretaria da juventude carioca"/>
        <s v="notificacao de irregularidades em contratos de empresas terceirizadas da secretaria de integracao metropolitana"/>
        <s v="recurso de auto de infracao emitido pela rio-aguas"/>
        <s v="solicitacao de certidao de existencia de iluminacao publica"/>
        <s v="gerenciamento de operacoes dentro das unidades de conservacao e areas protegidas"/>
        <s v="informacoes turisticas sobre a cidade"/>
        <s v="notificacao de irregularidades em contratos de empresas terceirizadas da secretaria municipal de governo"/>
        <s v="solicitacao de atestado de capacidade tecnica rioluz"/>
        <s v="solicitacao de projetores, chaves de alimentacao e desligamento de iluminacao para eventos e filmagens em areas publicas"/>
        <s v="informacoes sobre o projeto coral atras da nota"/>
        <s v="informacoes sobre o uso de canudos de papel biodegradavel e/ou reciclavel"/>
        <s v="informacoes sobre a riofilme"/>
        <s v="informacoes sobre consulta tecnica sobre drenagem - audiencia com o engenheiro"/>
        <s v="naves satelites"/>
        <s v="prorrogacao do prazo de vistoria - transporte complementar"/>
        <s v="fiscalizacao de obras de drenagem sem autorizacao"/>
        <s v="solicitacao de certidao de inteiro teor (cit) da vigilancia sanitaria"/>
        <s v="analise de criacao, ajuste de itinerario ou perimetro do transporte comunitario"/>
        <s v="informacoes sobre a mostra de artesanato &quot;feira do servidor&quot;"/>
        <s v="solicitacao de atestado de fornecimento de material a rioluz"/>
        <s v="informacoes sobre o monitoramento do nivel da lagoa rodrigo de freitas"/>
        <s v="solicitacao de uso da logomarca da secretaria municipal de cultura"/>
        <s v="informacoes sobre a procuradoria trabalhista (pta)"/>
        <s v="requerimento de aprovacao de projeto estrutural de obras de arte especiais"/>
        <s v="analise e concessao do beneficio de gratuidade no transporte publico municipal para nao municipes - passe livre especial"/>
        <s v="analise, orientacao ou fiscalizacao de animais comunitarios"/>
        <s v="atendimento em centros especializados de reabilitacao auditiva"/>
        <s v="atendimento integral a saude do adulto (homem, mulher e pessoa idosa)"/>
        <s v="autorizacao para cooperativa e associacao de taxi/mototaxi - abertura de termo"/>
        <s v="cadastro de veterinarios na plataforma do registro geral de animais - sisbicho"/>
        <s v="cartao de identificacao de auxiliar de transportes - ciat"/>
        <s v="como andar pelo rio usando transporte publico"/>
        <s v="consulta de processos administrativos"/>
        <s v="emissao de guia de liquidacao de parcelamento de divida ativa"/>
        <s v="excluir - patrimonio - solicitacao de instalacao e manutencao de abrigo em ponto de onibus"/>
        <s v="fiscalizacao de cacamba particular, empresas e autonomos nao credenciados, veiculos nao permitidos e fora do padrao"/>
        <s v="fiscalizacao sanitaria de servicos veterinarios e de interesse a saude do animal"/>
        <s v="inclusao de aluno para acompanhamento escolar"/>
        <s v="informacoes sobre a procuradoria de atencao a saude (pas)"/>
        <s v="informacoes sobre a procuradoria de urbanismo e meio ambiente"/>
        <s v="informacoes sobre a procuradoria tributaria (ptr)"/>
        <s v="informacoes sobre bailes populares e baile da cinelandia"/>
        <s v="informacoes sobre concessao de autorizacao de matricula nova em feirartes"/>
        <s v="informacoes sobre juntada de documentos nos processos localizados na fiscalizacao ambiental"/>
        <s v="informacoes sobre o jae"/>
        <s v="informacoes sobre o programa de controle da hanseniase"/>
        <s v="informacoes sobre os produtos e projetos da multirio"/>
        <s v="informacoes sobre restaurantes populares"/>
        <s v="informacoes sobre transporte publico"/>
        <s v="informacoes sobre valores de servicos funerarios e recadastramento de jazigos"/>
        <s v="iptu - denuncia de imovel nao cadastrado no iptu ou com dados incorretos"/>
        <s v="iptu - informacao sobre reconhecimento de imunidade, isencao e nao incidencia"/>
        <s v="iss - baixa de autonomos estabelecidos - excluir"/>
        <s v="iss - baixa para autonomos estabelecidos"/>
        <s v="iss - cancelamento/substituicao de nf-e ou declaracao de servicos prestados/tomados."/>
        <s v="iss - emissao certidoes de situacao fiscal de iss de autonomos"/>
        <s v="iss - simples nacional - declaracao retida em malha fiscal pgdas-d"/>
        <s v="iss - certidao de situacao fiscal - eliminar"/>
        <s v="iss - parcelamento / reparcelamento de debito nao inscrito em divida ativa"/>
        <s v="iss - requerimento para apropriacao de guias do iss (exclusivo para codigo de receita 129.5)"/>
        <s v="iss - tributacao de sociedades uniprofissionais"/>
        <s v="itbi - consulta de protocolo/guia"/>
        <s v="itbi - correcao de dados da guia paga em folha suplementar"/>
        <s v="licenciamento de instalacoes de ar-condicionado central e de exaustao de cozinha industrial"/>
        <s v="manutencao/instalacao/remocao de abrigo de onibus com ou sem publicidade"/>
        <s v="nota carioca - consulta aos creditos e abatimento no iptu"/>
        <s v="nota carioca - desbloqueio de senha web"/>
        <s v="nota carioca - esclarecimento de duvidas e legislacao"/>
        <s v="notificacao de irregularidades trabalhistas em contratos de empresas terceirizadas da secretaria de saude"/>
        <s v="oportunidades cariocas"/>
        <s v="programa adote.rio"/>
        <s v="programa adote.rio (unidades de conservacao)"/>
        <s v="projeto de greide e galerias de aguas pluviais"/>
        <s v="questoes com alcool e drogas"/>
        <s v="recurso ao auto de multa da vigilancia sanitaria"/>
        <s v="renovacao da garantia contratual de vans (stpl)"/>
        <s v="ressarcimento de taxas de diarias e remocao de veiculo"/>
        <s v="solicitacao de autorizacao para rebaixamento de meio-fio"/>
        <s v="solicitacao de prorrogacao de prazo do termo de intimacao"/>
        <s v="solicitacoes de profissionais da imprensa para a assessoria de comunicacao da riotur"/>
        <s v="vistoria para permuta de veiculo - transporte complementar"/>
        <s v="vistoria tecnica em local onde ha maus tratos de animais domesticos"/>
      </sharedItems>
    </cacheField>
    <cacheField name="volume_sgrc_1_semestre" numFmtId="0">
      <sharedItems containsSemiMixedTypes="0" containsString="0" containsNumber="1" containsInteger="1" minValue="0" maxValue="100280" count="249">
        <n v="0"/>
        <n v="82982"/>
        <n v="374"/>
        <n v="100280"/>
        <n v="22"/>
        <n v="232"/>
        <n v="64306"/>
        <n v="230"/>
        <n v="61"/>
        <n v="43163"/>
        <n v="1349"/>
        <n v="17822"/>
        <n v="29468"/>
        <n v="871"/>
        <n v="235"/>
        <n v="133"/>
        <n v="535"/>
        <n v="15819"/>
        <n v="12247"/>
        <n v="2086"/>
        <n v="17648"/>
        <n v="84"/>
        <n v="2854"/>
        <n v="10383"/>
        <n v="12587"/>
        <n v="9690"/>
        <n v="224"/>
        <n v="451"/>
        <n v="4936"/>
        <n v="1603"/>
        <n v="355"/>
        <n v="12260"/>
        <n v="6414"/>
        <n v="1111"/>
        <n v="130"/>
        <n v="37"/>
        <n v="6787"/>
        <n v="204"/>
        <n v="255"/>
        <n v="223"/>
        <n v="4544"/>
        <n v="43"/>
        <n v="215"/>
        <n v="5370"/>
        <n v="381"/>
        <n v="4039"/>
        <n v="260"/>
        <n v="3997"/>
        <n v="20"/>
        <n v="14"/>
        <n v="815"/>
        <n v="75"/>
        <n v="126"/>
        <n v="27"/>
        <n v="2893"/>
        <n v="558"/>
        <n v="1079"/>
        <n v="8937"/>
        <n v="2342"/>
        <n v="1112"/>
        <n v="3212"/>
        <n v="589"/>
        <n v="1360"/>
        <n v="12"/>
        <n v="249"/>
        <n v="483"/>
        <n v="92"/>
        <n v="461"/>
        <n v="510"/>
        <n v="2510"/>
        <n v="1646"/>
        <n v="1811"/>
        <n v="1954"/>
        <n v="2680"/>
        <n v="693"/>
        <n v="2716"/>
        <n v="26"/>
        <n v="36"/>
        <n v="2246"/>
        <n v="534"/>
        <n v="619"/>
        <n v="29"/>
        <n v="136"/>
        <n v="1778"/>
        <n v="205"/>
        <n v="2445"/>
        <n v="307"/>
        <n v="116"/>
        <n v="62"/>
        <n v="914"/>
        <n v="247"/>
        <n v="78"/>
        <n v="25"/>
        <n v="1958"/>
        <n v="2861"/>
        <n v="681"/>
        <n v="1333"/>
        <n v="1"/>
        <n v="346"/>
        <n v="250"/>
        <n v="66"/>
        <n v="1306"/>
        <n v="1453"/>
        <n v="245"/>
        <n v="6"/>
        <n v="661"/>
        <n v="1017"/>
        <n v="929"/>
        <n v="560"/>
        <n v="402"/>
        <n v="16"/>
        <n v="1094"/>
        <n v="333"/>
        <n v="287"/>
        <n v="3"/>
        <n v="1035"/>
        <n v="3249"/>
        <n v="969"/>
        <n v="952"/>
        <n v="1027"/>
        <n v="33"/>
        <n v="59"/>
        <n v="10"/>
        <n v="228"/>
        <n v="2683"/>
        <n v="44"/>
        <n v="9"/>
        <n v="835"/>
        <n v="565"/>
        <n v="389"/>
        <n v="1096"/>
        <n v="13"/>
        <n v="45"/>
        <n v="24"/>
        <n v="23"/>
        <n v="47"/>
        <n v="199"/>
        <n v="50"/>
        <n v="165"/>
        <n v="146"/>
        <n v="194"/>
        <n v="102"/>
        <n v="152"/>
        <n v="15"/>
        <n v="85"/>
        <n v="1127"/>
        <n v="669"/>
        <n v="831"/>
        <n v="65"/>
        <n v="338"/>
        <n v="542"/>
        <n v="97"/>
        <n v="34"/>
        <n v="7"/>
        <n v="72"/>
        <n v="2"/>
        <n v="819"/>
        <n v="283"/>
        <n v="263"/>
        <n v="246"/>
        <n v="100"/>
        <n v="351"/>
        <n v="4"/>
        <n v="38"/>
        <n v="11"/>
        <n v="564"/>
        <n v="754"/>
        <n v="882"/>
        <n v="124"/>
        <n v="277"/>
        <n v="8"/>
        <n v="150"/>
        <n v="244"/>
        <n v="19"/>
        <n v="1116"/>
        <n v="77"/>
        <n v="174"/>
        <n v="626"/>
        <n v="261"/>
        <n v="5"/>
        <n v="32"/>
        <n v="149"/>
        <n v="201"/>
        <n v="397"/>
        <n v="21"/>
        <n v="386"/>
        <n v="49"/>
        <n v="178"/>
        <n v="87"/>
        <n v="17"/>
        <n v="331"/>
        <n v="64"/>
        <n v="267"/>
        <n v="387"/>
        <n v="41"/>
        <n v="145"/>
        <n v="125"/>
        <n v="113"/>
        <n v="63"/>
        <n v="284"/>
        <n v="233"/>
        <n v="594"/>
        <n v="202"/>
        <n v="175"/>
        <n v="329"/>
        <n v="18"/>
        <n v="142"/>
        <n v="110"/>
        <n v="189"/>
        <n v="127"/>
        <n v="83"/>
        <n v="117"/>
        <n v="236"/>
        <n v="58"/>
        <n v="134"/>
        <n v="444"/>
        <n v="400"/>
        <n v="28"/>
        <n v="210"/>
        <n v="35"/>
        <n v="363"/>
        <n v="234"/>
        <n v="109"/>
        <n v="55"/>
        <n v="99"/>
        <n v="177"/>
        <n v="57"/>
        <n v="56"/>
        <n v="30"/>
        <n v="81"/>
        <n v="151"/>
        <n v="115"/>
        <n v="40"/>
        <n v="31"/>
        <n v="203"/>
        <n v="108"/>
        <n v="54"/>
        <n v="51"/>
        <n v="95"/>
        <n v="39"/>
        <n v="46"/>
        <n v="48"/>
        <n v="112"/>
        <n v="8145"/>
        <n v="360"/>
        <n v="119"/>
        <n v="123"/>
        <n v="607"/>
        <n v="3472"/>
      </sharedItems>
    </cacheField>
    <cacheField name="volume_sgrc_2_semestre" numFmtId="0">
      <sharedItems containsSemiMixedTypes="0" containsString="0" containsNumber="1" containsInteger="1" minValue="0" maxValue="97164" count="239">
        <n v="0"/>
        <n v="43896"/>
        <n v="119"/>
        <n v="97164"/>
        <n v="16"/>
        <n v="311"/>
        <n v="73636"/>
        <n v="141"/>
        <n v="90"/>
        <n v="51974"/>
        <n v="1329"/>
        <n v="14547"/>
        <n v="21277"/>
        <n v="832"/>
        <n v="3574"/>
        <n v="188"/>
        <n v="125"/>
        <n v="357"/>
        <n v="17784"/>
        <n v="13150"/>
        <n v="2306"/>
        <n v="23182"/>
        <n v="88"/>
        <n v="1677"/>
        <n v="12104"/>
        <n v="13964"/>
        <n v="11321"/>
        <n v="263"/>
        <n v="294"/>
        <n v="6467"/>
        <n v="1599"/>
        <n v="69"/>
        <n v="13932"/>
        <n v="15162"/>
        <n v="649"/>
        <n v="111"/>
        <n v="74"/>
        <n v="9220"/>
        <n v="157"/>
        <n v="167"/>
        <n v="79"/>
        <n v="4734"/>
        <n v="15"/>
        <n v="149"/>
        <n v="8883"/>
        <n v="245"/>
        <n v="4229"/>
        <n v="151"/>
        <n v="5215"/>
        <n v="13"/>
        <n v="685"/>
        <n v="41"/>
        <n v="146"/>
        <n v="104"/>
        <n v="2670"/>
        <n v="600"/>
        <n v="830"/>
        <n v="6826"/>
        <n v="2900"/>
        <n v="1147"/>
        <n v="3843"/>
        <n v="882"/>
        <n v="1171"/>
        <n v="4"/>
        <n v="272"/>
        <n v="333"/>
        <n v="62"/>
        <n v="455"/>
        <n v="527"/>
        <n v="2512"/>
        <n v="1778"/>
        <n v="2888"/>
        <n v="2998"/>
        <n v="3805"/>
        <n v="3214"/>
        <n v="17"/>
        <n v="2795"/>
        <n v="638"/>
        <n v="1391"/>
        <n v="28"/>
        <n v="170"/>
        <n v="133"/>
        <n v="2567"/>
        <n v="2596"/>
        <n v="306"/>
        <n v="8"/>
        <n v="669"/>
        <n v="322"/>
        <n v="56"/>
        <n v="77"/>
        <n v="2362"/>
        <n v="2397"/>
        <n v="764"/>
        <n v="2066"/>
        <n v="308"/>
        <n v="198"/>
        <n v="64"/>
        <n v="1870"/>
        <n v="1228"/>
        <n v="200"/>
        <n v="7"/>
        <n v="688"/>
        <n v="908"/>
        <n v="1101"/>
        <n v="623"/>
        <n v="573"/>
        <n v="1051"/>
        <n v="18"/>
        <n v="130"/>
        <n v="160"/>
        <n v="1004"/>
        <n v="2706"/>
        <n v="976"/>
        <n v="1022"/>
        <n v="774"/>
        <n v="47"/>
        <n v="80"/>
        <n v="215"/>
        <n v="2809"/>
        <n v="51"/>
        <n v="11"/>
        <n v="32"/>
        <n v="856"/>
        <n v="588"/>
        <n v="399"/>
        <n v="737"/>
        <n v="25"/>
        <n v="116"/>
        <n v="54"/>
        <n v="14"/>
        <n v="257"/>
        <n v="348"/>
        <n v="101"/>
        <n v="10"/>
        <n v="83"/>
        <n v="900"/>
        <n v="483"/>
        <n v="1029"/>
        <n v="1"/>
        <n v="569"/>
        <n v="572"/>
        <n v="108"/>
        <n v="19"/>
        <n v="5"/>
        <n v="150"/>
        <n v="3"/>
        <n v="21"/>
        <n v="1058"/>
        <n v="313"/>
        <n v="221"/>
        <n v="199"/>
        <n v="115"/>
        <n v="2"/>
        <n v="39"/>
        <n v="52"/>
        <n v="619"/>
        <n v="42"/>
        <n v="652"/>
        <n v="1163"/>
        <n v="211"/>
        <n v="220"/>
        <n v="50"/>
        <n v="244"/>
        <n v="197"/>
        <n v="981"/>
        <n v="68"/>
        <n v="45"/>
        <n v="232"/>
        <n v="657"/>
        <n v="319"/>
        <n v="172"/>
        <n v="231"/>
        <n v="598"/>
        <n v="26"/>
        <n v="43"/>
        <n v="144"/>
        <n v="438"/>
        <n v="9"/>
        <n v="27"/>
        <n v="12"/>
        <n v="332"/>
        <n v="223"/>
        <n v="91"/>
        <n v="20"/>
        <n v="291"/>
        <n v="372"/>
        <n v="174"/>
        <n v="132"/>
        <n v="35"/>
        <n v="92"/>
        <n v="94"/>
        <n v="6"/>
        <n v="37"/>
        <n v="173"/>
        <n v="248"/>
        <n v="725"/>
        <n v="209"/>
        <n v="137"/>
        <n v="420"/>
        <n v="76"/>
        <n v="84"/>
        <n v="85"/>
        <n v="106"/>
        <n v="66"/>
        <n v="33"/>
        <n v="568"/>
        <n v="207"/>
        <n v="75"/>
        <n v="326"/>
        <n v="139"/>
        <n v="30"/>
        <n v="53"/>
        <n v="180"/>
        <n v="345"/>
        <n v="168"/>
        <n v="38"/>
        <n v="145"/>
        <n v="126"/>
        <n v="23"/>
        <n v="512"/>
        <n v="48"/>
        <n v="34"/>
        <n v="237"/>
        <n v="46"/>
        <n v="98"/>
        <n v="24"/>
        <n v="140"/>
        <n v="31"/>
        <n v="60"/>
        <n v="44"/>
        <n v="22"/>
        <n v="103"/>
        <n v="1575"/>
        <n v="474"/>
        <n v="70"/>
        <n v="102"/>
        <n v="138"/>
        <n v="63"/>
        <n v="3343"/>
      </sharedItems>
    </cacheField>
    <cacheField name="Volume total chamados (SGRC) " numFmtId="0">
      <sharedItems containsSemiMixedTypes="0" containsString="0" containsNumber="1" containsInteger="1" minValue="0" maxValue="197444" count="292">
        <n v="0"/>
        <n v="126878"/>
        <n v="493"/>
        <n v="197444"/>
        <n v="38"/>
        <n v="543"/>
        <n v="137942"/>
        <n v="371"/>
        <n v="151"/>
        <n v="95137"/>
        <n v="2678"/>
        <n v="32369"/>
        <n v="50745"/>
        <n v="1703"/>
        <n v="3574"/>
        <n v="423"/>
        <n v="258"/>
        <n v="892"/>
        <n v="33603"/>
        <n v="25397"/>
        <n v="4392"/>
        <n v="40830"/>
        <n v="172"/>
        <n v="4531"/>
        <n v="22487"/>
        <n v="26551"/>
        <n v="21011"/>
        <n v="487"/>
        <n v="745"/>
        <n v="11403"/>
        <n v="3202"/>
        <n v="424"/>
        <n v="26192"/>
        <n v="21576"/>
        <n v="1760"/>
        <n v="241"/>
        <n v="111"/>
        <n v="16007"/>
        <n v="361"/>
        <n v="422"/>
        <n v="302"/>
        <n v="9278"/>
        <n v="58"/>
        <n v="364"/>
        <n v="14253"/>
        <n v="626"/>
        <n v="8268"/>
        <n v="411"/>
        <n v="9212"/>
        <n v="33"/>
        <n v="27"/>
        <n v="1500"/>
        <n v="116"/>
        <n v="272"/>
        <n v="131"/>
        <n v="5563"/>
        <n v="1158"/>
        <n v="1909"/>
        <n v="15763"/>
        <n v="5242"/>
        <n v="2259"/>
        <n v="7055"/>
        <n v="1471"/>
        <n v="2531"/>
        <n v="16"/>
        <n v="521"/>
        <n v="816"/>
        <n v="154"/>
        <n v="916"/>
        <n v="1037"/>
        <n v="5022"/>
        <n v="3424"/>
        <n v="4699"/>
        <n v="4952"/>
        <n v="6485"/>
        <n v="1378"/>
        <n v="5930"/>
        <n v="41"/>
        <n v="53"/>
        <n v="5041"/>
        <n v="1172"/>
        <n v="2010"/>
        <n v="57"/>
        <n v="306"/>
        <n v="217"/>
        <n v="4345"/>
        <n v="324"/>
        <n v="613"/>
        <n v="190"/>
        <n v="70"/>
        <n v="1583"/>
        <n v="569"/>
        <n v="134"/>
        <n v="102"/>
        <n v="4320"/>
        <n v="5258"/>
        <n v="1445"/>
        <n v="3399"/>
        <n v="1"/>
        <n v="654"/>
        <n v="448"/>
        <n v="130"/>
        <n v="3176"/>
        <n v="2681"/>
        <n v="445"/>
        <n v="13"/>
        <n v="1349"/>
        <n v="1925"/>
        <n v="2030"/>
        <n v="1183"/>
        <n v="975"/>
        <n v="31"/>
        <n v="2145"/>
        <n v="55"/>
        <n v="463"/>
        <n v="447"/>
        <n v="11"/>
        <n v="2039"/>
        <n v="5955"/>
        <n v="1945"/>
        <n v="1974"/>
        <n v="1801"/>
        <n v="80"/>
        <n v="139"/>
        <n v="17"/>
        <n v="443"/>
        <n v="5492"/>
        <n v="95"/>
        <n v="77"/>
        <n v="1691"/>
        <n v="1153"/>
        <n v="788"/>
        <n v="1833"/>
        <n v="37"/>
        <n v="397"/>
        <n v="7"/>
        <n v="104"/>
        <n v="276"/>
        <n v="39"/>
        <n v="403"/>
        <n v="542"/>
        <n v="29"/>
        <n v="203"/>
        <n v="214"/>
        <n v="25"/>
        <n v="168"/>
        <n v="2027"/>
        <n v="275"/>
        <n v="1152"/>
        <n v="1860"/>
        <n v="2"/>
        <n v="907"/>
        <n v="1114"/>
        <n v="205"/>
        <n v="4"/>
        <n v="12"/>
        <n v="222"/>
        <n v="5"/>
        <n v="44"/>
        <n v="1877"/>
        <n v="596"/>
        <n v="484"/>
        <n v="215"/>
        <n v="10"/>
        <n v="3"/>
        <n v="8"/>
        <n v="15"/>
        <n v="42"/>
        <n v="750"/>
        <n v="21"/>
        <n v="84"/>
        <n v="90"/>
        <n v="26"/>
        <n v="28"/>
        <n v="79"/>
        <n v="1406"/>
        <n v="2045"/>
        <n v="83"/>
        <n v="257"/>
        <n v="488"/>
        <n v="370"/>
        <n v="86"/>
        <n v="51"/>
        <n v="362"/>
        <n v="2097"/>
        <n v="145"/>
        <n v="20"/>
        <n v="117"/>
        <n v="43"/>
        <n v="406"/>
        <n v="1283"/>
        <n v="580"/>
        <n v="9"/>
        <n v="71"/>
        <n v="321"/>
        <n v="432"/>
        <n v="995"/>
        <n v="47"/>
        <n v="601"/>
        <n v="92"/>
        <n v="322"/>
        <n v="682"/>
        <n v="114"/>
        <n v="554"/>
        <n v="155"/>
        <n v="46"/>
        <n v="558"/>
        <n v="22"/>
        <n v="14"/>
        <n v="759"/>
        <n v="193"/>
        <n v="66"/>
        <n v="6"/>
        <n v="23"/>
        <n v="277"/>
        <n v="64"/>
        <n v="229"/>
        <n v="244"/>
        <n v="207"/>
        <n v="75"/>
        <n v="323"/>
        <n v="171"/>
        <n v="532"/>
        <n v="481"/>
        <n v="1319"/>
        <n v="312"/>
        <n v="749"/>
        <n v="226"/>
        <n v="195"/>
        <n v="305"/>
        <n v="326"/>
        <n v="251"/>
        <n v="149"/>
        <n v="284"/>
        <n v="434"/>
        <n v="125"/>
        <n v="19"/>
        <n v="91"/>
        <n v="249"/>
        <n v="1012"/>
        <n v="772"/>
        <n v="417"/>
        <n v="158"/>
        <n v="689"/>
        <n v="201"/>
        <n v="252"/>
        <n v="30"/>
        <n v="35"/>
        <n v="50"/>
        <n v="181"/>
        <n v="109"/>
        <n v="279"/>
        <n v="522"/>
        <n v="141"/>
        <n v="412"/>
        <n v="94"/>
        <n v="299"/>
        <n v="259"/>
        <n v="162"/>
        <n v="61"/>
        <n v="614"/>
        <n v="219"/>
        <n v="119"/>
        <n v="62"/>
        <n v="59"/>
        <n v="54"/>
        <n v="367"/>
        <n v="227"/>
        <n v="60"/>
        <n v="440"/>
        <n v="40"/>
        <n v="63"/>
        <n v="150"/>
        <n v="65"/>
        <n v="161"/>
        <n v="235"/>
        <n v="73"/>
        <n v="49"/>
        <n v="185"/>
        <n v="81"/>
        <n v="87"/>
        <n v="18"/>
        <n v="9720"/>
        <n v="69"/>
        <n v="113"/>
        <n v="834"/>
        <n v="142"/>
        <n v="32"/>
        <n v="221"/>
        <n v="280"/>
        <n v="146"/>
        <n v="6815"/>
      </sharedItems>
    </cacheField>
    <cacheField name="volume_carioca_1_semestre" numFmtId="0">
      <sharedItems containsSemiMixedTypes="0" containsString="0" containsNumber="1" containsInteger="1" minValue="0" maxValue="767011" count="494">
        <n v="386948"/>
        <n v="0"/>
        <n v="767011"/>
        <n v="479107"/>
        <n v="423557"/>
        <n v="316304"/>
        <n v="226170"/>
        <n v="5298"/>
        <n v="130700"/>
        <n v="145323"/>
        <n v="155950"/>
        <n v="146859"/>
        <n v="94871"/>
        <n v="96813"/>
        <n v="91243"/>
        <n v="83663"/>
        <n v="1725"/>
        <n v="93250"/>
        <n v="61741"/>
        <n v="57614"/>
        <n v="52795"/>
        <n v="37761"/>
        <n v="17472"/>
        <n v="556"/>
        <n v="51014"/>
        <n v="46077"/>
        <n v="33686"/>
        <n v="30956"/>
        <n v="38551"/>
        <n v="48638"/>
        <n v="31014"/>
        <n v="24923"/>
        <n v="41351"/>
        <n v="152"/>
        <n v="28854"/>
        <n v="27754"/>
        <n v="1203"/>
        <n v="787"/>
        <n v="6223"/>
        <n v="21"/>
        <n v="2711"/>
        <n v="20053"/>
        <n v="29291"/>
        <n v="16058"/>
        <n v="3732"/>
        <n v="6360"/>
        <n v="16123"/>
        <n v="24316"/>
        <n v="15669"/>
        <n v="16302"/>
        <n v="17580"/>
        <n v="20101"/>
        <n v="17634"/>
        <n v="17540"/>
        <n v="9978"/>
        <n v="275"/>
        <n v="11534"/>
        <n v="16573"/>
        <n v="13093"/>
        <n v="17130"/>
        <n v="3218"/>
        <n v="14336"/>
        <n v="14250"/>
        <n v="13369"/>
        <n v="16079"/>
        <n v="11746"/>
        <n v="61"/>
        <n v="13920"/>
        <n v="421"/>
        <n v="13422"/>
        <n v="6627"/>
        <n v="8"/>
        <n v="12706"/>
        <n v="9558"/>
        <n v="10519"/>
        <n v="13912"/>
        <n v="10432"/>
        <n v="13582"/>
        <n v="11779"/>
        <n v="9812"/>
        <n v="9215"/>
        <n v="8970"/>
        <n v="9334"/>
        <n v="9123"/>
        <n v="697"/>
        <n v="5238"/>
        <n v="6594"/>
        <n v="366"/>
        <n v="1031"/>
        <n v="8946"/>
        <n v="538"/>
        <n v="7874"/>
        <n v="7374"/>
        <n v="6146"/>
        <n v="7742"/>
        <n v="4011"/>
        <n v="6622"/>
        <n v="7086"/>
        <n v="1524"/>
        <n v="305"/>
        <n v="6138"/>
        <n v="441"/>
        <n v="84"/>
        <n v="1467"/>
        <n v="5061"/>
        <n v="6392"/>
        <n v="4823"/>
        <n v="4698"/>
        <n v="981"/>
        <n v="4968"/>
        <n v="233"/>
        <n v="5636"/>
        <n v="1832"/>
        <n v="3621"/>
        <n v="5329"/>
        <n v="5424"/>
        <n v="1375"/>
        <n v="3827"/>
        <n v="7519"/>
        <n v="3963"/>
        <n v="4346"/>
        <n v="4992"/>
        <n v="4755"/>
        <n v="229"/>
        <n v="4507"/>
        <n v="2729"/>
        <n v="4372"/>
        <n v="542"/>
        <n v="4390"/>
        <n v="331"/>
        <n v="4383"/>
        <n v="3862"/>
        <n v="526"/>
        <n v="4199"/>
        <n v="114"/>
        <n v="2727"/>
        <n v="3580"/>
        <n v="4288"/>
        <n v="129"/>
        <n v="2966"/>
        <n v="3133"/>
        <n v="6108"/>
        <n v="4237"/>
        <n v="3882"/>
        <n v="164"/>
        <n v="2653"/>
        <n v="468"/>
        <n v="56"/>
        <n v="2773"/>
        <n v="1256"/>
        <n v="3947"/>
        <n v="3634"/>
        <n v="597"/>
        <n v="3263"/>
        <n v="3318"/>
        <n v="3716"/>
        <n v="1608"/>
        <n v="3002"/>
        <n v="3104"/>
        <n v="2204"/>
        <n v="1804"/>
        <n v="2805"/>
        <n v="2882"/>
        <n v="2906"/>
        <n v="2372"/>
        <n v="2380"/>
        <n v="2855"/>
        <n v="2765"/>
        <n v="2551"/>
        <n v="2131"/>
        <n v="2826"/>
        <n v="168"/>
        <n v="553"/>
        <n v="3543"/>
        <n v="2567"/>
        <n v="491"/>
        <n v="1855"/>
        <n v="2160"/>
        <n v="2442"/>
        <n v="2213"/>
        <n v="1853"/>
        <n v="1978"/>
        <n v="513"/>
        <n v="2485"/>
        <n v="925"/>
        <n v="2133"/>
        <n v="2083"/>
        <n v="27"/>
        <n v="2278"/>
        <n v="2117"/>
        <n v="2221"/>
        <n v="2332"/>
        <n v="2360"/>
        <n v="472"/>
        <n v="1981"/>
        <n v="537"/>
        <n v="335"/>
        <n v="25"/>
        <n v="1004"/>
        <n v="862"/>
        <n v="1935"/>
        <n v="1709"/>
        <n v="1556"/>
        <n v="2312"/>
        <n v="1904"/>
        <n v="2362"/>
        <n v="2347"/>
        <n v="2115"/>
        <n v="1679"/>
        <n v="1895"/>
        <n v="1699"/>
        <n v="1760"/>
        <n v="1247"/>
        <n v="2101"/>
        <n v="1615"/>
        <n v="1786"/>
        <n v="2091"/>
        <n v="2217"/>
        <n v="1961"/>
        <n v="1746"/>
        <n v="477"/>
        <n v="1971"/>
        <n v="166"/>
        <n v="529"/>
        <n v="1860"/>
        <n v="2501"/>
        <n v="1568"/>
        <n v="1565"/>
        <n v="1742"/>
        <n v="1695"/>
        <n v="855"/>
        <n v="1730"/>
        <n v="1689"/>
        <n v="1660"/>
        <n v="1452"/>
        <n v="676"/>
        <n v="1369"/>
        <n v="1023"/>
        <n v="1431"/>
        <n v="29"/>
        <n v="1569"/>
        <n v="1168"/>
        <n v="1451"/>
        <n v="1217"/>
        <n v="1617"/>
        <n v="253"/>
        <n v="167"/>
        <n v="1627"/>
        <n v="1458"/>
        <n v="199"/>
        <n v="874"/>
        <n v="1463"/>
        <n v="1885"/>
        <n v="1545"/>
        <n v="1232"/>
        <n v="1261"/>
        <n v="489"/>
        <n v="1493"/>
        <n v="1285"/>
        <n v="120"/>
        <n v="1829"/>
        <n v="1492"/>
        <n v="1300"/>
        <n v="77"/>
        <n v="1305"/>
        <n v="1269"/>
        <n v="1132"/>
        <n v="1113"/>
        <n v="1197"/>
        <n v="1183"/>
        <n v="1379"/>
        <n v="1035"/>
        <n v="171"/>
        <n v="2150"/>
        <n v="225"/>
        <n v="1202"/>
        <n v="106"/>
        <n v="1234"/>
        <n v="1200"/>
        <n v="904"/>
        <n v="1399"/>
        <n v="1093"/>
        <n v="757"/>
        <n v="1088"/>
        <n v="212"/>
        <n v="980"/>
        <n v="870"/>
        <n v="779"/>
        <n v="584"/>
        <n v="910"/>
        <n v="39"/>
        <n v="231"/>
        <n v="216"/>
        <n v="940"/>
        <n v="729"/>
        <n v="57"/>
        <n v="1129"/>
        <n v="1045"/>
        <n v="480"/>
        <n v="1030"/>
        <n v="1018"/>
        <n v="685"/>
        <n v="658"/>
        <n v="285"/>
        <n v="674"/>
        <n v="842"/>
        <n v="616"/>
        <n v="448"/>
        <n v="42"/>
        <n v="47"/>
        <n v="59"/>
        <n v="712"/>
        <n v="590"/>
        <n v="736"/>
        <n v="766"/>
        <n v="20"/>
        <n v="619"/>
        <n v="706"/>
        <n v="657"/>
        <n v="532"/>
        <n v="713"/>
        <n v="546"/>
        <n v="48"/>
        <n v="140"/>
        <n v="469"/>
        <n v="586"/>
        <n v="772"/>
        <n v="714"/>
        <n v="670"/>
        <n v="289"/>
        <n v="237"/>
        <n v="632"/>
        <n v="73"/>
        <n v="512"/>
        <n v="15"/>
        <n v="452"/>
        <n v="12"/>
        <n v="642"/>
        <n v="725"/>
        <n v="386"/>
        <n v="26"/>
        <n v="319"/>
        <n v="587"/>
        <n v="628"/>
        <n v="460"/>
        <n v="50"/>
        <n v="591"/>
        <n v="604"/>
        <n v="524"/>
        <n v="519"/>
        <n v="531"/>
        <n v="351"/>
        <n v="544"/>
        <n v="16"/>
        <n v="575"/>
        <n v="408"/>
        <n v="256"/>
        <n v="1"/>
        <n v="162"/>
        <n v="492"/>
        <n v="356"/>
        <n v="65"/>
        <n v="461"/>
        <n v="368"/>
        <n v="388"/>
        <n v="465"/>
        <n v="429"/>
        <n v="207"/>
        <n v="394"/>
        <n v="432"/>
        <n v="270"/>
        <n v="279"/>
        <n v="317"/>
        <n v="475"/>
        <n v="320"/>
        <n v="332"/>
        <n v="458"/>
        <n v="295"/>
        <n v="299"/>
        <n v="227"/>
        <n v="130"/>
        <n v="86"/>
        <n v="163"/>
        <n v="281"/>
        <n v="45"/>
        <n v="390"/>
        <n v="304"/>
        <n v="290"/>
        <n v="63"/>
        <n v="371"/>
        <n v="339"/>
        <n v="135"/>
        <n v="328"/>
        <n v="267"/>
        <n v="298"/>
        <n v="263"/>
        <n v="284"/>
        <n v="288"/>
        <n v="269"/>
        <n v="247"/>
        <n v="310"/>
        <n v="246"/>
        <n v="358"/>
        <n v="219"/>
        <n v="165"/>
        <n v="183"/>
        <n v="245"/>
        <n v="264"/>
        <n v="177"/>
        <n v="249"/>
        <n v="217"/>
        <n v="204"/>
        <n v="180"/>
        <n v="208"/>
        <n v="157"/>
        <n v="17"/>
        <n v="209"/>
        <n v="150"/>
        <n v="198"/>
        <n v="66"/>
        <n v="103"/>
        <n v="154"/>
        <n v="153"/>
        <n v="93"/>
        <n v="142"/>
        <n v="52"/>
        <n v="51"/>
        <n v="143"/>
        <n v="161"/>
        <n v="156"/>
        <n v="144"/>
        <n v="125"/>
        <n v="134"/>
        <n v="149"/>
        <n v="131"/>
        <n v="62"/>
        <n v="132"/>
        <n v="138"/>
        <n v="109"/>
        <n v="127"/>
        <n v="122"/>
        <n v="139"/>
        <n v="37"/>
        <n v="113"/>
        <n v="43"/>
        <n v="33"/>
        <n v="107"/>
        <n v="88"/>
        <n v="90"/>
        <n v="146"/>
        <n v="117"/>
        <n v="97"/>
        <n v="101"/>
        <n v="30"/>
        <n v="85"/>
        <n v="87"/>
        <n v="79"/>
        <n v="74"/>
        <n v="70"/>
        <n v="81"/>
        <n v="64"/>
        <n v="18"/>
        <n v="32"/>
        <n v="67"/>
        <n v="5"/>
        <n v="68"/>
        <n v="69"/>
        <n v="35"/>
        <n v="36"/>
        <n v="31"/>
        <n v="9853"/>
        <n v="175"/>
        <n v="23"/>
        <n v="4779"/>
        <n v="1887"/>
        <n v="136"/>
        <n v="191"/>
        <n v="5155"/>
        <n v="745"/>
        <n v="57210"/>
        <n v="2515"/>
        <n v="21749"/>
        <n v="11067"/>
        <n v="5768"/>
        <n v="4061"/>
        <n v="78051"/>
        <n v="1481"/>
        <n v="195"/>
        <n v="10446"/>
        <n v="3060"/>
        <n v="254"/>
        <n v="223"/>
        <n v="505"/>
        <n v="22"/>
      </sharedItems>
    </cacheField>
    <cacheField name="volume_carioca_2_semestre" numFmtId="0">
      <sharedItems containsSemiMixedTypes="0" containsString="0" containsNumber="1" containsInteger="1" minValue="0" maxValue="1965144" count="646">
        <n v="1965144"/>
        <n v="1829147"/>
        <n v="739188"/>
        <n v="420456"/>
        <n v="79774"/>
        <n v="52210"/>
        <n v="137218"/>
        <n v="217832"/>
        <n v="4208"/>
        <n v="343586"/>
        <n v="196556"/>
        <n v="158206"/>
        <n v="148921"/>
        <n v="252278"/>
        <n v="89010"/>
        <n v="8644"/>
        <n v="99827"/>
        <n v="87379"/>
        <n v="89937"/>
        <n v="94608"/>
        <n v="1908"/>
        <n v="69742"/>
        <n v="78547"/>
        <n v="137696"/>
        <n v="76873"/>
        <n v="80824"/>
        <n v="31609"/>
        <n v="10992"/>
        <n v="754"/>
        <n v="99981"/>
        <n v="39484"/>
        <n v="39787"/>
        <n v="74731"/>
        <n v="49068"/>
        <n v="28843"/>
        <n v="26674"/>
        <n v="14095"/>
        <n v="30603"/>
        <n v="25823"/>
        <n v="17104"/>
        <n v="203"/>
        <n v="27798"/>
        <n v="24646"/>
        <n v="1038"/>
        <n v="974"/>
        <n v="113"/>
        <n v="46108"/>
        <n v="7710"/>
        <n v="24"/>
        <n v="717"/>
        <n v="1205"/>
        <n v="12745"/>
        <n v="9908"/>
        <n v="22655"/>
        <n v="36469"/>
        <n v="4477"/>
        <n v="25803"/>
        <n v="21239"/>
        <n v="12041"/>
        <n v="35786"/>
        <n v="32699"/>
        <n v="19381"/>
        <n v="18668"/>
        <n v="17345"/>
        <n v="238"/>
        <n v="219"/>
        <n v="8415"/>
        <n v="14452"/>
        <n v="12402"/>
        <n v="17382"/>
        <n v="430"/>
        <n v="0"/>
        <n v="18802"/>
        <n v="13643"/>
        <n v="16809"/>
        <n v="28182"/>
        <n v="10667"/>
        <n v="2442"/>
        <n v="13967"/>
        <n v="13654"/>
        <n v="14225"/>
        <n v="9806"/>
        <n v="14139"/>
        <n v="24973"/>
        <n v="23791"/>
        <n v="268"/>
        <n v="8131"/>
        <n v="343"/>
        <n v="10102"/>
        <n v="16672"/>
        <n v="17"/>
        <n v="9694"/>
        <n v="12684"/>
        <n v="11311"/>
        <n v="6965"/>
        <n v="10771"/>
        <n v="7158"/>
        <n v="8398"/>
        <n v="18877"/>
        <n v="9811"/>
        <n v="10251"/>
        <n v="9593"/>
        <n v="9194"/>
        <n v="8493"/>
        <n v="535"/>
        <n v="7649"/>
        <n v="9960"/>
        <n v="261"/>
        <n v="903"/>
        <n v="2024"/>
        <n v="6779"/>
        <n v="362"/>
        <n v="628"/>
        <n v="277"/>
        <n v="15247"/>
        <n v="7006"/>
        <n v="6590"/>
        <n v="8690"/>
        <n v="6841"/>
        <n v="8015"/>
        <n v="7528"/>
        <n v="12330"/>
        <n v="6093"/>
        <n v="2872"/>
        <n v="307"/>
        <n v="1405"/>
        <n v="6340"/>
        <n v="240"/>
        <n v="81"/>
        <n v="1368"/>
        <n v="6195"/>
        <n v="4698"/>
        <n v="5806"/>
        <n v="1501"/>
        <n v="5606"/>
        <n v="438"/>
        <n v="4836"/>
        <n v="220"/>
        <n v="4542"/>
        <n v="1612"/>
        <n v="4303"/>
        <n v="5952"/>
        <n v="3481"/>
        <n v="3845"/>
        <n v="508"/>
        <n v="8589"/>
        <n v="9705"/>
        <n v="844"/>
        <n v="3736"/>
        <n v="8907"/>
        <n v="1716"/>
        <n v="713"/>
        <n v="3488"/>
        <n v="4343"/>
        <n v="4177"/>
        <n v="4541"/>
        <n v="278"/>
        <n v="4513"/>
        <n v="198"/>
        <n v="2692"/>
        <n v="8791"/>
        <n v="4406"/>
        <n v="554"/>
        <n v="3853"/>
        <n v="269"/>
        <n v="3829"/>
        <n v="3346"/>
        <n v="639"/>
        <n v="3786"/>
        <n v="83"/>
        <n v="4341"/>
        <n v="4169"/>
        <n v="3380"/>
        <n v="4493"/>
        <n v="4288"/>
        <n v="7317"/>
        <n v="868"/>
        <n v="2945"/>
        <n v="3219"/>
        <n v="79"/>
        <n v="2006"/>
        <n v="1654"/>
        <n v="78"/>
        <n v="3939"/>
        <n v="615"/>
        <n v="2244"/>
        <n v="2695"/>
        <n v="520"/>
        <n v="3252"/>
        <n v="225"/>
        <n v="3122"/>
        <n v="6415"/>
        <n v="2620"/>
        <n v="293"/>
        <n v="5879"/>
        <n v="1860"/>
        <n v="2780"/>
        <n v="2685"/>
        <n v="3852"/>
        <n v="2788"/>
        <n v="2588"/>
        <n v="2237"/>
        <n v="2931"/>
        <n v="2304"/>
        <n v="2318"/>
        <n v="2394"/>
        <n v="2572"/>
        <n v="2948"/>
        <n v="4847"/>
        <n v="2140"/>
        <n v="202"/>
        <n v="661"/>
        <n v="1330"/>
        <n v="2226"/>
        <n v="233"/>
        <n v="1776"/>
        <n v="2405"/>
        <n v="1476"/>
        <n v="2181"/>
        <n v="2687"/>
        <n v="1475"/>
        <n v="4453"/>
        <n v="4287"/>
        <n v="504"/>
        <n v="3426"/>
        <n v="1"/>
        <n v="2220"/>
        <n v="84"/>
        <n v="1975"/>
        <n v="3356"/>
        <n v="2023"/>
        <n v="1552"/>
        <n v="1691"/>
        <n v="1658"/>
        <n v="617"/>
        <n v="1934"/>
        <n v="463"/>
        <n v="215"/>
        <n v="44"/>
        <n v="1091"/>
        <n v="3683"/>
        <n v="38"/>
        <n v="1759"/>
        <n v="51"/>
        <n v="1947"/>
        <n v="2099"/>
        <n v="1334"/>
        <n v="3203"/>
        <n v="1675"/>
        <n v="1203"/>
        <n v="3378"/>
        <n v="1321"/>
        <n v="1847"/>
        <n v="1424"/>
        <n v="1788"/>
        <n v="1715"/>
        <n v="1655"/>
        <n v="1369"/>
        <n v="1560"/>
        <n v="1570"/>
        <n v="1262"/>
        <n v="1120"/>
        <n v="1376"/>
        <n v="1344"/>
        <n v="104"/>
        <n v="1279"/>
        <n v="1311"/>
        <n v="681"/>
        <n v="274"/>
        <n v="421"/>
        <n v="469"/>
        <n v="1285"/>
        <n v="583"/>
        <n v="1509"/>
        <n v="1449"/>
        <n v="3048"/>
        <n v="1276"/>
        <n v="1349"/>
        <n v="1595"/>
        <n v="1233"/>
        <n v="1310"/>
        <n v="2973"/>
        <n v="703"/>
        <n v="1283"/>
        <n v="953"/>
        <n v="2716"/>
        <n v="1796"/>
        <n v="2166"/>
        <n v="1477"/>
        <n v="1640"/>
        <n v="536"/>
        <n v="1254"/>
        <n v="181"/>
        <n v="26"/>
        <n v="1052"/>
        <n v="1338"/>
        <n v="779"/>
        <n v="1158"/>
        <n v="183"/>
        <n v="279"/>
        <n v="1087"/>
        <n v="2712"/>
        <n v="1226"/>
        <n v="719"/>
        <n v="160"/>
        <n v="803"/>
        <n v="1127"/>
        <n v="154"/>
        <n v="742"/>
        <n v="1071"/>
        <n v="1372"/>
        <n v="2200"/>
        <n v="1017"/>
        <n v="733"/>
        <n v="991"/>
        <n v="1065"/>
        <n v="2427"/>
        <n v="41"/>
        <n v="565"/>
        <n v="859"/>
        <n v="139"/>
        <n v="31"/>
        <n v="1018"/>
        <n v="975"/>
        <n v="2270"/>
        <n v="1144"/>
        <n v="1053"/>
        <n v="1060"/>
        <n v="826"/>
        <n v="88"/>
        <n v="168"/>
        <n v="933"/>
        <n v="184"/>
        <n v="867"/>
        <n v="1121"/>
        <n v="548"/>
        <n v="546"/>
        <n v="830"/>
        <n v="1210"/>
        <n v="543"/>
        <n v="842"/>
        <n v="1576"/>
        <n v="1169"/>
        <n v="823"/>
        <n v="1737"/>
        <n v="841"/>
        <n v="1703"/>
        <n v="943"/>
        <n v="1011"/>
        <n v="352"/>
        <n v="862"/>
        <n v="27"/>
        <n v="284"/>
        <n v="704"/>
        <n v="809"/>
        <n v="36"/>
        <n v="640"/>
        <n v="1683"/>
        <n v="879"/>
        <n v="572"/>
        <n v="1593"/>
        <n v="573"/>
        <n v="135"/>
        <n v="1378"/>
        <n v="459"/>
        <n v="824"/>
        <n v="590"/>
        <n v="1521"/>
        <n v="678"/>
        <n v="874"/>
        <n v="1460"/>
        <n v="333"/>
        <n v="54"/>
        <n v="1037"/>
        <n v="166"/>
        <n v="726"/>
        <n v="73"/>
        <n v="607"/>
        <n v="1396"/>
        <n v="433"/>
        <n v="563"/>
        <n v="125"/>
        <n v="751"/>
        <n v="644"/>
        <n v="586"/>
        <n v="492"/>
        <n v="584"/>
        <n v="1129"/>
        <n v="402"/>
        <n v="731"/>
        <n v="37"/>
        <n v="115"/>
        <n v="127"/>
        <n v="456"/>
        <n v="670"/>
        <n v="1250"/>
        <n v="465"/>
        <n v="529"/>
        <n v="1005"/>
        <n v="557"/>
        <n v="405"/>
        <n v="971"/>
        <n v="396"/>
        <n v="63"/>
        <n v="62"/>
        <n v="1118"/>
        <n v="635"/>
        <n v="772"/>
        <n v="35"/>
        <n v="14"/>
        <n v="677"/>
        <n v="20"/>
        <n v="389"/>
        <n v="397"/>
        <n v="1099"/>
        <n v="372"/>
        <n v="705"/>
        <n v="496"/>
        <n v="476"/>
        <n v="1054"/>
        <n v="365"/>
        <n v="1020"/>
        <n v="329"/>
        <n v="423"/>
        <n v="80"/>
        <n v="415"/>
        <n v="382"/>
        <n v="877"/>
        <n v="908"/>
        <n v="243"/>
        <n v="782"/>
        <n v="386"/>
        <n v="963"/>
        <n v="442"/>
        <n v="417"/>
        <n v="93"/>
        <n v="648"/>
        <n v="935"/>
        <n v="505"/>
        <n v="341"/>
        <n v="652"/>
        <n v="398"/>
        <n v="256"/>
        <n v="286"/>
        <n v="789"/>
        <n v="620"/>
        <n v="148"/>
        <n v="5"/>
        <n v="602"/>
        <n v="819"/>
        <n v="509"/>
        <n v="690"/>
        <n v="68"/>
        <n v="46"/>
        <n v="419"/>
        <n v="553"/>
        <n v="354"/>
        <n v="100"/>
        <n v="375"/>
        <n v="407"/>
        <n v="355"/>
        <n v="786"/>
        <n v="221"/>
        <n v="493"/>
        <n v="692"/>
        <n v="755"/>
        <n v="358"/>
        <n v="471"/>
        <n v="431"/>
        <n v="266"/>
        <n v="304"/>
        <n v="388"/>
        <n v="260"/>
        <n v="359"/>
        <n v="693"/>
        <n v="110"/>
        <n v="45"/>
        <n v="377"/>
        <n v="169"/>
        <n v="94"/>
        <n v="357"/>
        <n v="111"/>
        <n v="21"/>
        <n v="85"/>
        <n v="224"/>
        <n v="252"/>
        <n v="255"/>
        <n v="316"/>
        <n v="287"/>
        <n v="174"/>
        <n v="25"/>
        <n v="228"/>
        <n v="306"/>
        <n v="570"/>
        <n v="239"/>
        <n v="155"/>
        <n v="179"/>
        <n v="241"/>
        <n v="534"/>
        <n v="253"/>
        <n v="151"/>
        <n v="290"/>
        <n v="234"/>
        <n v="254"/>
        <n v="205"/>
        <n v="16"/>
        <n v="178"/>
        <n v="211"/>
        <n v="350"/>
        <n v="410"/>
        <n v="182"/>
        <n v="52"/>
        <n v="213"/>
        <n v="99"/>
        <n v="153"/>
        <n v="186"/>
        <n v="128"/>
        <n v="138"/>
        <n v="194"/>
        <n v="369"/>
        <n v="217"/>
        <n v="331"/>
        <n v="432"/>
        <n v="162"/>
        <n v="43"/>
        <n v="173"/>
        <n v="226"/>
        <n v="109"/>
        <n v="163"/>
        <n v="339"/>
        <n v="204"/>
        <n v="89"/>
        <n v="97"/>
        <n v="299"/>
        <n v="273"/>
        <n v="146"/>
        <n v="197"/>
        <n v="305"/>
        <n v="310"/>
        <n v="141"/>
        <n v="47"/>
        <n v="116"/>
        <n v="212"/>
        <n v="328"/>
        <n v="133"/>
        <n v="164"/>
        <n v="119"/>
        <n v="161"/>
        <n v="120"/>
        <n v="90"/>
        <n v="129"/>
        <n v="126"/>
        <n v="152"/>
        <n v="137"/>
        <n v="74"/>
        <n v="112"/>
        <n v="65"/>
        <n v="87"/>
        <n v="8"/>
        <n v="29"/>
        <n v="250"/>
        <n v="49"/>
        <n v="132"/>
        <n v="258"/>
        <n v="108"/>
        <n v="66"/>
        <n v="39"/>
        <n v="75"/>
        <n v="114"/>
        <n v="236"/>
        <n v="58"/>
        <n v="30"/>
        <n v="201"/>
        <n v="106"/>
        <n v="121"/>
        <n v="10"/>
        <n v="118"/>
        <n v="91"/>
        <n v="193"/>
        <n v="70"/>
        <n v="149"/>
        <n v="180"/>
        <n v="144"/>
        <n v="159"/>
        <n v="71"/>
        <n v="140"/>
        <n v="107"/>
        <n v="167"/>
        <n v="124"/>
        <n v="156"/>
        <n v="77"/>
        <n v="131"/>
        <n v="147"/>
        <n v="34"/>
        <n v="61"/>
        <n v="64"/>
        <n v="136"/>
        <n v="19"/>
        <n v="6"/>
        <n v="59"/>
        <n v="57"/>
        <n v="42"/>
        <n v="3"/>
        <n v="55"/>
        <n v="76"/>
        <n v="67"/>
        <n v="40"/>
        <n v="98"/>
        <n v="22"/>
        <n v="23"/>
        <n v="53"/>
        <n v="12"/>
        <n v="48"/>
        <n v="11"/>
        <n v="33"/>
        <n v="72"/>
        <n v="4"/>
        <n v="28"/>
        <n v="56"/>
        <n v="50"/>
        <n v="32"/>
        <n v="18"/>
        <n v="2"/>
        <n v="6631"/>
        <n v="1841"/>
        <n v="2749"/>
        <n v="1902"/>
        <n v="21358"/>
        <n v="237"/>
        <n v="890"/>
        <n v="462"/>
        <n v="8144"/>
        <n v="853"/>
        <n v="1888"/>
        <n v="31839"/>
        <n v="9688"/>
        <n v="5590"/>
        <n v="4975"/>
        <n v="79026"/>
        <n v="1302"/>
        <n v="800"/>
        <n v="3375"/>
        <n v="3568"/>
        <n v="172"/>
        <n v="337"/>
        <n v="2890"/>
      </sharedItems>
    </cacheField>
    <cacheField name="volume_zendesk_1_semestre" numFmtId="0">
      <sharedItems containsSemiMixedTypes="0" containsString="0" containsNumber="1" containsInteger="1" minValue="0" maxValue="214168" count="294">
        <n v="0"/>
        <n v="214168"/>
        <n v="113231"/>
        <n v="36103"/>
        <n v="30198"/>
        <n v="34220"/>
        <n v="27081"/>
        <n v="2598"/>
        <n v="5040"/>
        <n v="11146"/>
        <n v="11395"/>
        <n v="19098"/>
        <n v="19902"/>
        <n v="10994"/>
        <n v="7412"/>
        <n v="3321"/>
        <n v="8031"/>
        <n v="1332"/>
        <n v="1564"/>
        <n v="5791"/>
        <n v="19719"/>
        <n v="284"/>
        <n v="6769"/>
        <n v="4087"/>
        <n v="654"/>
        <n v="7173"/>
        <n v="4901"/>
        <n v="6225"/>
        <n v="425"/>
        <n v="153"/>
        <n v="9064"/>
        <n v="3486"/>
        <n v="5220"/>
        <n v="6373"/>
        <n v="4072"/>
        <n v="3505"/>
        <n v="6949"/>
        <n v="467"/>
        <n v="660"/>
        <n v="5692"/>
        <n v="3728"/>
        <n v="3561"/>
        <n v="3671"/>
        <n v="3042"/>
        <n v="3191"/>
        <n v="2262"/>
        <n v="3420"/>
        <n v="5940"/>
        <n v="1941"/>
        <n v="2716"/>
        <n v="346"/>
        <n v="2320"/>
        <n v="1466"/>
        <n v="5023"/>
        <n v="701"/>
        <n v="253"/>
        <n v="1951"/>
        <n v="942"/>
        <n v="2043"/>
        <n v="4363"/>
        <n v="3647"/>
        <n v="394"/>
        <n v="1555"/>
        <n v="2637"/>
        <n v="3215"/>
        <n v="390"/>
        <n v="2682"/>
        <n v="2173"/>
        <n v="2492"/>
        <n v="143"/>
        <n v="3099"/>
        <n v="839"/>
        <n v="2233"/>
        <n v="2267"/>
        <n v="2908"/>
        <n v="1642"/>
        <n v="1919"/>
        <n v="1952"/>
        <n v="1444"/>
        <n v="2927"/>
        <n v="2001"/>
        <n v="3485"/>
        <n v="267"/>
        <n v="1245"/>
        <n v="1206"/>
        <n v="2247"/>
        <n v="3865"/>
        <n v="1265"/>
        <n v="629"/>
        <n v="359"/>
        <n v="2521"/>
        <n v="1882"/>
        <n v="377"/>
        <n v="1364"/>
        <n v="1993"/>
        <n v="190"/>
        <n v="1088"/>
        <n v="1566"/>
        <n v="398"/>
        <n v="2422"/>
        <n v="2515"/>
        <n v="2012"/>
        <n v="1872"/>
        <n v="1208"/>
        <n v="1143"/>
        <n v="844"/>
        <n v="2080"/>
        <n v="576"/>
        <n v="1696"/>
        <n v="1104"/>
        <n v="93"/>
        <n v="458"/>
        <n v="1849"/>
        <n v="1117"/>
        <n v="1346"/>
        <n v="288"/>
        <n v="365"/>
        <n v="693"/>
        <n v="1521"/>
        <n v="218"/>
        <n v="254"/>
        <n v="862"/>
        <n v="914"/>
        <n v="898"/>
        <n v="536"/>
        <n v="1000"/>
        <n v="480"/>
        <n v="1153"/>
        <n v="1501"/>
        <n v="1777"/>
        <n v="603"/>
        <n v="1074"/>
        <n v="485"/>
        <n v="482"/>
        <n v="768"/>
        <n v="1419"/>
        <n v="1129"/>
        <n v="665"/>
        <n v="466"/>
        <n v="812"/>
        <n v="770"/>
        <n v="111"/>
        <n v="89"/>
        <n v="444"/>
        <n v="889"/>
        <n v="1084"/>
        <n v="931"/>
        <n v="1492"/>
        <n v="639"/>
        <n v="511"/>
        <n v="1109"/>
        <n v="428"/>
        <n v="503"/>
        <n v="446"/>
        <n v="140"/>
        <n v="935"/>
        <n v="1091"/>
        <n v="796"/>
        <n v="469"/>
        <n v="530"/>
        <n v="1148"/>
        <n v="569"/>
        <n v="166"/>
        <n v="362"/>
        <n v="384"/>
        <n v="124"/>
        <n v="1426"/>
        <n v="84"/>
        <n v="204"/>
        <n v="350"/>
        <n v="402"/>
        <n v="181"/>
        <n v="465"/>
        <n v="331"/>
        <n v="519"/>
        <n v="68"/>
        <n v="500"/>
        <n v="417"/>
        <n v="718"/>
        <n v="311"/>
        <n v="370"/>
        <n v="323"/>
        <n v="337"/>
        <n v="636"/>
        <n v="449"/>
        <n v="151"/>
        <n v="573"/>
        <n v="598"/>
        <n v="108"/>
        <n v="1036"/>
        <n v="486"/>
        <n v="46"/>
        <n v="72"/>
        <n v="409"/>
        <n v="317"/>
        <n v="261"/>
        <n v="176"/>
        <n v="233"/>
        <n v="279"/>
        <n v="356"/>
        <n v="324"/>
        <n v="683"/>
        <n v="65"/>
        <n v="138"/>
        <n v="426"/>
        <n v="62"/>
        <n v="241"/>
        <n v="103"/>
        <n v="404"/>
        <n v="169"/>
        <n v="258"/>
        <n v="357"/>
        <n v="252"/>
        <n v="149"/>
        <n v="137"/>
        <n v="214"/>
        <n v="125"/>
        <n v="226"/>
        <n v="128"/>
        <n v="27"/>
        <n v="280"/>
        <n v="251"/>
        <n v="334"/>
        <n v="265"/>
        <n v="67"/>
        <n v="246"/>
        <n v="35"/>
        <n v="178"/>
        <n v="106"/>
        <n v="177"/>
        <n v="52"/>
        <n v="245"/>
        <n v="188"/>
        <n v="38"/>
        <n v="60"/>
        <n v="210"/>
        <n v="142"/>
        <n v="307"/>
        <n v="141"/>
        <n v="133"/>
        <n v="236"/>
        <n v="221"/>
        <n v="300"/>
        <n v="43"/>
        <n v="54"/>
        <n v="135"/>
        <n v="148"/>
        <n v="107"/>
        <n v="171"/>
        <n v="154"/>
        <n v="157"/>
        <n v="16"/>
        <n v="64"/>
        <n v="102"/>
        <n v="25"/>
        <n v="87"/>
        <n v="115"/>
        <n v="114"/>
        <n v="98"/>
        <n v="88"/>
        <n v="95"/>
        <n v="121"/>
        <n v="57"/>
        <n v="26"/>
        <n v="50"/>
        <n v="49"/>
        <n v="53"/>
        <n v="36"/>
        <n v="48"/>
        <n v="55"/>
        <n v="1"/>
        <n v="41"/>
        <n v="76"/>
        <n v="28"/>
        <n v="7"/>
        <n v="15"/>
        <n v="9"/>
        <n v="42"/>
        <n v="13"/>
        <n v="6"/>
        <n v="11"/>
        <n v="8"/>
        <n v="3"/>
        <n v="2"/>
        <n v="3641"/>
        <n v="361"/>
        <n v="74"/>
        <n v="34"/>
        <n v="1456"/>
        <n v="2423"/>
        <n v="208"/>
        <n v="381"/>
        <n v="20"/>
        <n v="10613"/>
      </sharedItems>
    </cacheField>
    <cacheField name="volume_zendesk_2_semestre" numFmtId="0">
      <sharedItems containsSemiMixedTypes="0" containsString="0" containsNumber="1" containsInteger="1" minValue="0" maxValue="198073" count="414">
        <n v="0"/>
        <n v="3126"/>
        <n v="198073"/>
        <n v="830"/>
        <n v="1068"/>
        <n v="107161"/>
        <n v="238"/>
        <n v="807"/>
        <n v="72417"/>
        <n v="454"/>
        <n v="1324"/>
        <n v="40271"/>
        <n v="422"/>
        <n v="30968"/>
        <n v="25338"/>
        <n v="28418"/>
        <n v="1038"/>
        <n v="9122"/>
        <n v="4117"/>
        <n v="750"/>
        <n v="4539"/>
        <n v="13345"/>
        <n v="12213"/>
        <n v="25702"/>
        <n v="9435"/>
        <n v="954"/>
        <n v="8552"/>
        <n v="11444"/>
        <n v="14922"/>
        <n v="8087"/>
        <n v="2856"/>
        <n v="1101"/>
        <n v="10415"/>
        <n v="2318"/>
        <n v="1986"/>
        <n v="8443"/>
        <n v="10503"/>
        <n v="593"/>
        <n v="888"/>
        <n v="1633"/>
        <n v="8063"/>
        <n v="10300"/>
        <n v="162"/>
        <n v="268"/>
        <n v="6828"/>
        <n v="621"/>
        <n v="572"/>
        <n v="5940"/>
        <n v="564"/>
        <n v="7396"/>
        <n v="18257"/>
        <n v="7821"/>
        <n v="482"/>
        <n v="115"/>
        <n v="10121"/>
        <n v="300"/>
        <n v="516"/>
        <n v="14351"/>
        <n v="4899"/>
        <n v="9272"/>
        <n v="1938"/>
        <n v="5033"/>
        <n v="11862"/>
        <n v="4181"/>
        <n v="6485"/>
        <n v="12684"/>
        <n v="399"/>
        <n v="1049"/>
        <n v="925"/>
        <n v="444"/>
        <n v="6912"/>
        <n v="3759"/>
        <n v="3788"/>
        <n v="3727"/>
        <n v="3986"/>
        <n v="3288"/>
        <n v="3894"/>
        <n v="2992"/>
        <n v="2888"/>
        <n v="429"/>
        <n v="2754"/>
        <n v="2676"/>
        <n v="3679"/>
        <n v="231"/>
        <n v="385"/>
        <n v="360"/>
        <n v="2656"/>
        <n v="876"/>
        <n v="971"/>
        <n v="1476"/>
        <n v="395"/>
        <n v="154"/>
        <n v="2120"/>
        <n v="711"/>
        <n v="321"/>
        <n v="119"/>
        <n v="2347"/>
        <n v="3367"/>
        <n v="985"/>
        <n v="2225"/>
        <n v="68"/>
        <n v="2613"/>
        <n v="4070"/>
        <n v="391"/>
        <n v="2153"/>
        <n v="2317"/>
        <n v="4142"/>
        <n v="283"/>
        <n v="3118"/>
        <n v="3320"/>
        <n v="2773"/>
        <n v="97"/>
        <n v="2554"/>
        <n v="530"/>
        <n v="2615"/>
        <n v="2445"/>
        <n v="194"/>
        <n v="1644"/>
        <n v="246"/>
        <n v="1758"/>
        <n v="292"/>
        <n v="1619"/>
        <n v="2177"/>
        <n v="605"/>
        <n v="1987"/>
        <n v="2638"/>
        <n v="3054"/>
        <n v="3847"/>
        <n v="100"/>
        <n v="242"/>
        <n v="79"/>
        <n v="81"/>
        <n v="1652"/>
        <n v="1306"/>
        <n v="1770"/>
        <n v="929"/>
        <n v="947"/>
        <n v="472"/>
        <n v="86"/>
        <n v="2055"/>
        <n v="2546"/>
        <n v="103"/>
        <n v="291"/>
        <n v="3110"/>
        <n v="58"/>
        <n v="1107"/>
        <n v="136"/>
        <n v="721"/>
        <n v="2053"/>
        <n v="453"/>
        <n v="1469"/>
        <n v="1307"/>
        <n v="234"/>
        <n v="899"/>
        <n v="1918"/>
        <n v="1926"/>
        <n v="1342"/>
        <n v="974"/>
        <n v="1039"/>
        <n v="1718"/>
        <n v="1099"/>
        <n v="1076"/>
        <n v="70"/>
        <n v="2781"/>
        <n v="196"/>
        <n v="127"/>
        <n v="109"/>
        <n v="192"/>
        <n v="349"/>
        <n v="116"/>
        <n v="180"/>
        <n v="1304"/>
        <n v="474"/>
        <n v="1397"/>
        <n v="2076"/>
        <n v="1191"/>
        <n v="1078"/>
        <n v="1355"/>
        <n v="44"/>
        <n v="26"/>
        <n v="14"/>
        <n v="1499"/>
        <n v="218"/>
        <n v="131"/>
        <n v="344"/>
        <n v="348"/>
        <n v="144"/>
        <n v="464"/>
        <n v="882"/>
        <n v="1221"/>
        <n v="1222"/>
        <n v="731"/>
        <n v="269"/>
        <n v="962"/>
        <n v="1369"/>
        <n v="1466"/>
        <n v="635"/>
        <n v="816"/>
        <n v="51"/>
        <n v="1127"/>
        <n v="359"/>
        <n v="969"/>
        <n v="809"/>
        <n v="276"/>
        <n v="89"/>
        <n v="639"/>
        <n v="64"/>
        <n v="774"/>
        <n v="392"/>
        <n v="466"/>
        <n v="983"/>
        <n v="21"/>
        <n v="751"/>
        <n v="461"/>
        <n v="649"/>
        <n v="656"/>
        <n v="965"/>
        <n v="374"/>
        <n v="631"/>
        <n v="111"/>
        <n v="106"/>
        <n v="421"/>
        <n v="316"/>
        <n v="522"/>
        <n v="93"/>
        <n v="898"/>
        <n v="690"/>
        <n v="848"/>
        <n v="512"/>
        <n v="589"/>
        <n v="640"/>
        <n v="414"/>
        <n v="408"/>
        <n v="569"/>
        <n v="110"/>
        <n v="660"/>
        <n v="692"/>
        <n v="9"/>
        <n v="77"/>
        <n v="165"/>
        <n v="633"/>
        <n v="167"/>
        <n v="533"/>
        <n v="223"/>
        <n v="164"/>
        <n v="538"/>
        <n v="498"/>
        <n v="69"/>
        <n v="25"/>
        <n v="38"/>
        <n v="554"/>
        <n v="440"/>
        <n v="381"/>
        <n v="84"/>
        <n v="4"/>
        <n v="847"/>
        <n v="1583"/>
        <n v="148"/>
        <n v="428"/>
        <n v="299"/>
        <n v="382"/>
        <n v="124"/>
        <n v="201"/>
        <n v="608"/>
        <n v="191"/>
        <n v="476"/>
        <n v="105"/>
        <n v="436"/>
        <n v="455"/>
        <n v="450"/>
        <n v="394"/>
        <n v="19"/>
        <n v="485"/>
        <n v="446"/>
        <n v="338"/>
        <n v="72"/>
        <n v="304"/>
        <n v="479"/>
        <n v="376"/>
        <n v="52"/>
        <n v="439"/>
        <n v="7"/>
        <n v="1198"/>
        <n v="494"/>
        <n v="63"/>
        <n v="46"/>
        <n v="80"/>
        <n v="244"/>
        <n v="253"/>
        <n v="527"/>
        <n v="186"/>
        <n v="280"/>
        <n v="256"/>
        <n v="54"/>
        <n v="92"/>
        <n v="405"/>
        <n v="174"/>
        <n v="16"/>
        <n v="250"/>
        <n v="161"/>
        <n v="60"/>
        <n v="232"/>
        <n v="42"/>
        <n v="705"/>
        <n v="88"/>
        <n v="471"/>
        <n v="134"/>
        <n v="329"/>
        <n v="235"/>
        <n v="43"/>
        <n v="547"/>
        <n v="168"/>
        <n v="507"/>
        <n v="305"/>
        <n v="255"/>
        <n v="1"/>
        <n v="356"/>
        <n v="308"/>
        <n v="139"/>
        <n v="229"/>
        <n v="107"/>
        <n v="147"/>
        <n v="198"/>
        <n v="173"/>
        <n v="205"/>
        <n v="135"/>
        <n v="47"/>
        <n v="98"/>
        <n v="170"/>
        <n v="31"/>
        <n v="221"/>
        <n v="35"/>
        <n v="227"/>
        <n v="204"/>
        <n v="284"/>
        <n v="57"/>
        <n v="247"/>
        <n v="175"/>
        <n v="108"/>
        <n v="171"/>
        <n v="34"/>
        <n v="262"/>
        <n v="140"/>
        <n v="45"/>
        <n v="220"/>
        <n v="219"/>
        <n v="39"/>
        <n v="40"/>
        <n v="55"/>
        <n v="120"/>
        <n v="287"/>
        <n v="237"/>
        <n v="155"/>
        <n v="379"/>
        <n v="48"/>
        <n v="18"/>
        <n v="319"/>
        <n v="188"/>
        <n v="75"/>
        <n v="10"/>
        <n v="141"/>
        <n v="85"/>
        <n v="125"/>
        <n v="123"/>
        <n v="129"/>
        <n v="24"/>
        <n v="50"/>
        <n v="138"/>
        <n v="17"/>
        <n v="27"/>
        <n v="66"/>
        <n v="99"/>
        <n v="22"/>
        <n v="159"/>
        <n v="96"/>
        <n v="189"/>
        <n v="156"/>
        <n v="33"/>
        <n v="121"/>
        <n v="83"/>
        <n v="41"/>
        <n v="73"/>
        <n v="195"/>
        <n v="28"/>
        <n v="32"/>
        <n v="13"/>
        <n v="49"/>
        <n v="15"/>
        <n v="37"/>
        <n v="78"/>
        <n v="59"/>
        <n v="29"/>
        <n v="53"/>
        <n v="61"/>
        <n v="20"/>
        <n v="76"/>
        <n v="56"/>
        <n v="23"/>
        <n v="11"/>
        <n v="5"/>
        <n v="36"/>
        <n v="30"/>
        <n v="3"/>
        <n v="12"/>
        <n v="3350"/>
        <n v="401"/>
        <n v="1673"/>
        <n v="706"/>
        <n v="1634"/>
        <n v="233"/>
        <n v="258"/>
        <n v="197"/>
        <n v="152"/>
        <n v="10569"/>
      </sharedItems>
    </cacheField>
    <cacheField name="Semestre 1 acessos (Zendesk+Carioca) " numFmtId="0">
      <sharedItems containsSemiMixedTypes="0" containsString="0" containsNumber="1" containsInteger="1" minValue="0" maxValue="767011" count="621">
        <n v="386948"/>
        <n v="0"/>
        <n v="767011"/>
        <n v="479107"/>
        <n v="214168"/>
        <n v="423557"/>
        <n v="316304"/>
        <n v="226170"/>
        <n v="118529"/>
        <n v="130700"/>
        <n v="145323"/>
        <n v="155950"/>
        <n v="146859"/>
        <n v="94871"/>
        <n v="96813"/>
        <n v="91243"/>
        <n v="83663"/>
        <n v="37828"/>
        <n v="93250"/>
        <n v="61741"/>
        <n v="57614"/>
        <n v="52795"/>
        <n v="67959"/>
        <n v="51692"/>
        <n v="27637"/>
        <n v="51014"/>
        <n v="46077"/>
        <n v="33686"/>
        <n v="33554"/>
        <n v="38551"/>
        <n v="48638"/>
        <n v="31014"/>
        <n v="29963"/>
        <n v="41351"/>
        <n v="11298"/>
        <n v="28854"/>
        <n v="27754"/>
        <n v="12598"/>
        <n v="19885"/>
        <n v="26125"/>
        <n v="11015"/>
        <n v="10123"/>
        <n v="23374"/>
        <n v="29291"/>
        <n v="16058"/>
        <n v="11763"/>
        <n v="6360"/>
        <n v="16123"/>
        <n v="24316"/>
        <n v="15669"/>
        <n v="16302"/>
        <n v="17580"/>
        <n v="21433"/>
        <n v="17634"/>
        <n v="17540"/>
        <n v="11542"/>
        <n v="6066"/>
        <n v="19719"/>
        <n v="11534"/>
        <n v="16573"/>
        <n v="13093"/>
        <n v="17414"/>
        <n v="9987"/>
        <n v="14336"/>
        <n v="14250"/>
        <n v="13369"/>
        <n v="16079"/>
        <n v="11746"/>
        <n v="4148"/>
        <n v="14574"/>
        <n v="7594"/>
        <n v="4901"/>
        <n v="13422"/>
        <n v="6627"/>
        <n v="6233"/>
        <n v="12706"/>
        <n v="9558"/>
        <n v="10519"/>
        <n v="14337"/>
        <n v="10432"/>
        <n v="13735"/>
        <n v="9064"/>
        <n v="11779"/>
        <n v="9812"/>
        <n v="9215"/>
        <n v="8970"/>
        <n v="9334"/>
        <n v="3486"/>
        <n v="9123"/>
        <n v="5917"/>
        <n v="6373"/>
        <n v="5238"/>
        <n v="6594"/>
        <n v="366"/>
        <n v="5103"/>
        <n v="8946"/>
        <n v="4043"/>
        <n v="6949"/>
        <n v="7874"/>
        <n v="7841"/>
        <n v="6146"/>
        <n v="7742"/>
        <n v="4671"/>
        <n v="6622"/>
        <n v="7086"/>
        <n v="5692"/>
        <n v="5252"/>
        <n v="3561"/>
        <n v="3976"/>
        <n v="6138"/>
        <n v="3483"/>
        <n v="3275"/>
        <n v="2262"/>
        <n v="4887"/>
        <n v="5061"/>
        <n v="6392"/>
        <n v="4823"/>
        <n v="4698"/>
        <n v="6921"/>
        <n v="4968"/>
        <n v="2174"/>
        <n v="5636"/>
        <n v="4548"/>
        <n v="3621"/>
        <n v="5675"/>
        <n v="5424"/>
        <n v="2320"/>
        <n v="2841"/>
        <n v="3827"/>
        <n v="7519"/>
        <n v="5023"/>
        <n v="4664"/>
        <n v="4599"/>
        <n v="4992"/>
        <n v="4755"/>
        <n v="2180"/>
        <n v="4507"/>
        <n v="3671"/>
        <n v="4372"/>
        <n v="2585"/>
        <n v="4390"/>
        <n v="4694"/>
        <n v="4383"/>
        <n v="3647"/>
        <n v="4256"/>
        <n v="2081"/>
        <n v="4199"/>
        <n v="2751"/>
        <n v="3215"/>
        <n v="3117"/>
        <n v="3580"/>
        <n v="4288"/>
        <n v="2811"/>
        <n v="2966"/>
        <n v="3133"/>
        <n v="2173"/>
        <n v="2492"/>
        <n v="6251"/>
        <n v="4237"/>
        <n v="3882"/>
        <n v="3263"/>
        <n v="3492"/>
        <n v="2701"/>
        <n v="2323"/>
        <n v="2773"/>
        <n v="4164"/>
        <n v="3947"/>
        <n v="3634"/>
        <n v="2239"/>
        <n v="3318"/>
        <n v="3716"/>
        <n v="2457"/>
        <n v="1952"/>
        <n v="1608"/>
        <n v="3002"/>
        <n v="3104"/>
        <n v="3648"/>
        <n v="1804"/>
        <n v="2805"/>
        <n v="2927"/>
        <n v="2001"/>
        <n v="3485"/>
        <n v="2882"/>
        <n v="2906"/>
        <n v="2372"/>
        <n v="2647"/>
        <n v="2855"/>
        <n v="2765"/>
        <n v="2551"/>
        <n v="2131"/>
        <n v="2826"/>
        <n v="1413"/>
        <n v="1759"/>
        <n v="3543"/>
        <n v="2247"/>
        <n v="3865"/>
        <n v="2567"/>
        <n v="1756"/>
        <n v="2484"/>
        <n v="2160"/>
        <n v="2801"/>
        <n v="2521"/>
        <n v="1882"/>
        <n v="2213"/>
        <n v="1853"/>
        <n v="2355"/>
        <n v="1364"/>
        <n v="2506"/>
        <n v="2675"/>
        <n v="925"/>
        <n v="3221"/>
        <n v="2083"/>
        <n v="1593"/>
        <n v="2278"/>
        <n v="398"/>
        <n v="2117"/>
        <n v="2422"/>
        <n v="2515"/>
        <n v="2221"/>
        <n v="2332"/>
        <n v="2360"/>
        <n v="1872"/>
        <n v="1981"/>
        <n v="1745"/>
        <n v="1478"/>
        <n v="869"/>
        <n v="2080"/>
        <n v="1580"/>
        <n v="2558"/>
        <n v="1935"/>
        <n v="1188"/>
        <n v="1709"/>
        <n v="1556"/>
        <n v="2312"/>
        <n v="1904"/>
        <n v="2362"/>
        <n v="2347"/>
        <n v="2115"/>
        <n v="1679"/>
        <n v="1895"/>
        <n v="1699"/>
        <n v="1760"/>
        <n v="1247"/>
        <n v="2101"/>
        <n v="1708"/>
        <n v="1786"/>
        <n v="2091"/>
        <n v="2217"/>
        <n v="1961"/>
        <n v="1746"/>
        <n v="935"/>
        <n v="1971"/>
        <n v="1849"/>
        <n v="1283"/>
        <n v="1471"/>
        <n v="1346"/>
        <n v="1860"/>
        <n v="2501"/>
        <n v="1568"/>
        <n v="1565"/>
        <n v="1742"/>
        <n v="1695"/>
        <n v="1431"/>
        <n v="1730"/>
        <n v="1689"/>
        <n v="1660"/>
        <n v="1740"/>
        <n v="676"/>
        <n v="365"/>
        <n v="1369"/>
        <n v="1023"/>
        <n v="1829"/>
        <n v="722"/>
        <n v="1569"/>
        <n v="1521"/>
        <n v="1386"/>
        <n v="1451"/>
        <n v="1617"/>
        <n v="1115"/>
        <n v="1081"/>
        <n v="898"/>
        <n v="1627"/>
        <n v="1458"/>
        <n v="1233"/>
        <n v="1199"/>
        <n v="1354"/>
        <n v="1463"/>
        <n v="1153"/>
        <n v="25"/>
        <n v="1885"/>
        <n v="1545"/>
        <n v="1501"/>
        <n v="1777"/>
        <n v="1232"/>
        <n v="1479"/>
        <n v="1092"/>
        <n v="1493"/>
        <n v="1285"/>
        <n v="1194"/>
        <n v="1492"/>
        <n v="1785"/>
        <n v="559"/>
        <n v="768"/>
        <n v="1305"/>
        <n v="1269"/>
        <n v="1132"/>
        <n v="1113"/>
        <n v="1197"/>
        <n v="1183"/>
        <n v="1419"/>
        <n v="1379"/>
        <n v="1035"/>
        <n v="1300"/>
        <n v="2150"/>
        <n v="890"/>
        <n v="1202"/>
        <n v="466"/>
        <n v="918"/>
        <n v="1234"/>
        <n v="770"/>
        <n v="1311"/>
        <n v="993"/>
        <n v="1399"/>
        <n v="1093"/>
        <n v="757"/>
        <n v="1088"/>
        <n v="656"/>
        <n v="980"/>
        <n v="870"/>
        <n v="889"/>
        <n v="1084"/>
        <n v="931"/>
        <n v="779"/>
        <n v="584"/>
        <n v="910"/>
        <n v="678"/>
        <n v="742"/>
        <n v="1109"/>
        <n v="644"/>
        <n v="940"/>
        <n v="729"/>
        <n v="560"/>
        <n v="1575"/>
        <n v="1045"/>
        <n v="620"/>
        <n v="1030"/>
        <n v="1018"/>
        <n v="685"/>
        <n v="658"/>
        <n v="285"/>
        <n v="674"/>
        <n v="1091"/>
        <n v="842"/>
        <n v="616"/>
        <n v="796"/>
        <n v="917"/>
        <n v="572"/>
        <n v="1148"/>
        <n v="475"/>
        <n v="628"/>
        <n v="712"/>
        <n v="756"/>
        <n v="736"/>
        <n v="766"/>
        <n v="362"/>
        <n v="404"/>
        <n v="619"/>
        <n v="830"/>
        <n v="657"/>
        <n v="1426"/>
        <n v="84"/>
        <n v="713"/>
        <n v="546"/>
        <n v="542"/>
        <n v="650"/>
        <n v="586"/>
        <n v="772"/>
        <n v="714"/>
        <n v="670"/>
        <n v="465"/>
        <n v="519"/>
        <n v="237"/>
        <n v="700"/>
        <n v="500"/>
        <n v="417"/>
        <n v="718"/>
        <n v="384"/>
        <n v="512"/>
        <n v="385"/>
        <n v="452"/>
        <n v="335"/>
        <n v="642"/>
        <n v="337"/>
        <n v="725"/>
        <n v="636"/>
        <n v="386"/>
        <n v="470"/>
        <n v="573"/>
        <n v="598"/>
        <n v="587"/>
        <n v="568"/>
        <n v="1086"/>
        <n v="591"/>
        <n v="604"/>
        <n v="524"/>
        <n v="486"/>
        <n v="46"/>
        <n v="531"/>
        <n v="351"/>
        <n v="544"/>
        <n v="409"/>
        <n v="317"/>
        <n v="16"/>
        <n v="575"/>
        <n v="261"/>
        <n v="454"/>
        <n v="432"/>
        <n v="1"/>
        <n v="395"/>
        <n v="492"/>
        <n v="279"/>
        <n v="449"/>
        <n v="356"/>
        <n v="421"/>
        <n v="389"/>
        <n v="461"/>
        <n v="683"/>
        <n v="425"/>
        <n v="368"/>
        <n v="388"/>
        <n v="429"/>
        <n v="272"/>
        <n v="394"/>
        <n v="408"/>
        <n v="426"/>
        <n v="382"/>
        <n v="332"/>
        <n v="458"/>
        <n v="241"/>
        <n v="295"/>
        <n v="103"/>
        <n v="299"/>
        <n v="346"/>
        <n v="396"/>
        <n v="258"/>
        <n v="357"/>
        <n v="331"/>
        <n v="130"/>
        <n v="86"/>
        <n v="415"/>
        <n v="281"/>
        <n v="194"/>
        <n v="198"/>
        <n v="300"/>
        <n v="124"/>
        <n v="390"/>
        <n v="304"/>
        <n v="290"/>
        <n v="319"/>
        <n v="324"/>
        <n v="289"/>
        <n v="371"/>
        <n v="339"/>
        <n v="263"/>
        <n v="355"/>
        <n v="280"/>
        <n v="251"/>
        <n v="334"/>
        <n v="265"/>
        <n v="267"/>
        <n v="298"/>
        <n v="330"/>
        <n v="246"/>
        <n v="256"/>
        <n v="284"/>
        <n v="288"/>
        <n v="269"/>
        <n v="247"/>
        <n v="234"/>
        <n v="310"/>
        <n v="106"/>
        <n v="291"/>
        <n v="52"/>
        <n v="245"/>
        <n v="227"/>
        <n v="358"/>
        <n v="257"/>
        <n v="225"/>
        <n v="248"/>
        <n v="264"/>
        <n v="177"/>
        <n v="249"/>
        <n v="210"/>
        <n v="217"/>
        <n v="142"/>
        <n v="231"/>
        <n v="204"/>
        <n v="307"/>
        <n v="141"/>
        <n v="133"/>
        <n v="180"/>
        <n v="236"/>
        <n v="221"/>
        <n v="207"/>
        <n v="208"/>
        <n v="157"/>
        <n v="152"/>
        <n v="209"/>
        <n v="150"/>
        <n v="148"/>
        <n v="107"/>
        <n v="171"/>
        <n v="66"/>
        <n v="162"/>
        <n v="146"/>
        <n v="164"/>
        <n v="154"/>
        <n v="153"/>
        <n v="93"/>
        <n v="51"/>
        <n v="158"/>
        <n v="178"/>
        <n v="161"/>
        <n v="156"/>
        <n v="135"/>
        <n v="144"/>
        <n v="166"/>
        <n v="125"/>
        <n v="102"/>
        <n v="159"/>
        <n v="104"/>
        <n v="149"/>
        <n v="131"/>
        <n v="115"/>
        <n v="132"/>
        <n v="138"/>
        <n v="109"/>
        <n v="127"/>
        <n v="122"/>
        <n v="139"/>
        <n v="37"/>
        <n v="113"/>
        <n v="98"/>
        <n v="33"/>
        <n v="21"/>
        <n v="88"/>
        <n v="35"/>
        <n v="90"/>
        <n v="95"/>
        <n v="117"/>
        <n v="68"/>
        <n v="97"/>
        <n v="101"/>
        <n v="30"/>
        <n v="121"/>
        <n v="94"/>
        <n v="85"/>
        <n v="87"/>
        <n v="79"/>
        <n v="74"/>
        <n v="70"/>
        <n v="73"/>
        <n v="50"/>
        <n v="81"/>
        <n v="64"/>
        <n v="67"/>
        <n v="53"/>
        <n v="48"/>
        <n v="60"/>
        <n v="49"/>
        <n v="69"/>
        <n v="47"/>
        <n v="41"/>
        <n v="76"/>
        <n v="62"/>
        <n v="28"/>
        <n v="57"/>
        <n v="38"/>
        <n v="7"/>
        <n v="26"/>
        <n v="43"/>
        <n v="29"/>
        <n v="15"/>
        <n v="9"/>
        <n v="42"/>
        <n v="36"/>
        <n v="13"/>
        <n v="6"/>
        <n v="31"/>
        <n v="11"/>
        <n v="8"/>
        <n v="3"/>
        <n v="2"/>
        <n v="9853"/>
        <n v="5268"/>
        <n v="175"/>
        <n v="23"/>
        <n v="4779"/>
        <n v="1887"/>
        <n v="136"/>
        <n v="552"/>
        <n v="5155"/>
        <n v="745"/>
        <n v="57210"/>
        <n v="34"/>
        <n v="23205"/>
        <n v="11067"/>
        <n v="8191"/>
        <n v="4269"/>
        <n v="78051"/>
        <n v="381"/>
        <n v="1481"/>
        <n v="502"/>
        <n v="10446"/>
        <n v="3060"/>
        <n v="311"/>
        <n v="223"/>
        <n v="525"/>
        <n v="489"/>
        <n v="22"/>
        <n v="10613"/>
      </sharedItems>
    </cacheField>
    <cacheField name="Semestre 2 acessos (Zendesk+Carioca)" numFmtId="0">
      <sharedItems containsString="0" containsBlank="1" containsNumber="1" containsInteger="1" minValue="0" maxValue="1965144" count="786">
        <n v="1965144"/>
        <n v="1829147"/>
        <n v="739188"/>
        <n v="423582"/>
        <n v="277847"/>
        <n v="52210"/>
        <n v="138048"/>
        <n v="218900"/>
        <n v="111369"/>
        <n v="343586"/>
        <n v="196794"/>
        <n v="159013"/>
        <n v="148921"/>
        <n v="252278"/>
        <n v="89010"/>
        <n v="81061"/>
        <n v="99827"/>
        <n v="87833"/>
        <n v="91261"/>
        <n v="94608"/>
        <n v="42179"/>
        <n v="70164"/>
        <n v="78547"/>
        <n v="137696"/>
        <n v="76873"/>
        <n v="80824"/>
        <n v="62577"/>
        <n v="36330"/>
        <n v="29172"/>
        <n v="99981"/>
        <n v="39484"/>
        <n v="40825"/>
        <n v="83853"/>
        <n v="49068"/>
        <n v="32960"/>
        <n v="26674"/>
        <n v="14095"/>
        <n v="31353"/>
        <n v="30362"/>
        <n v="17104"/>
        <n v="13548"/>
        <n v="27798"/>
        <n v="24646"/>
        <n v="13251"/>
        <n v="26676"/>
        <n v="9548"/>
        <n v="47062"/>
        <n v="16262"/>
        <n v="11468"/>
        <n v="15639"/>
        <n v="9292"/>
        <n v="15601"/>
        <n v="9908"/>
        <n v="22655"/>
        <n v="37570"/>
        <n v="14892"/>
        <n v="28121"/>
        <n v="21239"/>
        <n v="12041"/>
        <n v="35786"/>
        <n v="34685"/>
        <n v="19381"/>
        <n v="18668"/>
        <n v="17345"/>
        <n v="8681"/>
        <n v="10722"/>
        <n v="9008"/>
        <n v="14452"/>
        <n v="13290"/>
        <n v="19015"/>
        <n v="8493"/>
        <n v="10300"/>
        <n v="18802"/>
        <n v="13643"/>
        <n v="16809"/>
        <n v="28344"/>
        <n v="10935"/>
        <n v="9270"/>
        <n v="13967"/>
        <n v="13654"/>
        <n v="14225"/>
        <n v="10427"/>
        <n v="14139"/>
        <n v="24973"/>
        <n v="24363"/>
        <n v="6208"/>
        <n v="8695"/>
        <n v="7739"/>
        <n v="18257"/>
        <n v="10102"/>
        <n v="16672"/>
        <n v="7838"/>
        <n v="9694"/>
        <n v="12684"/>
        <n v="11311"/>
        <n v="7447"/>
        <n v="10771"/>
        <n v="7273"/>
        <n v="10121"/>
        <n v="8698"/>
        <n v="19393"/>
        <n v="9811"/>
        <n v="10251"/>
        <n v="9593"/>
        <n v="9194"/>
        <n v="14351"/>
        <n v="5434"/>
        <n v="9272"/>
        <n v="9587"/>
        <n v="9960"/>
        <n v="261"/>
        <n v="5936"/>
        <n v="13886"/>
        <n v="6779"/>
        <n v="4543"/>
        <n v="7113"/>
        <n v="12961"/>
        <n v="15247"/>
        <n v="7006"/>
        <n v="6989"/>
        <n v="8690"/>
        <n v="6841"/>
        <n v="9064"/>
        <n v="7528"/>
        <n v="13255"/>
        <n v="6537"/>
        <n v="6912"/>
        <n v="6631"/>
        <n v="4095"/>
        <n v="5132"/>
        <n v="6340"/>
        <n v="4226"/>
        <n v="3869"/>
        <n v="3288"/>
        <n v="5262"/>
        <n v="6195"/>
        <n v="4698"/>
        <n v="5806"/>
        <n v="4493"/>
        <n v="5606"/>
        <n v="3326"/>
        <n v="5265"/>
        <n v="2974"/>
        <n v="4542"/>
        <n v="4288"/>
        <n v="7982"/>
        <n v="6183"/>
        <n v="3866"/>
        <n v="4205"/>
        <n v="3164"/>
        <n v="9465"/>
        <n v="9705"/>
        <n v="1815"/>
        <n v="5212"/>
        <n v="9302"/>
        <n v="1870"/>
        <n v="2833"/>
        <n v="4199"/>
        <n v="4664"/>
        <n v="4296"/>
        <n v="4541"/>
        <n v="2625"/>
        <n v="4513"/>
        <n v="3565"/>
        <n v="3677"/>
        <n v="8791"/>
        <n v="4406"/>
        <n v="2779"/>
        <n v="3921"/>
        <n v="2882"/>
        <n v="3829"/>
        <n v="4070"/>
        <n v="3737"/>
        <n v="2792"/>
        <n v="3786"/>
        <n v="2400"/>
        <n v="4142"/>
        <n v="4624"/>
        <n v="4169"/>
        <n v="3380"/>
        <n v="3316"/>
        <n v="3320"/>
        <n v="7317"/>
        <n v="2773"/>
        <n v="965"/>
        <n v="2945"/>
        <n v="3219"/>
        <n v="2633"/>
        <n v="2536"/>
        <n v="4269"/>
        <n v="2523"/>
        <n v="4133"/>
        <n v="2259"/>
        <n v="2359"/>
        <n v="2941"/>
        <n v="2278"/>
        <n v="3252"/>
        <n v="517"/>
        <n v="3122"/>
        <n v="6415"/>
        <n v="2620"/>
        <n v="1912"/>
        <n v="2177"/>
        <n v="5879"/>
        <n v="2465"/>
        <n v="2780"/>
        <n v="2685"/>
        <n v="1987"/>
        <n v="3852"/>
        <n v="2788"/>
        <n v="2638"/>
        <n v="3054"/>
        <n v="3847"/>
        <n v="2588"/>
        <n v="2337"/>
        <n v="2931"/>
        <n v="2546"/>
        <n v="2397"/>
        <n v="2394"/>
        <n v="2572"/>
        <n v="2948"/>
        <n v="4928"/>
        <n v="2140"/>
        <n v="1854"/>
        <n v="1967"/>
        <n v="1330"/>
        <n v="1770"/>
        <n v="929"/>
        <n v="2226"/>
        <n v="1180"/>
        <n v="2248"/>
        <n v="2491"/>
        <n v="1768"/>
        <n v="2055"/>
        <n v="2284"/>
        <n v="2687"/>
        <n v="1766"/>
        <n v="3110"/>
        <n v="4453"/>
        <n v="4345"/>
        <n v="1611"/>
        <n v="1637"/>
        <n v="3426"/>
        <n v="722"/>
        <n v="2220"/>
        <n v="2137"/>
        <n v="1975"/>
        <n v="3809"/>
        <n v="2023"/>
        <n v="1469"/>
        <n v="1307"/>
        <n v="1786"/>
        <n v="1691"/>
        <n v="1658"/>
        <n v="1516"/>
        <n v="1918"/>
        <n v="1926"/>
        <n v="1934"/>
        <n v="1805"/>
        <n v="1189"/>
        <n v="1083"/>
        <n v="1718"/>
        <n v="2190"/>
        <n v="1076"/>
        <n v="3753"/>
        <n v="2819"/>
        <n v="1759"/>
        <n v="1375"/>
        <n v="1947"/>
        <n v="2099"/>
        <n v="1334"/>
        <n v="3399"/>
        <n v="1675"/>
        <n v="1203"/>
        <n v="3505"/>
        <n v="1205"/>
        <n v="1430"/>
        <n v="1847"/>
        <n v="1616"/>
        <n v="1788"/>
        <n v="1715"/>
        <n v="2004"/>
        <n v="1369"/>
        <n v="1676"/>
        <n v="1570"/>
        <n v="1262"/>
        <n v="1120"/>
        <n v="1376"/>
        <n v="1524"/>
        <n v="1408"/>
        <n v="1753"/>
        <n v="1311"/>
        <n v="1397"/>
        <n v="2757"/>
        <n v="1465"/>
        <n v="1499"/>
        <n v="1824"/>
        <n v="1285"/>
        <n v="627"/>
        <n v="1509"/>
        <n v="1475"/>
        <n v="3048"/>
        <n v="1290"/>
        <n v="1349"/>
        <n v="1595"/>
        <n v="1233"/>
        <n v="1310"/>
        <n v="2973"/>
        <n v="2202"/>
        <n v="1283"/>
        <n v="1171"/>
        <n v="2847"/>
        <n v="2514"/>
        <n v="1477"/>
        <n v="1784"/>
        <n v="1000"/>
        <n v="920"/>
        <n v="1254"/>
        <n v="1221"/>
        <n v="1403"/>
        <n v="757"/>
        <n v="1321"/>
        <n v="1338"/>
        <n v="1048"/>
        <n v="1158"/>
        <n v="1145"/>
        <n v="1648"/>
        <n v="1466"/>
        <n v="1087"/>
        <n v="2712"/>
        <n v="1226"/>
        <n v="1354"/>
        <n v="976"/>
        <n v="1247"/>
        <n v="1178"/>
        <n v="1127"/>
        <n v="513"/>
        <n v="742"/>
        <n v="1071"/>
        <n v="969"/>
        <n v="809"/>
        <n v="1372"/>
        <n v="2476"/>
        <n v="1106"/>
        <n v="991"/>
        <n v="1129"/>
        <n v="2427"/>
        <n v="815"/>
        <n v="565"/>
        <n v="859"/>
        <n v="531"/>
        <n v="497"/>
        <n v="983"/>
        <n v="1018"/>
        <n v="996"/>
        <n v="2270"/>
        <n v="1144"/>
        <n v="1053"/>
        <n v="1060"/>
        <n v="751"/>
        <n v="826"/>
        <n v="549"/>
        <n v="0"/>
        <n v="817"/>
        <n v="933"/>
        <n v="656"/>
        <n v="1149"/>
        <n v="867"/>
        <n v="1495"/>
        <n v="1179"/>
        <n v="657"/>
        <n v="936"/>
        <n v="1631"/>
        <n v="543"/>
        <n v="842"/>
        <n v="1892"/>
        <n v="1169"/>
        <n v="823"/>
        <n v="522"/>
        <n v="1830"/>
        <n v="841"/>
        <n v="1703"/>
        <n v="943"/>
        <n v="898"/>
        <n v="690"/>
        <n v="848"/>
        <n v="1011"/>
        <n v="291"/>
        <n v="712"/>
        <n v="862"/>
        <n v="539"/>
        <n v="873"/>
        <n v="640"/>
        <n v="1118"/>
        <n v="956"/>
        <n v="605"/>
        <n v="113"/>
        <n v="1683"/>
        <n v="989"/>
        <n v="660"/>
        <n v="572"/>
        <n v="1593"/>
        <n v="573"/>
        <n v="827"/>
        <n v="1387"/>
        <n v="819"/>
        <n v="901"/>
        <n v="1560"/>
        <n v="755"/>
        <n v="1521"/>
        <n v="429"/>
        <n v="678"/>
        <n v="874"/>
        <n v="1460"/>
        <n v="633"/>
        <n v="500"/>
        <n v="587"/>
        <n v="223"/>
        <n v="1201"/>
        <n v="704"/>
        <n v="726"/>
        <n v="571"/>
        <n v="676"/>
        <n v="1396"/>
        <n v="564"/>
        <n v="601"/>
        <n v="679"/>
        <n v="1191"/>
        <n v="417"/>
        <n v="728"/>
        <n v="586"/>
        <n v="496"/>
        <n v="847"/>
        <n v="661"/>
        <n v="1583"/>
        <n v="550"/>
        <n v="731"/>
        <n v="465"/>
        <n v="414"/>
        <n v="509"/>
        <n v="580"/>
        <n v="670"/>
        <n v="1250"/>
        <n v="529"/>
        <n v="1206"/>
        <n v="557"/>
        <n v="608"/>
        <n v="596"/>
        <n v="476"/>
        <n v="971"/>
        <n v="501"/>
        <n v="499"/>
        <n v="455"/>
        <n v="450"/>
        <n v="456"/>
        <n v="1137"/>
        <n v="635"/>
        <n v="891"/>
        <n v="520"/>
        <n v="460"/>
        <n v="677"/>
        <n v="358"/>
        <n v="389"/>
        <n v="469"/>
        <n v="763"/>
        <n v="1099"/>
        <n v="372"/>
        <n v="381"/>
        <n v="705"/>
        <n v="478"/>
        <n v="582"/>
        <n v="479"/>
        <n v="376"/>
        <n v="1054"/>
        <n v="1020"/>
        <n v="768"/>
        <n v="430"/>
        <n v="1278"/>
        <n v="415"/>
        <n v="382"/>
        <n v="987"/>
        <n v="463"/>
        <n v="494"/>
        <n v="908"/>
        <n v="243"/>
        <n v="845"/>
        <n v="432"/>
        <n v="963"/>
        <n v="442"/>
        <n v="173"/>
        <n v="892"/>
        <n v="521"/>
        <n v="935"/>
        <n v="575"/>
        <n v="386"/>
        <n v="359"/>
        <n v="527"/>
        <n v="212"/>
        <n v="341"/>
        <n v="280"/>
        <n v="452"/>
        <n v="457"/>
        <n v="307"/>
        <n v="881"/>
        <n v="692"/>
        <n v="440"/>
        <n v="397"/>
        <n v="349"/>
        <n v="405"/>
        <n v="776"/>
        <n v="835"/>
        <n v="855"/>
        <n v="318"/>
        <n v="427"/>
        <n v="161"/>
        <n v="793"/>
        <n v="232"/>
        <n v="461"/>
        <n v="718"/>
        <n v="354"/>
        <n v="805"/>
        <n v="375"/>
        <n v="526"/>
        <n v="407"/>
        <n v="355"/>
        <n v="786"/>
        <n v="506"/>
        <n v="493"/>
        <n v="329"/>
        <n v="734"/>
        <n v="235"/>
        <n v="471"/>
        <n v="431"/>
        <n v="266"/>
        <n v="347"/>
        <n v="388"/>
        <n v="260"/>
        <n v="464"/>
        <n v="403"/>
        <n v="693"/>
        <n v="278"/>
        <n v="552"/>
        <n v="377"/>
        <n v="305"/>
        <n v="255"/>
        <n v="170"/>
        <n v="356"/>
        <n v="256"/>
        <n v="308"/>
        <n v="423"/>
        <n v="209"/>
        <n v="548"/>
        <n v="218"/>
        <n v="168"/>
        <n v="258"/>
        <n v="205"/>
        <n v="224"/>
        <n v="387"/>
        <n v="302"/>
        <n v="316"/>
        <n v="287"/>
        <n v="272"/>
        <n v="195"/>
        <n v="284"/>
        <n v="228"/>
        <n v="585"/>
        <n v="570"/>
        <n v="239"/>
        <n v="264"/>
        <n v="214"/>
        <n v="227"/>
        <n v="204"/>
        <n v="553"/>
        <n v="253"/>
        <n v="208"/>
        <n v="247"/>
        <n v="290"/>
        <n v="175"/>
        <n v="145"/>
        <n v="487"/>
        <n v="234"/>
        <n v="254"/>
        <n v="236"/>
        <n v="198"/>
        <n v="50"/>
        <n v="178"/>
        <n v="369"/>
        <n v="473"/>
        <n v="140"/>
        <n v="408"/>
        <n v="402"/>
        <n v="219"/>
        <n v="213"/>
        <n v="99"/>
        <n v="192"/>
        <n v="226"/>
        <n v="183"/>
        <n v="202"/>
        <n v="194"/>
        <n v="424"/>
        <n v="217"/>
        <n v="420"/>
        <n v="162"/>
        <n v="116"/>
        <n v="220"/>
        <n v="421"/>
        <n v="155"/>
        <n v="379"/>
        <n v="292"/>
        <n v="81"/>
        <n v="157"/>
        <n v="163"/>
        <n v="357"/>
        <n v="319"/>
        <n v="134"/>
        <n v="97"/>
        <n v="346"/>
        <n v="348"/>
        <n v="146"/>
        <n v="106"/>
        <n v="197"/>
        <n v="339"/>
        <n v="320"/>
        <n v="141"/>
        <n v="188"/>
        <n v="225"/>
        <n v="85"/>
        <n v="169"/>
        <n v="328"/>
        <n v="160"/>
        <n v="164"/>
        <n v="147"/>
        <n v="154"/>
        <n v="128"/>
        <n v="304"/>
        <n v="248"/>
        <n v="190"/>
        <n v="244"/>
        <n v="120"/>
        <n v="131"/>
        <n v="138"/>
        <n v="60"/>
        <n v="111"/>
        <n v="129"/>
        <n v="270"/>
        <n v="286"/>
        <n v="126"/>
        <n v="238"/>
        <n v="240"/>
        <n v="137"/>
        <n v="181"/>
        <n v="112"/>
        <n v="152"/>
        <n v="114"/>
        <n v="215"/>
        <n v="96"/>
        <n v="153"/>
        <n v="108"/>
        <n v="105"/>
        <n v="119"/>
        <n v="184"/>
        <n v="135"/>
        <n v="98"/>
        <n v="94"/>
        <n v="44"/>
        <n v="222"/>
        <n v="187"/>
        <n v="110"/>
        <n v="63"/>
        <n v="121"/>
        <n v="186"/>
        <n v="201"/>
        <n v="206"/>
        <n v="83"/>
        <n v="159"/>
        <n v="115"/>
        <n v="107"/>
        <n v="193"/>
        <n v="47"/>
        <n v="185"/>
        <n v="70"/>
        <n v="174"/>
        <n v="109"/>
        <n v="84"/>
        <n v="180"/>
        <n v="172"/>
        <n v="71"/>
        <n v="38"/>
        <n v="156"/>
        <n v="167"/>
        <n v="15"/>
        <n v="67"/>
        <n v="75"/>
        <n v="68"/>
        <n v="77"/>
        <n v="79"/>
        <n v="69"/>
        <n v="73"/>
        <n v="80"/>
        <n v="61"/>
        <n v="56"/>
        <n v="136"/>
        <n v="57"/>
        <n v="59"/>
        <n v="37"/>
        <n v="55"/>
        <n v="118"/>
        <n v="58"/>
        <n v="65"/>
        <n v="51"/>
        <n v="78"/>
        <n v="64"/>
        <n v="102"/>
        <n v="101"/>
        <n v="53"/>
        <n v="25"/>
        <n v="28"/>
        <n v="40"/>
        <n v="100"/>
        <n v="66"/>
        <n v="86"/>
        <n v="76"/>
        <n v="48"/>
        <n v="16"/>
        <n v="33"/>
        <n v="72"/>
        <n v="43"/>
        <n v="23"/>
        <n v="36"/>
        <n v="32"/>
        <n v="24"/>
        <n v="46"/>
        <n v="30"/>
        <n v="42"/>
        <n v="49"/>
        <n v="27"/>
        <n v="35"/>
        <n v="45"/>
        <n v="31"/>
        <n v="39"/>
        <n v="18"/>
        <n v="34"/>
        <n v="29"/>
        <n v="19"/>
        <n v="21"/>
        <n v="26"/>
        <n v="17"/>
        <n v="20"/>
        <n v="22"/>
        <n v="11"/>
        <n v="14"/>
        <n v="12"/>
        <n v="10"/>
        <n v="6"/>
        <n v="5"/>
        <n v="3"/>
        <n v="2"/>
        <m/>
        <n v="5191"/>
        <n v="2749"/>
        <n v="1902"/>
        <n v="89"/>
        <n v="574"/>
        <n v="21358"/>
        <n v="237"/>
        <n v="890"/>
        <n v="462"/>
        <n v="9817"/>
        <n v="913"/>
        <n v="1888"/>
        <n v="706"/>
        <n v="33473"/>
        <n v="9688"/>
        <n v="7059"/>
        <n v="18901"/>
        <n v="5233"/>
        <n v="79026"/>
        <n v="9996"/>
        <n v="1302"/>
        <n v="468"/>
        <n v="800"/>
        <n v="3572"/>
        <n v="3568"/>
        <n v="489"/>
        <n v="88"/>
        <n v="13459"/>
      </sharedItems>
    </cacheField>
    <cacheField name="Volume total a" numFmtId="0">
      <sharedItems containsSemiMixedTypes="0" containsString="0" containsNumber="1" containsInteger="1" minValue="0" maxValue="2352092" count="865">
        <n v="2352092"/>
        <n v="1829147"/>
        <n v="1506199"/>
        <n v="902689"/>
        <n v="492015"/>
        <n v="475767"/>
        <n v="454352"/>
        <n v="445070"/>
        <n v="229898"/>
        <n v="343586"/>
        <n v="327494"/>
        <n v="304336"/>
        <n v="304871"/>
        <n v="252278"/>
        <n v="235869"/>
        <n v="81061"/>
        <n v="194698"/>
        <n v="184646"/>
        <n v="182504"/>
        <n v="178271"/>
        <n v="80007"/>
        <n v="163414"/>
        <n v="140288"/>
        <n v="137696"/>
        <n v="134487"/>
        <n v="133619"/>
        <n v="130536"/>
        <n v="88022"/>
        <n v="56809"/>
        <n v="99981"/>
        <n v="90498"/>
        <n v="86902"/>
        <n v="83853"/>
        <n v="82754"/>
        <n v="66514"/>
        <n v="65225"/>
        <n v="62733"/>
        <n v="62367"/>
        <n v="60325"/>
        <n v="58455"/>
        <n v="24846"/>
        <n v="56652"/>
        <n v="52400"/>
        <n v="25849"/>
        <n v="46561"/>
        <n v="9548"/>
        <n v="47062"/>
        <n v="42387"/>
        <n v="22483"/>
        <n v="15639"/>
        <n v="19415"/>
        <n v="38975"/>
        <n v="39199"/>
        <n v="38713"/>
        <n v="37570"/>
        <n v="26655"/>
        <n v="34481"/>
        <n v="37362"/>
        <n v="36357"/>
        <n v="35786"/>
        <n v="34685"/>
        <n v="35050"/>
        <n v="34970"/>
        <n v="34925"/>
        <n v="8681"/>
        <n v="10722"/>
        <n v="30441"/>
        <n v="32086"/>
        <n v="30830"/>
        <n v="30557"/>
        <n v="14559"/>
        <n v="30019"/>
        <n v="30336"/>
        <n v="30216"/>
        <n v="29902"/>
        <n v="28344"/>
        <n v="28349"/>
        <n v="19257"/>
        <n v="28303"/>
        <n v="27904"/>
        <n v="27594"/>
        <n v="26506"/>
        <n v="25885"/>
        <n v="24973"/>
        <n v="24363"/>
        <n v="10356"/>
        <n v="23269"/>
        <n v="15333"/>
        <n v="23158"/>
        <n v="23524"/>
        <n v="23299"/>
        <n v="14071"/>
        <n v="22400"/>
        <n v="22242"/>
        <n v="21830"/>
        <n v="21784"/>
        <n v="21203"/>
        <n v="21008"/>
        <n v="19185"/>
        <n v="20477"/>
        <n v="19393"/>
        <n v="19623"/>
        <n v="19466"/>
        <n v="18668"/>
        <n v="18563"/>
        <n v="18528"/>
        <n v="17837"/>
        <n v="17616"/>
        <n v="11351"/>
        <n v="15645"/>
        <n v="14825"/>
        <n v="16554"/>
        <n v="627"/>
        <n v="11039"/>
        <n v="13886"/>
        <n v="15725"/>
        <n v="8586"/>
        <n v="14062"/>
        <n v="12961"/>
        <n v="15247"/>
        <n v="14880"/>
        <n v="14830"/>
        <n v="14836"/>
        <n v="14583"/>
        <n v="13735"/>
        <n v="14150"/>
        <n v="13255"/>
        <n v="13623"/>
        <n v="12604"/>
        <n v="11883"/>
        <n v="7656"/>
        <n v="9108"/>
        <n v="12478"/>
        <n v="7709"/>
        <n v="7144"/>
        <n v="5550"/>
        <n v="10149"/>
        <n v="11256"/>
        <n v="11090"/>
        <n v="10629"/>
        <n v="4493"/>
        <n v="10304"/>
        <n v="10247"/>
        <n v="10233"/>
        <n v="5148"/>
        <n v="10178"/>
        <n v="8836"/>
        <n v="7982"/>
        <n v="9804"/>
        <n v="9541"/>
        <n v="9629"/>
        <n v="5484"/>
        <n v="9465"/>
        <n v="9705"/>
        <n v="4656"/>
        <n v="9039"/>
        <n v="9302"/>
        <n v="9389"/>
        <n v="7856"/>
        <n v="8863"/>
        <n v="9263"/>
        <n v="9288"/>
        <n v="9296"/>
        <n v="4805"/>
        <n v="9020"/>
        <n v="3565"/>
        <n v="7348"/>
        <n v="8791"/>
        <n v="8778"/>
        <n v="5364"/>
        <n v="8311"/>
        <n v="7576"/>
        <n v="8212"/>
        <n v="7717"/>
        <n v="7993"/>
        <n v="4873"/>
        <n v="7985"/>
        <n v="5151"/>
        <n v="7357"/>
        <n v="7741"/>
        <n v="7749"/>
        <n v="7668"/>
        <n v="6127"/>
        <n v="7459"/>
        <n v="7421"/>
        <n v="5493"/>
        <n v="7317"/>
        <n v="5265"/>
        <n v="7216"/>
        <n v="7182"/>
        <n v="7101"/>
        <n v="5896"/>
        <n v="6028"/>
        <n v="6970"/>
        <n v="4846"/>
        <n v="6906"/>
        <n v="6423"/>
        <n v="6306"/>
        <n v="6575"/>
        <n v="4517"/>
        <n v="6515"/>
        <n v="517"/>
        <n v="6440"/>
        <n v="6415"/>
        <n v="6336"/>
        <n v="4369"/>
        <n v="4129"/>
        <n v="5879"/>
        <n v="4073"/>
        <n v="5782"/>
        <n v="5789"/>
        <n v="5635"/>
        <n v="5656"/>
        <n v="5593"/>
        <n v="5565"/>
        <n v="5055"/>
        <n v="7332"/>
        <n v="5470"/>
        <n v="5243"/>
        <n v="5303"/>
        <n v="5193"/>
        <n v="5252"/>
        <n v="5159"/>
        <n v="5123"/>
        <n v="5079"/>
        <n v="4928"/>
        <n v="4966"/>
        <n v="3267"/>
        <n v="3726"/>
        <n v="4017"/>
        <n v="4794"/>
        <n v="4793"/>
        <n v="2936"/>
        <n v="4732"/>
        <n v="4651"/>
        <n v="4569"/>
        <n v="4576"/>
        <n v="4428"/>
        <n v="4497"/>
        <n v="4540"/>
        <n v="4121"/>
        <n v="4474"/>
        <n v="4453"/>
        <n v="4345"/>
        <n v="4117"/>
        <n v="4312"/>
        <n v="4351"/>
        <n v="3943"/>
        <n v="4303"/>
        <n v="3730"/>
        <n v="4253"/>
        <n v="4207"/>
        <n v="4140"/>
        <n v="3891"/>
        <n v="3822"/>
        <n v="4007"/>
        <n v="4023"/>
        <n v="4018"/>
        <n v="4000"/>
        <n v="3790"/>
        <n v="1926"/>
        <n v="3915"/>
        <n v="3550"/>
        <n v="2667"/>
        <n v="1952"/>
        <n v="3798"/>
        <n v="3770"/>
        <n v="3634"/>
        <n v="3753"/>
        <n v="2819"/>
        <n v="3694"/>
        <n v="2563"/>
        <n v="3656"/>
        <n v="3655"/>
        <n v="3646"/>
        <n v="3399"/>
        <n v="3579"/>
        <n v="3505"/>
        <n v="3552"/>
        <n v="3545"/>
        <n v="3526"/>
        <n v="3511"/>
        <n v="3487"/>
        <n v="3475"/>
        <n v="3251"/>
        <n v="3470"/>
        <n v="3384"/>
        <n v="3356"/>
        <n v="3353"/>
        <n v="3337"/>
        <n v="3270"/>
        <n v="1408"/>
        <n v="2688"/>
        <n v="3282"/>
        <n v="3246"/>
        <n v="2757"/>
        <n v="2748"/>
        <n v="2970"/>
        <n v="3170"/>
        <n v="3145"/>
        <n v="3128"/>
        <n v="3077"/>
        <n v="3040"/>
        <n v="3048"/>
        <n v="3032"/>
        <n v="3044"/>
        <n v="3026"/>
        <n v="2963"/>
        <n v="2999"/>
        <n v="2973"/>
        <n v="2202"/>
        <n v="2943"/>
        <n v="2911"/>
        <n v="2847"/>
        <n v="2816"/>
        <n v="2879"/>
        <n v="2846"/>
        <n v="2807"/>
        <n v="2829"/>
        <n v="1642"/>
        <n v="2823"/>
        <n v="2742"/>
        <n v="1403"/>
        <n v="757"/>
        <n v="2707"/>
        <n v="2789"/>
        <n v="2519"/>
        <n v="2775"/>
        <n v="2260"/>
        <n v="2729"/>
        <n v="2364"/>
        <n v="2714"/>
        <n v="2712"/>
        <n v="2684"/>
        <n v="2587"/>
        <n v="2175"/>
        <n v="2601"/>
        <n v="2641"/>
        <n v="2280"/>
        <n v="538"/>
        <n v="2627"/>
        <n v="2616"/>
        <n v="2470"/>
        <n v="2586"/>
        <n v="2604"/>
        <n v="2476"/>
        <n v="2585"/>
        <n v="2464"/>
        <n v="2484"/>
        <n v="2414"/>
        <n v="2427"/>
        <n v="2009"/>
        <n v="2394"/>
        <n v="2351"/>
        <n v="2316"/>
        <n v="1056"/>
        <n v="1751"/>
        <n v="2323"/>
        <n v="2265"/>
        <n v="2270"/>
        <n v="2259"/>
        <n v="2257"/>
        <n v="2250"/>
        <n v="2243"/>
        <n v="2170"/>
        <n v="2205"/>
        <n v="2193"/>
        <n v="1849"/>
        <n v="2150"/>
        <n v="1707"/>
        <n v="2135"/>
        <n v="1122"/>
        <n v="2067"/>
        <n v="2101"/>
        <n v="1495"/>
        <n v="1949"/>
        <n v="1968"/>
        <n v="1929"/>
        <n v="1631"/>
        <n v="1942"/>
        <n v="1935"/>
        <n v="1892"/>
        <n v="1911"/>
        <n v="1178"/>
        <n v="1830"/>
        <n v="1821"/>
        <n v="1703"/>
        <n v="1813"/>
        <n v="1787"/>
        <n v="1774"/>
        <n v="1779"/>
        <n v="1790"/>
        <n v="1783"/>
        <n v="1296"/>
        <n v="1772"/>
        <n v="1217"/>
        <n v="1615"/>
        <n v="1749"/>
        <n v="1762"/>
        <n v="1685"/>
        <n v="1165"/>
        <n v="1688"/>
        <n v="1683"/>
        <n v="1609"/>
        <n v="1595"/>
        <n v="1602"/>
        <n v="1593"/>
        <n v="1591"/>
        <n v="827"/>
        <n v="1387"/>
        <n v="1504"/>
        <n v="1559"/>
        <n v="1560"/>
        <n v="1539"/>
        <n v="1512"/>
        <n v="1533"/>
        <n v="1521"/>
        <n v="1520"/>
        <n v="1490"/>
        <n v="1460"/>
        <n v="1429"/>
        <n v="1417"/>
        <n v="1159"/>
        <n v="1371"/>
        <n v="1201"/>
        <n v="1179"/>
        <n v="1411"/>
        <n v="1199"/>
        <n v="1388"/>
        <n v="1396"/>
        <n v="1320"/>
        <n v="1307"/>
        <n v="1367"/>
        <n v="1041"/>
        <n v="1191"/>
        <n v="821"/>
        <n v="1347"/>
        <n v="1343"/>
        <n v="1326"/>
        <n v="847"/>
        <n v="1318"/>
        <n v="3009"/>
        <n v="1310"/>
        <n v="1286"/>
        <n v="1277"/>
        <n v="863"/>
        <n v="956"/>
        <n v="509"/>
        <n v="1230"/>
        <n v="1256"/>
        <n v="1250"/>
        <n v="1237"/>
        <n v="1243"/>
        <n v="1206"/>
        <n v="1227"/>
        <n v="1073"/>
        <n v="1216"/>
        <n v="995"/>
        <n v="1208"/>
        <n v="999"/>
        <n v="872"/>
        <n v="1168"/>
        <n v="840"/>
        <n v="1137"/>
        <n v="1147"/>
        <n v="891"/>
        <n v="985"/>
        <n v="845"/>
        <n v="1129"/>
        <n v="693"/>
        <n v="1118"/>
        <n v="1111"/>
        <n v="1100"/>
        <n v="1099"/>
        <n v="1097"/>
        <n v="1017"/>
        <n v="1091"/>
        <n v="953"/>
        <n v="1052"/>
        <n v="974"/>
        <n v="1063"/>
        <n v="1054"/>
        <n v="1045"/>
        <n v="1020"/>
        <n v="768"/>
        <n v="998"/>
        <n v="1006"/>
        <n v="986"/>
        <n v="987"/>
        <n v="980"/>
        <n v="908"/>
        <n v="972"/>
        <n v="963"/>
        <n v="961"/>
        <n v="948"/>
        <n v="173"/>
        <n v="892"/>
        <n v="521"/>
        <n v="935"/>
        <n v="926"/>
        <n v="930"/>
        <n v="844"/>
        <n v="228"/>
        <n v="916"/>
        <n v="541"/>
        <n v="906"/>
        <n v="889"/>
        <n v="898"/>
        <n v="882"/>
        <n v="692"/>
        <n v="835"/>
        <n v="628"/>
        <n v="854"/>
        <n v="776"/>
        <n v="865"/>
        <n v="855"/>
        <n v="739"/>
        <n v="816"/>
        <n v="850"/>
        <n v="793"/>
        <n v="657"/>
        <n v="829"/>
        <n v="830"/>
        <n v="718"/>
        <n v="819"/>
        <n v="805"/>
        <n v="804"/>
        <n v="798"/>
        <n v="801"/>
        <n v="787"/>
        <n v="786"/>
        <n v="506"/>
        <n v="763"/>
        <n v="778"/>
        <n v="755"/>
        <n v="734"/>
        <n v="235"/>
        <n v="752"/>
        <n v="750"/>
        <n v="748"/>
        <n v="741"/>
        <n v="729"/>
        <n v="720"/>
        <n v="573"/>
        <n v="705"/>
        <n v="698"/>
        <n v="278"/>
        <n v="655"/>
        <n v="676"/>
        <n v="651"/>
        <n v="659"/>
        <n v="566"/>
        <n v="614"/>
        <n v="613"/>
        <n v="639"/>
        <n v="423"/>
        <n v="339"/>
        <n v="634"/>
        <n v="586"/>
        <n v="633"/>
        <n v="622"/>
        <n v="362"/>
        <n v="459"/>
        <n v="558"/>
        <n v="329"/>
        <n v="387"/>
        <n v="606"/>
        <n v="596"/>
        <n v="484"/>
        <n v="603"/>
        <n v="599"/>
        <n v="585"/>
        <n v="527"/>
        <n v="570"/>
        <n v="578"/>
        <n v="569"/>
        <n v="507"/>
        <n v="455"/>
        <n v="561"/>
        <n v="549"/>
        <n v="551"/>
        <n v="553"/>
        <n v="493"/>
        <n v="546"/>
        <n v="544"/>
        <n v="537"/>
        <n v="543"/>
        <n v="531"/>
        <n v="145"/>
        <n v="487"/>
        <n v="503"/>
        <n v="501"/>
        <n v="267"/>
        <n v="483"/>
        <n v="432"/>
        <n v="454"/>
        <n v="50"/>
        <n v="488"/>
        <n v="475"/>
        <n v="473"/>
        <n v="431"/>
        <n v="460"/>
        <n v="402"/>
        <n v="464"/>
        <n v="440"/>
        <n v="308"/>
        <n v="457"/>
        <n v="449"/>
        <n v="451"/>
        <n v="447"/>
        <n v="435"/>
        <n v="443"/>
        <n v="424"/>
        <n v="378"/>
        <n v="434"/>
        <n v="420"/>
        <n v="429"/>
        <n v="425"/>
        <n v="421"/>
        <n v="368"/>
        <n v="418"/>
        <n v="389"/>
        <n v="406"/>
        <n v="391"/>
        <n v="379"/>
        <n v="292"/>
        <n v="382"/>
        <n v="381"/>
        <n v="364"/>
        <n v="377"/>
        <n v="371"/>
        <n v="357"/>
        <n v="319"/>
        <n v="361"/>
        <n v="355"/>
        <n v="360"/>
        <n v="356"/>
        <n v="346"/>
        <n v="348"/>
        <n v="347"/>
        <n v="320"/>
        <n v="336"/>
        <n v="332"/>
        <n v="305"/>
        <n v="326"/>
        <n v="331"/>
        <n v="169"/>
        <n v="328"/>
        <n v="322"/>
        <n v="314"/>
        <n v="318"/>
        <n v="309"/>
        <n v="307"/>
        <n v="306"/>
        <n v="304"/>
        <n v="248"/>
        <n v="303"/>
        <n v="242"/>
        <n v="295"/>
        <n v="300"/>
        <n v="289"/>
        <n v="60"/>
        <n v="290"/>
        <n v="286"/>
        <n v="282"/>
        <n v="238"/>
        <n v="240"/>
        <n v="276"/>
        <n v="281"/>
        <n v="274"/>
        <n v="270"/>
        <n v="277"/>
        <n v="272"/>
        <n v="273"/>
        <n v="194"/>
        <n v="241"/>
        <n v="264"/>
        <n v="215"/>
        <n v="245"/>
        <n v="256"/>
        <n v="258"/>
        <n v="257"/>
        <n v="253"/>
        <n v="251"/>
        <n v="250"/>
        <n v="184"/>
        <n v="227"/>
        <n v="244"/>
        <n v="190"/>
        <n v="236"/>
        <n v="229"/>
        <n v="234"/>
        <n v="231"/>
        <n v="233"/>
        <n v="140"/>
        <n v="44"/>
        <n v="222"/>
        <n v="224"/>
        <n v="223"/>
        <n v="220"/>
        <n v="219"/>
        <n v="201"/>
        <n v="213"/>
        <n v="183"/>
        <n v="206"/>
        <n v="181"/>
        <n v="209"/>
        <n v="171"/>
        <n v="203"/>
        <n v="159"/>
        <n v="198"/>
        <n v="197"/>
        <n v="186"/>
        <n v="191"/>
        <n v="195"/>
        <n v="193"/>
        <n v="185"/>
        <n v="187"/>
        <n v="119"/>
        <n v="174"/>
        <n v="177"/>
        <n v="180"/>
        <n v="96"/>
        <n v="175"/>
        <n v="172"/>
        <n v="170"/>
        <n v="156"/>
        <n v="167"/>
        <n v="160"/>
        <n v="136"/>
        <n v="161"/>
        <n v="162"/>
        <n v="155"/>
        <n v="154"/>
        <n v="151"/>
        <n v="146"/>
        <n v="149"/>
        <n v="147"/>
        <n v="142"/>
        <n v="73"/>
        <n v="130"/>
        <n v="121"/>
        <n v="134"/>
        <n v="139"/>
        <n v="123"/>
        <n v="137"/>
        <n v="97"/>
        <n v="61"/>
        <n v="129"/>
        <n v="125"/>
        <n v="107"/>
        <n v="126"/>
        <n v="57"/>
        <n v="122"/>
        <n v="118"/>
        <n v="112"/>
        <n v="116"/>
        <n v="115"/>
        <n v="109"/>
        <n v="113"/>
        <n v="110"/>
        <n v="111"/>
        <n v="102"/>
        <n v="101"/>
        <n v="53"/>
        <n v="66"/>
        <n v="104"/>
        <n v="89"/>
        <n v="100"/>
        <n v="98"/>
        <n v="85"/>
        <n v="94"/>
        <n v="91"/>
        <n v="86"/>
        <n v="0"/>
        <n v="75"/>
        <n v="83"/>
        <n v="81"/>
        <n v="69"/>
        <n v="80"/>
        <n v="77"/>
        <n v="16"/>
        <n v="76"/>
        <n v="72"/>
        <n v="70"/>
        <n v="68"/>
        <n v="65"/>
        <n v="64"/>
        <n v="63"/>
        <n v="62"/>
        <n v="32"/>
        <n v="59"/>
        <n v="24"/>
        <n v="46"/>
        <n v="56"/>
        <n v="55"/>
        <n v="54"/>
        <n v="49"/>
        <n v="51"/>
        <n v="47"/>
        <n v="48"/>
        <n v="42"/>
        <n v="45"/>
        <n v="43"/>
        <n v="38"/>
        <n v="39"/>
        <n v="40"/>
        <n v="37"/>
        <n v="36"/>
        <n v="18"/>
        <n v="35"/>
        <n v="34"/>
        <n v="33"/>
        <n v="28"/>
        <n v="29"/>
        <n v="27"/>
        <n v="19"/>
        <n v="26"/>
        <n v="25"/>
        <n v="20"/>
        <n v="22"/>
        <n v="23"/>
        <n v="21"/>
        <n v="17"/>
        <n v="14"/>
        <n v="12"/>
        <n v="11"/>
        <n v="10"/>
        <n v="6"/>
        <n v="5"/>
        <n v="3"/>
        <n v="2"/>
        <n v="9853"/>
        <n v="10459"/>
        <n v="283"/>
        <n v="7528"/>
        <n v="3789"/>
        <n v="225"/>
        <n v="1126"/>
        <n v="26513"/>
        <n v="299"/>
        <n v="1635"/>
        <n v="1049"/>
        <n v="67027"/>
        <n v="120"/>
        <n v="947"/>
        <n v="4403"/>
        <n v="1342"/>
        <n v="56678"/>
        <n v="20755"/>
        <n v="15250"/>
        <n v="18901"/>
        <n v="9502"/>
        <n v="157077"/>
        <n v="10377"/>
        <n v="2783"/>
        <n v="970"/>
        <n v="800"/>
        <n v="14018"/>
        <n v="6628"/>
        <n v="547"/>
        <n v="1014"/>
        <n v="864"/>
        <n v="99"/>
        <n v="24072"/>
      </sharedItems>
    </cacheField>
    <cacheField name="volume_total_1_semestre" numFmtId="0">
      <sharedItems containsSemiMixedTypes="0" containsString="0" containsNumber="1" containsInteger="1" minValue="0" maxValue="767011" count="655">
        <n v="386948"/>
        <n v="0"/>
        <n v="767011"/>
        <n v="479107"/>
        <n v="297150"/>
        <n v="423557"/>
        <n v="316678"/>
        <n v="226170"/>
        <n v="218809"/>
        <n v="130722"/>
        <n v="145555"/>
        <n v="155950"/>
        <n v="146859"/>
        <n v="64306"/>
        <n v="94871"/>
        <n v="97043"/>
        <n v="91304"/>
        <n v="83663"/>
        <n v="80991"/>
        <n v="93250"/>
        <n v="61741"/>
        <n v="57614"/>
        <n v="52795"/>
        <n v="69308"/>
        <n v="69514"/>
        <n v="57105"/>
        <n v="51014"/>
        <n v="46948"/>
        <n v="33686"/>
        <n v="33789"/>
        <n v="38551"/>
        <n v="48638"/>
        <n v="31147"/>
        <n v="30498"/>
        <n v="41351"/>
        <n v="27117"/>
        <n v="28854"/>
        <n v="27754"/>
        <n v="24845"/>
        <n v="21971"/>
        <n v="17648"/>
        <n v="84"/>
        <n v="28979"/>
        <n v="21398"/>
        <n v="12587"/>
        <n v="19813"/>
        <n v="23598"/>
        <n v="29291"/>
        <n v="16058"/>
        <n v="451"/>
        <n v="16699"/>
        <n v="7963"/>
        <n v="16123"/>
        <n v="24316"/>
        <n v="355"/>
        <n v="15669"/>
        <n v="16302"/>
        <n v="17580"/>
        <n v="12260"/>
        <n v="6414"/>
        <n v="22544"/>
        <n v="17634"/>
        <n v="17670"/>
        <n v="11579"/>
        <n v="12853"/>
        <n v="19923"/>
        <n v="11534"/>
        <n v="16573"/>
        <n v="13093"/>
        <n v="255"/>
        <n v="17637"/>
        <n v="14531"/>
        <n v="14336"/>
        <n v="14250"/>
        <n v="13369"/>
        <n v="16122"/>
        <n v="11746"/>
        <n v="215"/>
        <n v="9518"/>
        <n v="14955"/>
        <n v="11633"/>
        <n v="5161"/>
        <n v="13422"/>
        <n v="6627"/>
        <n v="10230"/>
        <n v="12706"/>
        <n v="9558"/>
        <n v="10519"/>
        <n v="14357"/>
        <n v="10432"/>
        <n v="13749"/>
        <n v="9879"/>
        <n v="11854"/>
        <n v="126"/>
        <n v="9812"/>
        <n v="9215"/>
        <n v="8970"/>
        <n v="9334"/>
        <n v="3513"/>
        <n v="9123"/>
        <n v="8810"/>
        <n v="6931"/>
        <n v="6317"/>
        <n v="6594"/>
        <n v="9303"/>
        <n v="7445"/>
        <n v="1112"/>
        <n v="8946"/>
        <n v="7255"/>
        <n v="7538"/>
        <n v="1360"/>
        <n v="7874"/>
        <n v="7853"/>
        <n v="6146"/>
        <n v="7742"/>
        <n v="4920"/>
        <n v="6622"/>
        <n v="483"/>
        <n v="7178"/>
        <n v="6153"/>
        <n v="5762"/>
        <n v="6071"/>
        <n v="5622"/>
        <n v="6138"/>
        <n v="5294"/>
        <n v="5229"/>
        <n v="4942"/>
        <n v="5580"/>
        <n v="5061"/>
        <n v="6392"/>
        <n v="4823"/>
        <n v="2716"/>
        <n v="4698"/>
        <n v="6947"/>
        <n v="5004"/>
        <n v="4420"/>
        <n v="5636"/>
        <n v="5082"/>
        <n v="619"/>
        <n v="3650"/>
        <n v="5811"/>
        <n v="5508"/>
        <n v="4098"/>
        <n v="205"/>
        <n v="5286"/>
        <n v="4134"/>
        <n v="116"/>
        <n v="7581"/>
        <n v="5937"/>
        <n v="4911"/>
        <n v="4677"/>
        <n v="5017"/>
        <n v="4755"/>
        <n v="4138"/>
        <n v="4507"/>
        <n v="2861"/>
        <n v="4352"/>
        <n v="4372"/>
        <n v="3918"/>
        <n v="4391"/>
        <n v="5040"/>
        <n v="4383"/>
        <n v="3897"/>
        <n v="4322"/>
        <n v="3387"/>
        <n v="4199"/>
        <n v="4204"/>
        <n v="3460"/>
        <n v="3123"/>
        <n v="3580"/>
        <n v="4288"/>
        <n v="3472"/>
        <n v="2966"/>
        <n v="3133"/>
        <n v="3190"/>
        <n v="3421"/>
        <n v="6252"/>
        <n v="4237"/>
        <n v="3882"/>
        <n v="3823"/>
        <n v="3894"/>
        <n v="2717"/>
        <n v="3417"/>
        <n v="2810"/>
        <n v="4497"/>
        <n v="4234"/>
        <n v="3637"/>
        <n v="3274"/>
        <n v="3263"/>
        <n v="3249"/>
        <n v="3318"/>
        <n v="3716"/>
        <n v="3426"/>
        <n v="2904"/>
        <n v="2635"/>
        <n v="3035"/>
        <n v="3104"/>
        <n v="3707"/>
        <n v="1804"/>
        <n v="2805"/>
        <n v="2937"/>
        <n v="2229"/>
        <n v="2683"/>
        <n v="2882"/>
        <n v="2950"/>
        <n v="2372"/>
        <n v="2765"/>
        <n v="2551"/>
        <n v="2131"/>
        <n v="9"/>
        <n v="2826"/>
        <n v="2248"/>
        <n v="2324"/>
        <n v="3543"/>
        <n v="2636"/>
        <n v="3865"/>
        <n v="2567"/>
        <n v="2852"/>
        <n v="2484"/>
        <n v="2173"/>
        <n v="2846"/>
        <n v="2545"/>
        <n v="1905"/>
        <n v="2260"/>
        <n v="1853"/>
        <n v="2554"/>
        <n v="1367"/>
        <n v="50"/>
        <n v="2671"/>
        <n v="2700"/>
        <n v="925"/>
        <n v="3367"/>
        <n v="2083"/>
        <n v="1787"/>
        <n v="2278"/>
        <n v="410"/>
        <n v="2117"/>
        <n v="2524"/>
        <n v="2667"/>
        <n v="2236"/>
        <n v="2332"/>
        <n v="2360"/>
        <n v="1957"/>
        <n v="1127"/>
        <n v="1981"/>
        <n v="1871"/>
        <n v="2147"/>
        <n v="1700"/>
        <n v="2081"/>
        <n v="1592"/>
        <n v="2623"/>
        <n v="338"/>
        <n v="1935"/>
        <n v="1730"/>
        <n v="1709"/>
        <n v="1556"/>
        <n v="2312"/>
        <n v="97"/>
        <n v="1904"/>
        <n v="2362"/>
        <n v="34"/>
        <n v="2347"/>
        <n v="2118"/>
        <n v="1679"/>
        <n v="1902"/>
        <n v="1699"/>
        <n v="1760"/>
        <n v="1319"/>
        <n v="2101"/>
        <n v="1710"/>
        <n v="1786"/>
        <n v="2091"/>
        <n v="2217"/>
        <n v="1961"/>
        <n v="1769"/>
        <n v="819"/>
        <n v="1218"/>
        <n v="1971"/>
        <n v="1849"/>
        <n v="263"/>
        <n v="1529"/>
        <n v="1571"/>
        <n v="1346"/>
        <n v="1860"/>
        <n v="2502"/>
        <n v="1568"/>
        <n v="1752"/>
        <n v="1695"/>
        <n v="1431"/>
        <n v="1759"/>
        <n v="1689"/>
        <n v="351"/>
        <n v="1660"/>
        <n v="1744"/>
        <n v="45"/>
        <n v="714"/>
        <n v="376"/>
        <n v="1369"/>
        <n v="1035"/>
        <n v="1831"/>
        <n v="1286"/>
        <n v="1569"/>
        <n v="1558"/>
        <n v="754"/>
        <n v="882"/>
        <n v="1415"/>
        <n v="1451"/>
        <n v="1595"/>
        <n v="1617"/>
        <n v="1392"/>
        <n v="1089"/>
        <n v="1048"/>
        <n v="1627"/>
        <n v="1458"/>
        <n v="1269"/>
        <n v="1443"/>
        <n v="1373"/>
        <n v="1469"/>
        <n v="1318"/>
        <n v="1141"/>
        <n v="1885"/>
        <n v="1545"/>
        <n v="1578"/>
        <n v="1792"/>
        <n v="1232"/>
        <n v="72"/>
        <n v="1480"/>
        <n v="1125"/>
        <n v="1493"/>
        <n v="1298"/>
        <n v="1368"/>
        <n v="1829"/>
        <n v="1492"/>
        <n v="1798"/>
        <n v="1185"/>
        <n v="1029"/>
        <n v="1305"/>
        <n v="1274"/>
        <n v="1132"/>
        <n v="1113"/>
        <n v="1197"/>
        <n v="1183"/>
        <n v="1389"/>
        <n v="1449"/>
        <n v="2150"/>
        <n v="1091"/>
        <n v="1202"/>
        <n v="863"/>
        <n v="939"/>
        <n v="1234"/>
        <n v="386"/>
        <n v="1331"/>
        <n v="1003"/>
        <n v="178"/>
        <n v="1399"/>
        <n v="1093"/>
        <n v="14"/>
        <n v="757"/>
        <n v="1088"/>
        <n v="900"/>
        <n v="7"/>
        <n v="980"/>
        <n v="87"/>
        <n v="870"/>
        <n v="892"/>
        <n v="1101"/>
        <n v="942"/>
        <n v="779"/>
        <n v="736"/>
        <n v="910"/>
        <n v="1009"/>
        <n v="806"/>
        <n v="1118"/>
        <n v="644"/>
        <n v="940"/>
        <n v="755"/>
        <n v="827"/>
        <n v="1586"/>
        <n v="1045"/>
        <n v="628"/>
        <n v="946"/>
        <n v="1030"/>
        <n v="1018"/>
        <n v="387"/>
        <n v="19"/>
        <n v="726"/>
        <n v="662"/>
        <n v="285"/>
        <n v="770"/>
        <n v="674"/>
        <n v="842"/>
        <n v="616"/>
        <n v="803"/>
        <n v="927"/>
        <n v="717"/>
        <n v="1177"/>
        <n v="125"/>
        <n v="627"/>
        <n v="685"/>
        <n v="741"/>
        <n v="715"/>
        <n v="800"/>
        <n v="774"/>
        <n v="767"/>
        <n v="512"/>
        <n v="63"/>
        <n v="688"/>
        <n v="833"/>
        <n v="233"/>
        <n v="658"/>
        <n v="594"/>
        <n v="749"/>
        <n v="713"/>
        <n v="546"/>
        <n v="600"/>
        <n v="329"/>
        <n v="668"/>
        <n v="586"/>
        <n v="16"/>
        <n v="670"/>
        <n v="540"/>
        <n v="623"/>
        <n v="661"/>
        <n v="237"/>
        <n v="702"/>
        <n v="610"/>
        <n v="606"/>
        <n v="718"/>
        <n v="511"/>
        <n v="145"/>
        <n v="548"/>
        <n v="502"/>
        <n v="452"/>
        <n v="571"/>
        <n v="729"/>
        <n v="339"/>
        <n v="725"/>
        <n v="524"/>
        <n v="477"/>
        <n v="581"/>
        <n v="656"/>
        <n v="587"/>
        <n v="629"/>
        <n v="134"/>
        <n v="579"/>
        <n v="444"/>
        <n v="591"/>
        <n v="611"/>
        <n v="2"/>
        <n v="488"/>
        <n v="38"/>
        <n v="96"/>
        <n v="530"/>
        <n v="519"/>
        <n v="531"/>
        <n v="400"/>
        <n v="28"/>
        <n v="210"/>
        <n v="544"/>
        <n v="492"/>
        <n v="352"/>
        <n v="379"/>
        <n v="575"/>
        <n v="495"/>
        <n v="455"/>
        <n v="598"/>
        <n v="109"/>
        <n v="417"/>
        <n v="392"/>
        <n v="460"/>
        <n v="61"/>
        <n v="356"/>
        <n v="3"/>
        <n v="485"/>
        <n v="414"/>
        <n v="461"/>
        <n v="683"/>
        <n v="25"/>
        <n v="500"/>
        <n v="369"/>
        <n v="390"/>
        <n v="55"/>
        <n v="465"/>
        <n v="11"/>
        <n v="429"/>
        <n v="273"/>
        <n v="394"/>
        <n v="432"/>
        <n v="99"/>
        <n v="415"/>
        <n v="436"/>
        <n v="26"/>
        <n v="177"/>
        <n v="279"/>
        <n v="317"/>
        <n v="475"/>
        <n v="382"/>
        <n v="332"/>
        <n v="458"/>
        <n v="57"/>
        <n v="243"/>
        <n v="297"/>
        <n v="244"/>
        <n v="112"/>
        <n v="299"/>
        <n v="358"/>
        <n v="407"/>
        <n v="288"/>
        <n v="341"/>
        <n v="81"/>
        <n v="354"/>
        <n v="86"/>
        <n v="30"/>
        <n v="281"/>
        <n v="345"/>
        <n v="234"/>
        <n v="102"/>
        <n v="115"/>
        <n v="304"/>
        <n v="290"/>
        <n v="319"/>
        <n v="330"/>
        <n v="361"/>
        <n v="371"/>
        <n v="4"/>
        <n v="282"/>
        <n v="320"/>
        <n v="334"/>
        <n v="270"/>
        <n v="298"/>
        <n v="277"/>
        <n v="256"/>
        <n v="284"/>
        <n v="366"/>
        <n v="199"/>
        <n v="269"/>
        <n v="247"/>
        <n v="409"/>
        <n v="252"/>
        <n v="260"/>
        <n v="307"/>
        <n v="203"/>
        <n v="310"/>
        <n v="108"/>
        <n v="17"/>
        <n v="314"/>
        <n v="245"/>
        <n v="239"/>
        <n v="246"/>
        <n v="258"/>
        <n v="225"/>
        <n v="261"/>
        <n v="264"/>
        <n v="183"/>
        <n v="249"/>
        <n v="226"/>
        <n v="217"/>
        <n v="6"/>
        <n v="142"/>
        <n v="267"/>
        <n v="300"/>
        <n v="231"/>
        <n v="204"/>
        <n v="141"/>
        <n v="158"/>
        <n v="8"/>
        <n v="180"/>
        <n v="240"/>
        <n v="12"/>
        <n v="51"/>
        <n v="221"/>
        <n v="216"/>
        <n v="208"/>
        <n v="5"/>
        <n v="157"/>
        <n v="224"/>
        <n v="153"/>
        <n v="209"/>
        <n v="241"/>
        <n v="150"/>
        <n v="10"/>
        <n v="198"/>
        <n v="148"/>
        <n v="107"/>
        <n v="186"/>
        <n v="162"/>
        <n v="151"/>
        <n v="164"/>
        <n v="154"/>
        <n v="167"/>
        <n v="93"/>
        <n v="31"/>
        <n v="89"/>
        <n v="56"/>
        <n v="165"/>
        <n v="95"/>
        <n v="179"/>
        <n v="161"/>
        <n v="156"/>
        <n v="23"/>
        <n v="138"/>
        <n v="144"/>
        <n v="94"/>
        <n v="166"/>
        <n v="104"/>
        <n v="160"/>
        <n v="39"/>
        <n v="149"/>
        <n v="131"/>
        <n v="132"/>
        <n v="127"/>
        <n v="136"/>
        <n v="135"/>
        <n v="122"/>
        <n v="139"/>
        <n v="43"/>
        <n v="37"/>
        <n v="113"/>
        <n v="98"/>
        <n v="33"/>
        <n v="103"/>
        <n v="88"/>
        <n v="90"/>
        <n v="146"/>
        <n v="117"/>
        <n v="46"/>
        <n v="18"/>
        <n v="101"/>
        <n v="1"/>
        <n v="85"/>
        <n v="79"/>
        <n v="74"/>
        <n v="70"/>
        <n v="73"/>
        <n v="58"/>
        <n v="13"/>
        <n v="64"/>
        <n v="52"/>
        <n v="53"/>
        <n v="27"/>
        <n v="69"/>
        <n v="67"/>
        <n v="66"/>
        <n v="48"/>
        <n v="78"/>
        <n v="35"/>
        <n v="47"/>
        <n v="36"/>
        <n v="60"/>
        <n v="76"/>
        <n v="62"/>
        <n v="29"/>
        <n v="15"/>
        <n v="42"/>
        <n v="21"/>
      </sharedItems>
    </cacheField>
    <cacheField name="volume_total_2_semestre" numFmtId="0">
      <sharedItems containsSemiMixedTypes="0" containsString="0" containsNumber="1" containsInteger="1" minValue="0" maxValue="1965144" count="772">
        <n v="1965144"/>
        <n v="1829147"/>
        <n v="739188"/>
        <n v="423582"/>
        <n v="321743"/>
        <n v="52210"/>
        <n v="138167"/>
        <n v="218900"/>
        <n v="208533"/>
        <n v="343586"/>
        <n v="196810"/>
        <n v="159324"/>
        <n v="148921"/>
        <n v="252278"/>
        <n v="89010"/>
        <n v="154697"/>
        <n v="99827"/>
        <n v="87974"/>
        <n v="91351"/>
        <n v="94608"/>
        <n v="94153"/>
        <n v="70164"/>
        <n v="78547"/>
        <n v="137696"/>
        <n v="76873"/>
        <n v="80824"/>
        <n v="63906"/>
        <n v="50877"/>
        <n v="50449"/>
        <n v="99981"/>
        <n v="39484"/>
        <n v="41657"/>
        <n v="87427"/>
        <n v="49068"/>
        <n v="33148"/>
        <n v="26674"/>
        <n v="14095"/>
        <n v="31478"/>
        <n v="30719"/>
        <n v="17104"/>
        <n v="31332"/>
        <n v="27798"/>
        <n v="24646"/>
        <n v="26401"/>
        <n v="28982"/>
        <n v="32730"/>
        <n v="47150"/>
        <n v="17939"/>
        <n v="23572"/>
        <n v="29603"/>
        <n v="20613"/>
        <n v="15864"/>
        <n v="9908"/>
        <n v="22655"/>
        <n v="37864"/>
        <n v="21359"/>
        <n v="29720"/>
        <n v="21239"/>
        <n v="12041"/>
        <n v="35786"/>
        <n v="34754"/>
        <n v="19381"/>
        <n v="18668"/>
        <n v="17345"/>
        <n v="22613"/>
        <n v="25884"/>
        <n v="9657"/>
        <n v="14452"/>
        <n v="13401"/>
        <n v="19089"/>
        <n v="17713"/>
        <n v="10457"/>
        <n v="18802"/>
        <n v="13643"/>
        <n v="16809"/>
        <n v="28511"/>
        <n v="11014"/>
        <n v="14004"/>
        <n v="13967"/>
        <n v="13654"/>
        <n v="14225"/>
        <n v="10442"/>
        <n v="14139"/>
        <n v="24973"/>
        <n v="24512"/>
        <n v="15091"/>
        <n v="8940"/>
        <n v="11968"/>
        <n v="18408"/>
        <n v="10102"/>
        <n v="16672"/>
        <n v="13053"/>
        <n v="9694"/>
        <n v="12684"/>
        <n v="11311"/>
        <n v="7460"/>
        <n v="10771"/>
        <n v="7286"/>
        <n v="10806"/>
        <n v="8739"/>
        <n v="19539"/>
        <n v="9811"/>
        <n v="10251"/>
        <n v="9593"/>
        <n v="9194"/>
        <n v="14455"/>
        <n v="8493"/>
        <n v="8104"/>
        <n v="9872"/>
        <n v="10417"/>
        <n v="9960"/>
        <n v="7087"/>
        <n v="8836"/>
        <n v="15033"/>
        <n v="6779"/>
        <n v="8386"/>
        <n v="7995"/>
        <n v="14132"/>
        <n v="15247"/>
        <n v="7006"/>
        <n v="6993"/>
        <n v="8690"/>
        <n v="6841"/>
        <n v="9336"/>
        <n v="7528"/>
        <n v="13588"/>
        <n v="6599"/>
        <n v="7367"/>
        <n v="7158"/>
        <n v="6607"/>
        <n v="6910"/>
        <n v="6340"/>
        <n v="7114"/>
        <n v="6867"/>
        <n v="7093"/>
        <n v="5947"/>
        <n v="6195"/>
        <n v="4698"/>
        <n v="5806"/>
        <n v="7707"/>
        <n v="5606"/>
        <n v="3341"/>
        <n v="5282"/>
        <n v="5769"/>
        <n v="4542"/>
        <n v="4926"/>
        <n v="9373"/>
        <n v="6211"/>
        <n v="4036"/>
        <n v="4338"/>
        <n v="5731"/>
        <n v="9584"/>
        <n v="9705"/>
        <n v="4411"/>
        <n v="5518"/>
        <n v="9376"/>
        <n v="1878"/>
        <n v="3502"/>
        <n v="4521"/>
        <n v="4720"/>
        <n v="4373"/>
        <n v="4541"/>
        <n v="4987"/>
        <n v="4513"/>
        <n v="5962"/>
        <n v="4441"/>
        <n v="8791"/>
        <n v="4406"/>
        <n v="4845"/>
        <n v="3921"/>
        <n v="3190"/>
        <n v="3829"/>
        <n v="4268"/>
        <n v="3801"/>
        <n v="4662"/>
        <n v="3786"/>
        <n v="3628"/>
        <n v="4342"/>
        <n v="4631"/>
        <n v="4169"/>
        <n v="3380"/>
        <n v="4004"/>
        <n v="4493"/>
        <n v="4288"/>
        <n v="4228"/>
        <n v="7317"/>
        <n v="3874"/>
        <n v="965"/>
        <n v="2945"/>
        <n v="3219"/>
        <n v="3256"/>
        <n v="3109"/>
        <n v="4284"/>
        <n v="3574"/>
        <n v="4151"/>
        <n v="2389"/>
        <n v="2519"/>
        <n v="2949"/>
        <n v="3282"/>
        <n v="3252"/>
        <n v="3223"/>
        <n v="3122"/>
        <n v="6415"/>
        <n v="2620"/>
        <n v="2888"/>
        <n v="3199"/>
        <n v="5879"/>
        <n v="3239"/>
        <n v="2827"/>
        <n v="2685"/>
        <n v="2067"/>
        <n v="3852"/>
        <n v="2788"/>
        <n v="2645"/>
        <n v="3269"/>
        <n v="2809"/>
        <n v="2588"/>
        <n v="2388"/>
        <n v="2931"/>
        <n v="2587"/>
        <n v="2408"/>
        <n v="2394"/>
        <n v="2572"/>
        <n v="2948"/>
        <n v="4960"/>
        <n v="2140"/>
        <n v="2710"/>
        <n v="2555"/>
        <n v="1330"/>
        <n v="2169"/>
        <n v="929"/>
        <n v="2226"/>
        <n v="1917"/>
        <n v="2248"/>
        <n v="2509"/>
        <n v="1793"/>
        <n v="2068"/>
        <n v="2662"/>
        <n v="2295"/>
        <n v="2687"/>
        <n v="1964"/>
        <n v="3114"/>
        <n v="4453"/>
        <n v="4399"/>
        <n v="1722"/>
        <n v="1651"/>
        <n v="3426"/>
        <n v="979"/>
        <n v="2220"/>
        <n v="2485"/>
        <n v="1975"/>
        <n v="3826"/>
        <n v="2023"/>
        <n v="1570"/>
        <n v="1369"/>
        <n v="1796"/>
        <n v="1691"/>
        <n v="1658"/>
        <n v="1516"/>
        <n v="2001"/>
        <n v="2826"/>
        <n v="1934"/>
        <n v="1954"/>
        <n v="1672"/>
        <n v="2112"/>
        <n v="1719"/>
        <n v="2194"/>
        <n v="1145"/>
        <n v="3753"/>
        <n v="3388"/>
        <n v="1759"/>
        <n v="1947"/>
        <n v="2099"/>
        <n v="1334"/>
        <n v="3507"/>
        <n v="1675"/>
        <n v="1203"/>
        <n v="3524"/>
        <n v="1205"/>
        <n v="1431"/>
        <n v="1847"/>
        <n v="1621"/>
        <n v="1788"/>
        <n v="1715"/>
        <n v="2154"/>
        <n v="1679"/>
        <n v="1262"/>
        <n v="1120"/>
        <n v="1376"/>
        <n v="1545"/>
        <n v="2466"/>
        <n v="2066"/>
        <n v="1311"/>
        <n v="1397"/>
        <n v="2978"/>
        <n v="1664"/>
        <n v="1614"/>
        <n v="1834"/>
        <n v="1285"/>
        <n v="629"/>
        <n v="1509"/>
        <n v="1480"/>
        <n v="3048"/>
        <n v="1295"/>
        <n v="1349"/>
        <n v="1595"/>
        <n v="1246"/>
        <n v="1310"/>
        <n v="2973"/>
        <n v="2601"/>
        <n v="1283"/>
        <n v="1188"/>
        <n v="2886"/>
        <n v="2192"/>
        <n v="2529"/>
        <n v="1477"/>
        <n v="1800"/>
        <n v="1002"/>
        <n v="1539"/>
        <n v="1254"/>
        <n v="1263"/>
        <n v="2055"/>
        <n v="1920"/>
        <n v="1375"/>
        <n v="1338"/>
        <n v="1181"/>
        <n v="1158"/>
        <n v="1356"/>
        <n v="1656"/>
        <n v="1686"/>
        <n v="1087"/>
        <n v="2712"/>
        <n v="1226"/>
        <n v="1404"/>
        <n v="1220"/>
        <n v="1279"/>
        <n v="1179"/>
        <n v="1324"/>
        <n v="1494"/>
        <n v="742"/>
        <n v="1071"/>
        <n v="1037"/>
        <n v="814"/>
        <n v="1372"/>
        <n v="2521"/>
        <n v="1107"/>
        <n v="1382"/>
        <n v="991"/>
        <n v="1136"/>
        <n v="2427"/>
        <n v="1047"/>
        <n v="565"/>
        <n v="859"/>
        <n v="544"/>
        <n v="1154"/>
        <n v="1302"/>
        <n v="1018"/>
        <n v="1000"/>
        <n v="2270"/>
        <n v="1127"/>
        <n v="1144"/>
        <n v="1053"/>
        <n v="1060"/>
        <n v="790"/>
        <n v="845"/>
        <n v="721"/>
        <n v="0"/>
        <n v="1048"/>
        <n v="933"/>
        <n v="1175"/>
        <n v="867"/>
        <n v="1710"/>
        <n v="1222"/>
        <n v="668"/>
        <n v="955"/>
        <n v="1775"/>
        <n v="543"/>
        <n v="842"/>
        <n v="1169"/>
        <n v="823"/>
        <n v="960"/>
        <n v="1839"/>
        <n v="841"/>
        <n v="1730"/>
        <n v="943"/>
        <n v="915"/>
        <n v="702"/>
        <n v="853"/>
        <n v="1011"/>
        <n v="291"/>
        <n v="1044"/>
        <n v="862"/>
        <n v="762"/>
        <n v="964"/>
        <n v="648"/>
        <n v="1118"/>
        <n v="809"/>
        <n v="976"/>
        <n v="896"/>
        <n v="124"/>
        <n v="640"/>
        <n v="1683"/>
        <n v="663"/>
        <n v="572"/>
        <n v="1593"/>
        <n v="573"/>
        <n v="1199"/>
        <n v="1561"/>
        <n v="844"/>
        <n v="903"/>
        <n v="1560"/>
        <n v="765"/>
        <n v="1521"/>
        <n v="429"/>
        <n v="678"/>
        <n v="874"/>
        <n v="1460"/>
        <n v="511"/>
        <n v="719"/>
        <n v="258"/>
        <n v="1305"/>
        <n v="796"/>
        <n v="726"/>
        <n v="665"/>
        <n v="682"/>
        <n v="1396"/>
        <n v="584"/>
        <n v="608"/>
        <n v="602"/>
        <n v="852"/>
        <n v="1299"/>
        <n v="730"/>
        <n v="586"/>
        <n v="497"/>
        <n v="1095"/>
        <n v="662"/>
        <n v="725"/>
        <n v="557"/>
        <n v="731"/>
        <n v="674"/>
        <n v="551"/>
        <n v="590"/>
        <n v="670"/>
        <n v="1250"/>
        <n v="469"/>
        <n v="529"/>
        <n v="1221"/>
        <n v="684"/>
        <n v="601"/>
        <n v="560"/>
        <n v="971"/>
        <n v="502"/>
        <n v="571"/>
        <n v="450"/>
        <n v="655"/>
        <n v="635"/>
        <n v="997"/>
        <n v="627"/>
        <n v="677"/>
        <n v="556"/>
        <n v="389"/>
        <n v="470"/>
        <n v="764"/>
        <n v="1099"/>
        <n v="372"/>
        <n v="418"/>
        <n v="705"/>
        <n v="554"/>
        <n v="594"/>
        <n v="485"/>
        <n v="409"/>
        <n v="476"/>
        <n v="1054"/>
        <n v="1020"/>
        <n v="883"/>
        <n v="434"/>
        <n v="568"/>
        <n v="415"/>
        <n v="387"/>
        <n v="989"/>
        <n v="463"/>
        <n v="496"/>
        <n v="936"/>
        <n v="243"/>
        <n v="870"/>
        <n v="436"/>
        <n v="963"/>
        <n v="442"/>
        <n v="417"/>
        <n v="545"/>
        <n v="917"/>
        <n v="728"/>
        <n v="935"/>
        <n v="579"/>
        <n v="386"/>
        <n v="569"/>
        <n v="538"/>
        <n v="341"/>
        <n v="910"/>
        <n v="454"/>
        <n v="464"/>
        <n v="310"/>
        <n v="891"/>
        <n v="784"/>
        <n v="475"/>
        <n v="397"/>
        <n v="488"/>
        <n v="806"/>
        <n v="851"/>
        <n v="509"/>
        <n v="371"/>
        <n v="437"/>
        <n v="161"/>
        <n v="818"/>
        <n v="338"/>
        <n v="772"/>
        <n v="354"/>
        <n v="375"/>
        <n v="528"/>
        <n v="407"/>
        <n v="355"/>
        <n v="786"/>
        <n v="686"/>
        <n v="363"/>
        <n v="493"/>
        <n v="336"/>
        <n v="741"/>
        <n v="580"/>
        <n v="755"/>
        <n v="358"/>
        <n v="471"/>
        <n v="431"/>
        <n v="266"/>
        <n v="347"/>
        <n v="388"/>
        <n v="260"/>
        <n v="657"/>
        <n v="408"/>
        <n v="693"/>
        <n v="446"/>
        <n v="377"/>
        <n v="309"/>
        <n v="257"/>
        <n v="208"/>
        <n v="368"/>
        <n v="263"/>
        <n v="312"/>
        <n v="284"/>
        <n v="548"/>
        <n v="603"/>
        <n v="218"/>
        <n v="276"/>
        <n v="281"/>
        <n v="512"/>
        <n v="224"/>
        <n v="491"/>
        <n v="302"/>
        <n v="316"/>
        <n v="287"/>
        <n v="275"/>
        <n v="242"/>
        <n v="228"/>
        <n v="587"/>
        <n v="575"/>
        <n v="582"/>
        <n v="239"/>
        <n v="214"/>
        <n v="246"/>
        <n v="247"/>
        <n v="227"/>
        <n v="285"/>
        <n v="253"/>
        <n v="270"/>
        <n v="290"/>
        <n v="177"/>
        <n v="313"/>
        <n v="495"/>
        <n v="234"/>
        <n v="254"/>
        <n v="85"/>
        <n v="232"/>
        <n v="184"/>
        <n v="178"/>
        <n v="473"/>
        <n v="455"/>
        <n v="157"/>
        <n v="412"/>
        <n v="459"/>
        <n v="448"/>
        <n v="220"/>
        <n v="222"/>
        <n v="213"/>
        <n v="350"/>
        <n v="99"/>
        <n v="193"/>
        <n v="226"/>
        <n v="189"/>
        <n v="202"/>
        <n v="183"/>
        <n v="194"/>
        <n v="432"/>
        <n v="210"/>
        <n v="217"/>
        <n v="426"/>
        <n v="162"/>
        <n v="127"/>
        <n v="423"/>
        <n v="116"/>
        <n v="280"/>
        <n v="261"/>
        <n v="173"/>
        <n v="406"/>
        <n v="158"/>
        <n v="383"/>
        <n v="335"/>
        <n v="81"/>
        <n v="163"/>
        <n v="364"/>
        <n v="346"/>
        <n v="204"/>
        <n v="136"/>
        <n v="97"/>
        <n v="352"/>
        <n v="351"/>
        <n v="146"/>
        <n v="107"/>
        <n v="197"/>
        <n v="329"/>
        <n v="141"/>
        <n v="190"/>
        <n v="229"/>
        <n v="149"/>
        <n v="262"/>
        <n v="267"/>
        <n v="328"/>
        <n v="160"/>
        <n v="169"/>
        <n v="155"/>
        <n v="164"/>
        <n v="150"/>
        <n v="154"/>
        <n v="305"/>
        <n v="128"/>
        <n v="304"/>
        <n v="272"/>
        <n v="244"/>
        <n v="120"/>
        <n v="133"/>
        <n v="139"/>
        <n v="200"/>
        <n v="111"/>
        <n v="129"/>
        <n v="286"/>
        <n v="126"/>
        <n v="143"/>
        <n v="137"/>
        <n v="186"/>
        <n v="112"/>
        <n v="152"/>
        <n v="170"/>
        <n v="114"/>
        <n v="265"/>
        <n v="102"/>
        <n v="108"/>
        <n v="256"/>
        <n v="119"/>
        <n v="209"/>
        <n v="237"/>
        <n v="135"/>
        <n v="221"/>
        <n v="236"/>
        <n v="98"/>
        <n v="94"/>
        <n v="187"/>
        <n v="104"/>
        <n v="225"/>
        <n v="110"/>
        <n v="63"/>
        <n v="121"/>
        <n v="206"/>
        <n v="106"/>
        <n v="171"/>
        <n v="115"/>
        <n v="198"/>
        <n v="192"/>
        <n v="195"/>
        <n v="47"/>
        <n v="70"/>
        <n v="182"/>
        <n v="109"/>
        <n v="84"/>
        <n v="180"/>
        <n v="122"/>
        <n v="176"/>
        <n v="172"/>
        <n v="71"/>
        <n v="140"/>
        <n v="38"/>
        <n v="167"/>
        <n v="30"/>
        <n v="67"/>
        <n v="75"/>
        <n v="156"/>
        <n v="68"/>
        <n v="77"/>
        <n v="147"/>
        <n v="79"/>
        <n v="72"/>
        <n v="61"/>
        <n v="86"/>
        <n v="105"/>
        <n v="58"/>
        <n v="73"/>
        <n v="59"/>
        <n v="57"/>
        <n v="74"/>
        <n v="44"/>
        <n v="55"/>
        <n v="118"/>
        <n v="65"/>
        <n v="51"/>
        <n v="113"/>
        <n v="78"/>
        <n v="64"/>
        <n v="28"/>
        <n v="40"/>
        <n v="100"/>
        <n v="92"/>
        <n v="66"/>
        <n v="90"/>
        <n v="15"/>
        <n v="49"/>
        <n v="80"/>
        <n v="76"/>
        <n v="83"/>
        <n v="48"/>
        <n v="33"/>
        <n v="43"/>
        <n v="56"/>
        <n v="23"/>
        <n v="62"/>
        <n v="36"/>
        <n v="24"/>
        <n v="27"/>
        <n v="42"/>
        <n v="53"/>
        <n v="50"/>
        <n v="34"/>
        <n v="46"/>
        <n v="45"/>
        <n v="41"/>
        <n v="32"/>
        <n v="39"/>
        <n v="19"/>
        <n v="37"/>
        <n v="29"/>
        <n v="18"/>
        <n v="22"/>
        <n v="21"/>
        <n v="26"/>
        <n v="25"/>
        <n v="17"/>
        <n v="20"/>
        <n v="11"/>
        <n v="16"/>
        <n v="14"/>
        <n v="12"/>
        <n v="10"/>
        <n v="2"/>
        <n v="6"/>
        <n v="5"/>
        <n v="3"/>
      </sharedItems>
    </cacheField>
    <cacheField name="volume_total_ano" numFmtId="0">
      <sharedItems containsSemiMixedTypes="0" containsString="0" containsNumber="1" containsInteger="1" minValue="0" maxValue="2352092" count="874">
        <n v="2352092"/>
        <n v="1829147"/>
        <n v="1506199"/>
        <n v="902689"/>
        <n v="618893"/>
        <n v="475767"/>
        <n v="454845"/>
        <n v="445070"/>
        <n v="427342"/>
        <n v="343586"/>
        <n v="327532"/>
        <n v="304879"/>
        <n v="304871"/>
        <n v="252278"/>
        <n v="235869"/>
        <n v="219003"/>
        <n v="194698"/>
        <n v="185017"/>
        <n v="182655"/>
        <n v="178271"/>
        <n v="175144"/>
        <n v="163414"/>
        <n v="140288"/>
        <n v="137696"/>
        <n v="134487"/>
        <n v="133619"/>
        <n v="133214"/>
        <n v="120391"/>
        <n v="107554"/>
        <n v="99981"/>
        <n v="90498"/>
        <n v="88605"/>
        <n v="87427"/>
        <n v="82754"/>
        <n v="66937"/>
        <n v="65225"/>
        <n v="62733"/>
        <n v="62625"/>
        <n v="61217"/>
        <n v="58455"/>
        <n v="58449"/>
        <n v="56652"/>
        <n v="52400"/>
        <n v="51246"/>
        <n v="50953"/>
        <n v="50378"/>
        <n v="47234"/>
        <n v="46918"/>
        <n v="44970"/>
        <n v="42190"/>
        <n v="40426"/>
        <n v="39462"/>
        <n v="39199"/>
        <n v="38713"/>
        <n v="38315"/>
        <n v="38058"/>
        <n v="37683"/>
        <n v="37362"/>
        <n v="36357"/>
        <n v="35786"/>
        <n v="35109"/>
        <n v="35050"/>
        <n v="34970"/>
        <n v="34925"/>
        <n v="34873"/>
        <n v="32298"/>
        <n v="32201"/>
        <n v="32086"/>
        <n v="31071"/>
        <n v="30668"/>
        <n v="30566"/>
        <n v="30380"/>
        <n v="30336"/>
        <n v="30216"/>
        <n v="29902"/>
        <n v="28766"/>
        <n v="28651"/>
        <n v="28535"/>
        <n v="28303"/>
        <n v="27904"/>
        <n v="27594"/>
        <n v="26564"/>
        <n v="25885"/>
        <n v="24973"/>
        <n v="24727"/>
        <n v="24609"/>
        <n v="23895"/>
        <n v="23601"/>
        <n v="23569"/>
        <n v="23524"/>
        <n v="23299"/>
        <n v="23283"/>
        <n v="22400"/>
        <n v="22242"/>
        <n v="21830"/>
        <n v="21817"/>
        <n v="21203"/>
        <n v="21035"/>
        <n v="20685"/>
        <n v="20593"/>
        <n v="19665"/>
        <n v="19623"/>
        <n v="19466"/>
        <n v="18668"/>
        <n v="18563"/>
        <n v="18528"/>
        <n v="17968"/>
        <n v="17616"/>
        <n v="16914"/>
        <n v="16803"/>
        <n v="16734"/>
        <n v="16554"/>
        <n v="16390"/>
        <n v="16281"/>
        <n v="16145"/>
        <n v="15725"/>
        <n v="15641"/>
        <n v="15533"/>
        <n v="15492"/>
        <n v="15247"/>
        <n v="14880"/>
        <n v="14846"/>
        <n v="14836"/>
        <n v="14583"/>
        <n v="14256"/>
        <n v="14150"/>
        <n v="14071"/>
        <n v="13777"/>
        <n v="13520"/>
        <n v="12920"/>
        <n v="12678"/>
        <n v="12532"/>
        <n v="12478"/>
        <n v="12408"/>
        <n v="12096"/>
        <n v="12035"/>
        <n v="11527"/>
        <n v="11256"/>
        <n v="11090"/>
        <n v="10629"/>
        <n v="10423"/>
        <n v="10304"/>
        <n v="10288"/>
        <n v="10286"/>
        <n v="10189"/>
        <n v="10178"/>
        <n v="10008"/>
        <n v="9992"/>
        <n v="9861"/>
        <n v="9847"/>
        <n v="9846"/>
        <n v="9829"/>
        <n v="9789"/>
        <n v="9705"/>
        <n v="9697"/>
        <n v="9652"/>
        <n v="9492"/>
        <n v="9459"/>
        <n v="9439"/>
        <n v="9432"/>
        <n v="9397"/>
        <n v="9390"/>
        <n v="9296"/>
        <n v="9125"/>
        <n v="9020"/>
        <n v="8823"/>
        <n v="8793"/>
        <n v="8791"/>
        <n v="8778"/>
        <n v="8763"/>
        <n v="8312"/>
        <n v="8230"/>
        <n v="8212"/>
        <n v="8165"/>
        <n v="8123"/>
        <n v="8049"/>
        <n v="7985"/>
        <n v="7832"/>
        <n v="7802"/>
        <n v="7754"/>
        <n v="7749"/>
        <n v="7668"/>
        <n v="7476"/>
        <n v="7459"/>
        <n v="7421"/>
        <n v="7418"/>
        <n v="7317"/>
        <n v="7295"/>
        <n v="7217"/>
        <n v="7182"/>
        <n v="7101"/>
        <n v="7079"/>
        <n v="7003"/>
        <n v="7001"/>
        <n v="6991"/>
        <n v="6961"/>
        <n v="6886"/>
        <n v="6753"/>
        <n v="6586"/>
        <n v="6556"/>
        <n v="6515"/>
        <n v="6472"/>
        <n v="6440"/>
        <n v="6415"/>
        <n v="6336"/>
        <n v="6314"/>
        <n v="6103"/>
        <n v="5879"/>
        <n v="5874"/>
        <n v="5862"/>
        <n v="5789"/>
        <n v="5774"/>
        <n v="5656"/>
        <n v="5593"/>
        <n v="5582"/>
        <n v="5498"/>
        <n v="5492"/>
        <n v="5470"/>
        <n v="5338"/>
        <n v="5303"/>
        <n v="5270"/>
        <n v="5269"/>
        <n v="5159"/>
        <n v="5123"/>
        <n v="5079"/>
        <n v="4969"/>
        <n v="4966"/>
        <n v="4958"/>
        <n v="4879"/>
        <n v="4873"/>
        <n v="4805"/>
        <n v="4794"/>
        <n v="4793"/>
        <n v="4769"/>
        <n v="4732"/>
        <n v="4682"/>
        <n v="4639"/>
        <n v="4613"/>
        <n v="4567"/>
        <n v="4555"/>
        <n v="4540"/>
        <n v="4518"/>
        <n v="4481"/>
        <n v="4453"/>
        <n v="4449"/>
        <n v="4393"/>
        <n v="4351"/>
        <n v="4346"/>
        <n v="4303"/>
        <n v="4272"/>
        <n v="4253"/>
        <n v="4236"/>
        <n v="4140"/>
        <n v="4094"/>
        <n v="4036"/>
        <n v="4032"/>
        <n v="4023"/>
        <n v="4018"/>
        <n v="4000"/>
        <n v="3958"/>
        <n v="3953"/>
        <n v="3915"/>
        <n v="3825"/>
        <n v="3819"/>
        <n v="3812"/>
        <n v="3800"/>
        <n v="3786"/>
        <n v="3768"/>
        <n v="3753"/>
        <n v="3726"/>
        <n v="3694"/>
        <n v="3677"/>
        <n v="3656"/>
        <n v="3655"/>
        <n v="3646"/>
        <n v="3604"/>
        <n v="3579"/>
        <n v="3565"/>
        <n v="3558"/>
        <n v="3552"/>
        <n v="3549"/>
        <n v="3526"/>
        <n v="3523"/>
        <n v="3487"/>
        <n v="3475"/>
        <n v="3473"/>
        <n v="3470"/>
        <n v="3389"/>
        <n v="3356"/>
        <n v="3353"/>
        <n v="3337"/>
        <n v="3314"/>
        <n v="3285"/>
        <n v="3284"/>
        <n v="3282"/>
        <n v="3246"/>
        <n v="3241"/>
        <n v="3193"/>
        <n v="3185"/>
        <n v="3180"/>
        <n v="3145"/>
        <n v="3131"/>
        <n v="3077"/>
        <n v="3048"/>
        <n v="3047"/>
        <n v="3044"/>
        <n v="3026"/>
        <n v="3005"/>
        <n v="2999"/>
        <n v="2973"/>
        <n v="2952"/>
        <n v="2943"/>
        <n v="2932"/>
        <n v="2931"/>
        <n v="2906"/>
        <n v="2905"/>
        <n v="2846"/>
        <n v="2835"/>
        <n v="2833"/>
        <n v="2825"/>
        <n v="2823"/>
        <n v="2821"/>
        <n v="2809"/>
        <n v="2802"/>
        <n v="2790"/>
        <n v="2789"/>
        <n v="2776"/>
        <n v="2775"/>
        <n v="2748"/>
        <n v="2745"/>
        <n v="2734"/>
        <n v="2714"/>
        <n v="2712"/>
        <n v="2684"/>
        <n v="2673"/>
        <n v="2663"/>
        <n v="2652"/>
        <n v="2648"/>
        <n v="2642"/>
        <n v="2635"/>
        <n v="2627"/>
        <n v="2616"/>
        <n v="2615"/>
        <n v="2606"/>
        <n v="2604"/>
        <n v="2593"/>
        <n v="2587"/>
        <n v="2507"/>
        <n v="2484"/>
        <n v="2434"/>
        <n v="2427"/>
        <n v="2415"/>
        <n v="2394"/>
        <n v="2351"/>
        <n v="2342"/>
        <n v="2339"/>
        <n v="2331"/>
        <n v="2323"/>
        <n v="2274"/>
        <n v="2270"/>
        <n v="2259"/>
        <n v="2257"/>
        <n v="2250"/>
        <n v="2243"/>
        <n v="2241"/>
        <n v="2234"/>
        <n v="2193"/>
        <n v="2170"/>
        <n v="2150"/>
        <n v="2139"/>
        <n v="2135"/>
        <n v="2117"/>
        <n v="2114"/>
        <n v="2101"/>
        <n v="2096"/>
        <n v="2041"/>
        <n v="1999"/>
        <n v="1958"/>
        <n v="1953"/>
        <n v="1942"/>
        <n v="1935"/>
        <n v="1931"/>
        <n v="1926"/>
        <n v="1911"/>
        <n v="1860"/>
        <n v="1846"/>
        <n v="1821"/>
        <n v="1817"/>
        <n v="1813"/>
        <n v="1807"/>
        <n v="1803"/>
        <n v="1795"/>
        <n v="1790"/>
        <n v="1783"/>
        <n v="1780"/>
        <n v="1772"/>
        <n v="1771"/>
        <n v="1770"/>
        <n v="1766"/>
        <n v="1762"/>
        <n v="1749"/>
        <n v="1731"/>
        <n v="1723"/>
        <n v="1710"/>
        <n v="1685"/>
        <n v="1683"/>
        <n v="1630"/>
        <n v="1609"/>
        <n v="1602"/>
        <n v="1593"/>
        <n v="1591"/>
        <n v="1586"/>
        <n v="1580"/>
        <n v="1570"/>
        <n v="1565"/>
        <n v="1560"/>
        <n v="1539"/>
        <n v="1535"/>
        <n v="1533"/>
        <n v="1521"/>
        <n v="1520"/>
        <n v="1490"/>
        <n v="1460"/>
        <n v="1443"/>
        <n v="1438"/>
        <n v="1436"/>
        <n v="1435"/>
        <n v="1430"/>
        <n v="1423"/>
        <n v="1411"/>
        <n v="1406"/>
        <n v="1397"/>
        <n v="1396"/>
        <n v="1384"/>
        <n v="1382"/>
        <n v="1369"/>
        <n v="1364"/>
        <n v="1362"/>
        <n v="1353"/>
        <n v="1349"/>
        <n v="1343"/>
        <n v="1330"/>
        <n v="1328"/>
        <n v="1320"/>
        <n v="1319"/>
        <n v="1313"/>
        <n v="1306"/>
        <n v="1286"/>
        <n v="1277"/>
        <n v="1274"/>
        <n v="1268"/>
        <n v="1258"/>
        <n v="1256"/>
        <n v="1250"/>
        <n v="1243"/>
        <n v="1237"/>
        <n v="1227"/>
        <n v="1224"/>
        <n v="1221"/>
        <n v="1208"/>
        <n v="1204"/>
        <n v="1194"/>
        <n v="1177"/>
        <n v="1168"/>
        <n v="1166"/>
        <n v="1152"/>
        <n v="1147"/>
        <n v="1142"/>
        <n v="1134"/>
        <n v="1129"/>
        <n v="1127"/>
        <n v="1118"/>
        <n v="1114"/>
        <n v="1103"/>
        <n v="1099"/>
        <n v="1097"/>
        <n v="1092"/>
        <n v="1091"/>
        <n v="1078"/>
        <n v="1071"/>
        <n v="1066"/>
        <n v="1065"/>
        <n v="1063"/>
        <n v="1054"/>
        <n v="1047"/>
        <n v="1020"/>
        <n v="1017"/>
        <n v="1013"/>
        <n v="1012"/>
        <n v="1006"/>
        <n v="998"/>
        <n v="991"/>
        <n v="987"/>
        <n v="984"/>
        <n v="974"/>
        <n v="972"/>
        <n v="966"/>
        <n v="963"/>
        <n v="961"/>
        <n v="948"/>
        <n v="945"/>
        <n v="938"/>
        <n v="935"/>
        <n v="934"/>
        <n v="930"/>
        <n v="926"/>
        <n v="921"/>
        <n v="917"/>
        <n v="916"/>
        <n v="912"/>
        <n v="910"/>
        <n v="909"/>
        <n v="908"/>
        <n v="905"/>
        <n v="893"/>
        <n v="892"/>
        <n v="889"/>
        <n v="880"/>
        <n v="875"/>
        <n v="867"/>
        <n v="865"/>
        <n v="862"/>
        <n v="856"/>
        <n v="851"/>
        <n v="850"/>
        <n v="844"/>
        <n v="843"/>
        <n v="838"/>
        <n v="833"/>
        <n v="832"/>
        <n v="827"/>
        <n v="819"/>
        <n v="817"/>
        <n v="804"/>
        <n v="801"/>
        <n v="787"/>
        <n v="786"/>
        <n v="785"/>
        <n v="778"/>
        <n v="772"/>
        <n v="767"/>
        <n v="757"/>
        <n v="755"/>
        <n v="752"/>
        <n v="750"/>
        <n v="748"/>
        <n v="741"/>
        <n v="729"/>
        <n v="720"/>
        <n v="718"/>
        <n v="714"/>
        <n v="713"/>
        <n v="705"/>
        <n v="693"/>
        <n v="690"/>
        <n v="677"/>
        <n v="676"/>
        <n v="667"/>
        <n v="664"/>
        <n v="660"/>
        <n v="656"/>
        <n v="655"/>
        <n v="653"/>
        <n v="649"/>
        <n v="638"/>
        <n v="634"/>
        <n v="633"/>
        <n v="622"/>
        <n v="621"/>
        <n v="619"/>
        <n v="614"/>
        <n v="606"/>
        <n v="605"/>
        <n v="603"/>
        <n v="599"/>
        <n v="591"/>
        <n v="589"/>
        <n v="585"/>
        <n v="578"/>
        <n v="573"/>
        <n v="569"/>
        <n v="566"/>
        <n v="564"/>
        <n v="561"/>
        <n v="555"/>
        <n v="554"/>
        <n v="551"/>
        <n v="549"/>
        <n v="547"/>
        <n v="546"/>
        <n v="544"/>
        <n v="543"/>
        <n v="531"/>
        <n v="512"/>
        <n v="506"/>
        <n v="503"/>
        <n v="501"/>
        <n v="494"/>
        <n v="492"/>
        <n v="491"/>
        <n v="490"/>
        <n v="488"/>
        <n v="479"/>
        <n v="473"/>
        <n v="472"/>
        <n v="471"/>
        <n v="469"/>
        <n v="466"/>
        <n v="465"/>
        <n v="461"/>
        <n v="459"/>
        <n v="458"/>
        <n v="457"/>
        <n v="451"/>
        <n v="450"/>
        <n v="447"/>
        <n v="443"/>
        <n v="441"/>
        <n v="436"/>
        <n v="434"/>
        <n v="432"/>
        <n v="429"/>
        <n v="427"/>
        <n v="425"/>
        <n v="424"/>
        <n v="423"/>
        <n v="421"/>
        <n v="419"/>
        <n v="418"/>
        <n v="414"/>
        <n v="406"/>
        <n v="398"/>
        <n v="395"/>
        <n v="386"/>
        <n v="382"/>
        <n v="381"/>
        <n v="378"/>
        <n v="377"/>
        <n v="371"/>
        <n v="369"/>
        <n v="362"/>
        <n v="361"/>
        <n v="360"/>
        <n v="357"/>
        <n v="355"/>
        <n v="348"/>
        <n v="347"/>
        <n v="346"/>
        <n v="339"/>
        <n v="338"/>
        <n v="336"/>
        <n v="335"/>
        <n v="334"/>
        <n v="332"/>
        <n v="331"/>
        <n v="330"/>
        <n v="328"/>
        <n v="322"/>
        <n v="320"/>
        <n v="319"/>
        <n v="318"/>
        <n v="317"/>
        <n v="307"/>
        <n v="306"/>
        <n v="305"/>
        <n v="304"/>
        <n v="303"/>
        <n v="302"/>
        <n v="300"/>
        <n v="298"/>
        <n v="296"/>
        <n v="295"/>
        <n v="290"/>
        <n v="286"/>
        <n v="282"/>
        <n v="281"/>
        <n v="280"/>
        <n v="278"/>
        <n v="277"/>
        <n v="274"/>
        <n v="267"/>
        <n v="265"/>
        <n v="264"/>
        <n v="260"/>
        <n v="259"/>
        <n v="258"/>
        <n v="257"/>
        <n v="256"/>
        <n v="255"/>
        <n v="251"/>
        <n v="250"/>
        <n v="248"/>
        <n v="245"/>
        <n v="244"/>
        <n v="240"/>
        <n v="236"/>
        <n v="235"/>
        <n v="234"/>
        <n v="233"/>
        <n v="230"/>
        <n v="229"/>
        <n v="227"/>
        <n v="225"/>
        <n v="224"/>
        <n v="223"/>
        <n v="220"/>
        <n v="219"/>
        <n v="213"/>
        <n v="212"/>
        <n v="210"/>
        <n v="209"/>
        <n v="208"/>
        <n v="203"/>
        <n v="198"/>
        <n v="197"/>
        <n v="195"/>
        <n v="193"/>
        <n v="191"/>
        <n v="190"/>
        <n v="187"/>
        <n v="186"/>
        <n v="185"/>
        <n v="181"/>
        <n v="180"/>
        <n v="178"/>
        <n v="177"/>
        <n v="176"/>
        <n v="175"/>
        <n v="172"/>
        <n v="170"/>
        <n v="169"/>
        <n v="167"/>
        <n v="164"/>
        <n v="162"/>
        <n v="161"/>
        <n v="160"/>
        <n v="156"/>
        <n v="155"/>
        <n v="154"/>
        <n v="151"/>
        <n v="150"/>
        <n v="149"/>
        <n v="147"/>
        <n v="145"/>
        <n v="144"/>
        <n v="143"/>
        <n v="142"/>
        <n v="141"/>
        <n v="139"/>
        <n v="138"/>
        <n v="136"/>
        <n v="134"/>
        <n v="132"/>
        <n v="129"/>
        <n v="127"/>
        <n v="126"/>
        <n v="123"/>
        <n v="122"/>
        <n v="121"/>
        <n v="120"/>
        <n v="119"/>
        <n v="118"/>
        <n v="116"/>
        <n v="115"/>
        <n v="114"/>
        <n v="113"/>
        <n v="112"/>
        <n v="111"/>
        <n v="109"/>
        <n v="108"/>
        <n v="107"/>
        <n v="104"/>
        <n v="102"/>
        <n v="100"/>
        <n v="98"/>
        <n v="97"/>
        <n v="94"/>
        <n v="91"/>
        <n v="90"/>
        <n v="87"/>
        <n v="86"/>
        <n v="83"/>
        <n v="82"/>
        <n v="81"/>
        <n v="80"/>
        <n v="79"/>
        <n v="77"/>
        <n v="76"/>
        <n v="72"/>
        <n v="71"/>
        <n v="68"/>
        <n v="66"/>
        <n v="65"/>
        <n v="64"/>
        <n v="63"/>
        <n v="62"/>
        <n v="61"/>
        <n v="60"/>
        <n v="59"/>
        <n v="57"/>
        <n v="56"/>
        <n v="55"/>
        <n v="54"/>
        <n v="53"/>
        <n v="52"/>
        <n v="51"/>
        <n v="50"/>
        <n v="48"/>
        <n v="47"/>
        <n v="46"/>
        <n v="45"/>
        <n v="43"/>
        <n v="41"/>
        <n v="40"/>
        <n v="39"/>
        <n v="38"/>
        <n v="37"/>
        <n v="36"/>
        <n v="35"/>
        <n v="34"/>
        <n v="33"/>
        <n v="32"/>
        <n v="29"/>
        <n v="28"/>
        <n v="27"/>
        <n v="26"/>
        <n v="25"/>
        <n v="24"/>
        <n v="23"/>
        <n v="21"/>
        <n v="20"/>
        <n v="19"/>
        <n v="18"/>
        <n v="17"/>
        <n v="16"/>
        <n v="14"/>
        <n v="12"/>
        <n v="11"/>
        <n v="10"/>
        <n v="6"/>
        <n v="5"/>
        <n v="3"/>
        <n v="2"/>
        <n v="9853"/>
        <n v="0"/>
        <n v="10529"/>
        <n v="283"/>
        <n v="7528"/>
        <n v="3789"/>
        <n v="1341"/>
        <n v="26513"/>
        <n v="299"/>
        <n v="1635"/>
        <n v="1057"/>
        <n v="76747"/>
        <n v="1016"/>
        <n v="4468"/>
        <n v="1455"/>
        <n v="57512"/>
        <n v="20755"/>
        <n v="15453"/>
        <n v="19043"/>
        <n v="9534"/>
        <n v="157077"/>
        <n v="10598"/>
        <n v="2783"/>
        <n v="800"/>
        <n v="14763"/>
        <n v="6628"/>
        <n v="556"/>
        <n v="1160"/>
        <n v="105"/>
        <n v="110"/>
        <n v="30887"/>
      </sharedItems>
    </cacheField>
    <cacheField name="Representatividade Chamados" numFmtId="10">
      <sharedItems containsString="0" containsBlank="1" containsNumber="1" minValue="0" maxValue="0.165498627438654" count="293">
        <n v="0"/>
        <n v="0.106349825024622"/>
        <n v="0.000413235263301272"/>
        <n v="0.165498627438654"/>
        <n v="3.18518052848851e-5"/>
        <n v="0.000455145533412963"/>
        <n v="0.115623729594937"/>
        <n v="0.000310974204228746"/>
        <n v="0.000126569015737306"/>
        <n v="0.0797443473523187"/>
        <n v="0.00224471406718216"/>
        <n v="0.0271318706649064"/>
        <n v="0.0425347331363551"/>
        <n v="0.00142746380000419"/>
        <n v="0.00299574610758366"/>
        <n v="0.000354560885144905"/>
        <n v="0.000216256993776325"/>
        <n v="0.000747679218792565"/>
        <n v="0.028166216131263"/>
        <n v="0.0212879026005323"/>
        <n v="0.00368139812661093"/>
        <n v="0.0342239265732068"/>
        <n v="0.000144171329184217"/>
        <n v="0.00379790867752143"/>
        <n v="0.0188487248800319"/>
        <n v="0.0222551916347101"/>
        <n v="0.0176115337063347"/>
        <n v="0.000408206030887869"/>
        <n v="0.000624463024664194"/>
        <n v="0.00955805620167222"/>
        <n v="0.00268393369795268"/>
        <n v="0.000355399090547139"/>
        <n v="0.0219542758953081"/>
        <n v="0.0180851197585968"/>
        <n v="0.00147524150793152"/>
        <n v="0.00020200750193835"/>
        <n v="9.30407996479537e-5"/>
        <n v="0.0134171538735567"/>
        <n v="0.000302592150206408"/>
        <n v="0.000353722679742671"/>
        <n v="0.000253138031474613"/>
        <n v="0.00777686972192536"/>
        <n v="4.86159133295614e-5"/>
        <n v="0.00030510676641311"/>
        <n v="0.0119469415980386"/>
        <n v="0.00052471658179837"/>
        <n v="0.0069302822656692"/>
        <n v="0.000344502420318099"/>
        <n v="0.00772154816537793"/>
        <n v="2.7660778273716e-5"/>
        <n v="2.26315458603131e-5"/>
        <n v="0.00125730810335073"/>
        <n v="9.72318266591228e-5"/>
        <n v="0.000227991869407598"/>
        <n v="0.00010980490769263"/>
        <n v="0.00466293665262673"/>
        <n v="0.000970641855786761"/>
        <n v="0.00160013411286436"/>
        <n v="0.0132126317554117"/>
        <n v="0.00439387271850967"/>
        <n v="0.00189350600364619"/>
        <n v="0.00591353911275958"/>
        <n v="0.00123300014668595"/>
        <n v="0.00212149787305379"/>
        <n v="1.34112864357411e-5"/>
        <n v="0.000436705014563819"/>
        <n v="0.000683975608222795"/>
        <n v="0.000129083631944008"/>
        <n v="0.000767796148446177"/>
        <n v="0.000869219002116469"/>
        <n v="0.00420946753001823"/>
        <n v="0.00287001529724859"/>
        <n v="0.00393872718509671"/>
        <n v="0.00415079315186186"/>
        <n v="0.00543576203348631"/>
        <n v="0.0011550470442782"/>
        <n v="0.00497055803524654"/>
        <n v="3.43664214915865e-5"/>
        <n v="4.44248863183923e-5"/>
        <n v="0.00422539343266067"/>
        <n v="0.000982376731418034"/>
        <n v="0.00168479285848997"/>
        <n v="4.77777079273276e-5"/>
        <n v="0.000256490853083548"/>
        <n v="0.000181890572284738"/>
        <n v="0.00364200247270594"/>
        <n v="0.000271578550323757"/>
        <n v="0.00051381991156933"/>
        <n v="0.000159259026424425"/>
        <n v="5.86743781563672e-5"/>
        <n v="0.00132687915173613"/>
        <n v="0.000476938873871042"/>
        <n v="0.000112319523899332"/>
        <n v="8.54969510278494e-5"/>
        <n v="0.00362104733765009"/>
        <n v="0.00440728400494541"/>
        <n v="0.00121120680622787"/>
        <n v="0.00284906016219275"/>
        <n v="8.38205402233817e-7"/>
        <n v="0.000548186333060917"/>
        <n v="0.00037551602020075"/>
        <n v="0.000108966702290396"/>
        <n v="0.0026621403574946"/>
        <n v="0.00224722868338886"/>
        <n v="0.000373001403994049"/>
        <n v="1.08966702290396e-5"/>
        <n v="0.00113073908761342"/>
        <n v="0.0016135453993001"/>
        <n v="0.00170155696653465"/>
        <n v="0.000991596990842606"/>
        <n v="0.000817250267177972"/>
        <n v="2.59843674692483e-5"/>
        <n v="0.00179795058779154"/>
        <n v="4.610129712286e-5"/>
        <n v="0.000388089101234257"/>
        <n v="0.000374677814798516"/>
        <n v="9.22025942457199e-6"/>
        <n v="0.00170910081515475"/>
        <n v="0.00499151317030238"/>
        <n v="0.00163030950734477"/>
        <n v="0.00165461746400956"/>
        <n v="0.00150960792942311"/>
        <n v="6.70564321787054e-5"/>
        <n v="0.000116510550910501"/>
        <n v="1.42494918379749e-5"/>
        <n v="0.000371324993189581"/>
        <n v="0.00460342406906813"/>
        <n v="7.96295132122127e-5"/>
        <n v="6.4541815972004e-5"/>
        <n v="0.00141740533517739"/>
        <n v="0.000966450828775592"/>
        <n v="0.000660505856960248"/>
        <n v="0.00153643050229459"/>
        <n v="3.10135998826512e-5"/>
        <n v="0.000332767544686826"/>
        <n v="5.86743781563672e-6"/>
        <n v="8.7173361832317e-5"/>
        <n v="0.000231344691016534"/>
        <n v="3.26900106871189e-5"/>
        <n v="0.000337796777100228"/>
        <n v="0.000454307328010729"/>
        <n v="2.43079566647807e-5"/>
        <n v="0.000170155696653465"/>
        <n v="0.000179375956078037"/>
        <n v="2.09551350558454e-5"/>
        <n v="0.000140818507575281"/>
        <n v="0.00169904235032795"/>
        <n v="0.0002305064856143"/>
        <n v="0.000965612623373358"/>
        <n v="0.0015590620481549"/>
        <n v="1.67641080446763e-6"/>
        <n v="0.000760252299826072"/>
        <n v="0.000933760818088473"/>
        <n v="0.000171832107457933"/>
        <n v="3.35282160893527e-6"/>
        <n v="1.00584648268058e-5"/>
        <n v="0.000186081599295907"/>
        <n v="4.19102701116909e-6"/>
        <n v="3.6881037698288e-5"/>
        <n v="0.00157331153999288"/>
        <n v="0.000499570419731355"/>
        <n v="0.000405691414681168"/>
        <n v="0.000180214161480271"/>
        <n v="8.38205402233818e-6"/>
        <n v="2.51461620670145e-6"/>
        <n v="6.70564321787054e-6"/>
        <n v="1.25730810335073e-5"/>
        <n v="3.52046268938203e-5"/>
        <n v="0.000628654051675363"/>
        <n v="1.76023134469102e-5"/>
        <n v="7.04092537876407e-5"/>
        <n v="7.54384862010436e-5"/>
        <n v="2.17933404580793e-5"/>
        <n v="2.34697512625469e-5"/>
        <n v="6.62182267764716e-5"/>
        <n v="0.00117851679554075"/>
        <n v="0.00171413004756816"/>
        <n v="6.95710483854069e-5"/>
        <n v="0.000215418788374091"/>
        <n v="0.000409044236290103"/>
        <n v="0.000310135998826512"/>
        <n v="7.20856645921083e-5"/>
        <n v="4.27484755139247e-5"/>
        <n v="0.000303430355608642"/>
        <n v="0.00175771672848432"/>
        <n v="0.000121539783323904"/>
        <n v="1.67641080446764e-5"/>
        <n v="9.80700320613566e-5"/>
        <n v="3.60428322960542e-5"/>
        <n v="0.00034031139330693"/>
        <n v="0.00107541753106599"/>
        <n v="0.000486159133295614"/>
        <n v="7.54384862010436e-6"/>
        <n v="5.9512583558601e-5"/>
        <n v="0.000269063934117055"/>
        <n v="0.000362104733765009"/>
        <n v="0.000834014375222648"/>
        <n v="3.93956539049894e-5"/>
        <n v="0.000503761446742524"/>
        <n v="7.71148970055112e-5"/>
        <n v="0.000269902139519289"/>
        <n v="0.000571656084323464"/>
        <n v="9.55554158546552e-5"/>
        <n v="0.000464365792837535"/>
        <n v="0.000129921837346242"/>
        <n v="3.85574485027556e-5"/>
        <n v="0.00046771861444647"/>
        <n v="1.8440518849144e-5"/>
        <n v="1.17348756312734e-5"/>
        <n v="0.000636197900295467"/>
        <n v="0.000161773642631127"/>
        <n v="5.5321556547432e-5"/>
        <n v="5.0292324134029e-6"/>
        <n v="1.92787242513778e-5"/>
        <n v="0.000232182896418767"/>
        <n v="5.36451457429643e-5"/>
        <n v="0.000191949037111544"/>
        <n v="0.000204522118145051"/>
        <n v="0.0001735085182624"/>
        <n v="6.28654051675363e-5"/>
        <n v="0.000270740344921523"/>
        <n v="0.000143333123781983"/>
        <n v="0.000445925273988391"/>
        <n v="0.000403176798474466"/>
        <n v="0.00110559292554641"/>
        <n v="0.000261520085496951"/>
        <n v="0.000627815846273129"/>
        <n v="0.000189434420904843"/>
        <n v="0.000163450053435594"/>
        <n v="0.000255652647681314"/>
        <n v="0.000273254961128225"/>
        <n v="0.000210389555960688"/>
        <n v="0.000124892604932839"/>
        <n v="0.000238050334234404"/>
        <n v="0.000363781144569477"/>
        <n v="0.000104775675279227"/>
        <n v="1.59259026424425e-5"/>
        <n v="7.62766916032774e-5"/>
        <n v="0.000208713145156221"/>
        <n v="0.000848263867060623"/>
        <n v="0.000647094570524507"/>
        <n v="0.000349531652731502"/>
        <n v="0.000132436453552943"/>
        <n v="0.0005775235221391"/>
        <n v="0.000168479285848997"/>
        <n v="0.000211227761362922"/>
        <n v="2.51461620670145e-5"/>
        <n v="2.93371890781836e-5"/>
        <n v="4.19102701116909e-5"/>
        <n v="0.000151715177804321"/>
        <n v="9.13643888434861e-5"/>
        <n v="0.000233859307223235"/>
        <n v="0.000437543219966053"/>
        <n v="0.000118186961714968"/>
        <n v="0.000345340625720333"/>
        <n v="7.87913078099788e-5"/>
        <n v="0.000250623415267911"/>
        <n v="0.000217095199178559"/>
        <n v="0.000135789275161878"/>
        <n v="5.11305295362629e-5"/>
        <n v="0.000514658116971564"/>
        <n v="0.000183566983089206"/>
        <n v="9.97464428658243e-5"/>
        <n v="5.19687349384967e-5"/>
        <n v="4.94541187317952e-5"/>
        <n v="4.52630917206261e-5"/>
        <n v="0.000307621382619811"/>
        <n v="0.000190272626307077"/>
        <n v="5.0292324134029e-5"/>
        <n v="0.00036881037698288"/>
        <n v="3.35282160893527e-5"/>
        <n v="5.28069403407305e-5"/>
        <n v="0.000125730810335073"/>
        <n v="5.44833511451981e-5"/>
        <n v="0.000134951069759645"/>
        <n v="0.000196978269524947"/>
        <n v="6.11889943630687e-5"/>
        <n v="4.10720647094571e-5"/>
        <n v="0.000155067999413256"/>
        <n v="6.78946375809392e-5"/>
        <n v="7.29238699943421e-5"/>
        <n v="1.50876972402087e-5"/>
        <n v="0.00814735650971271"/>
        <n v="5.78361727541334e-5"/>
        <n v="9.47172104524214e-5"/>
        <n v="0.000699063305463004"/>
        <n v="0.000119025167117202"/>
        <n v="2.68225728714822e-5"/>
        <n v="0.000185243393893674"/>
        <n v="0.000234697512625469"/>
        <n v="0.000122377988726137"/>
        <n v="0.00571236981622347"/>
        <m/>
      </sharedItems>
    </cacheField>
    <cacheField name="Representatividade Acessos" numFmtId="10">
      <sharedItems containsString="0" containsBlank="1" containsNumber="1" minValue="0" maxValue="0.127920360073027" count="875">
        <n v="0.127920360073027"/>
        <n v="0.099479587901535"/>
        <n v="0.0819158087445701"/>
        <n v="0.0490934461381446"/>
        <n v="0.0336589790733849"/>
        <n v="0.0258749598021097"/>
        <n v="0.0247371004949704"/>
        <n v="0.0242054794870703"/>
        <n v="0.0232413283639958"/>
        <n v="0.0186861929023402"/>
        <n v="0.0178130835764242"/>
        <n v="0.0165810824826174"/>
        <n v="0.0165806473963705"/>
        <n v="0.0137203360236348"/>
        <n v="0.0128279197455137"/>
        <n v="0.0119106491655399"/>
        <n v="0.0105888027617535"/>
        <n v="0.0100622940172541"/>
        <n v="0.00993383480286433"/>
        <n v="0.00969540753957694"/>
        <n v="0.00952534320282976"/>
        <n v="0.0088873979933496"/>
        <n v="0.0076296724251963"/>
        <n v="0.00748870448120887"/>
        <n v="0.00731418051043122"/>
        <n v="0.00726697365264531"/>
        <n v="0.00724494741139727"/>
        <n v="0.00654755854343784"/>
        <n v="0.00584940827454638"/>
        <n v="0.00543754475609854"/>
        <n v="0.00492180439620933"/>
        <n v="0.00481885211304259"/>
        <n v="0.00475478566319027"/>
        <n v="0.00450064090923454"/>
        <n v="0.00364042101338222"/>
        <n v="0.00354731255655102"/>
        <n v="0.00341178319064952"/>
        <n v="0.00340590952631671"/>
        <n v="0.00332933434686675"/>
        <n v="0.00317912082013322"/>
        <n v="0.00317879450544807"/>
        <n v="0.00308106325724382"/>
        <n v="0.00284981491702987"/>
        <n v="0.00278705372591818"/>
        <n v="0.00277111869212639"/>
        <n v="0.00273984686813227"/>
        <n v="0.00256885797311047"/>
        <n v="0.00255167206635892"/>
        <n v="0.00244572856524491"/>
        <n v="0.00229453609445592"/>
        <n v="0.00219859957702003"/>
        <n v="0.00214617168427162"/>
        <n v="0.00213186822390561"/>
        <n v="0.00210543673440796"/>
        <n v="0.00208379119362594"/>
        <n v="0.00206981404794509"/>
        <n v="0.00204941938012283"/>
        <n v="0.00203196154446698"/>
        <n v="0.00197730383470334"/>
        <n v="0.00194624955383265"/>
        <n v="0.00190943038019087"/>
        <n v="0.00190622161912017"/>
        <n v="0.00190187075665142"/>
        <n v="0.00189942339651275"/>
        <n v="0.00189659533590807"/>
        <n v="0.00175655195019524"/>
        <n v="0.00175127652945189"/>
        <n v="0.00174502216465306"/>
        <n v="0.00168982059708082"/>
        <n v="0.0016679031273945"/>
        <n v="0.00166235577774685"/>
        <n v="0.00165224002250701"/>
        <n v="0.0016498470481492"/>
        <n v="0.00164332075444608"/>
        <n v="0.00162624361925624"/>
        <n v="0.00156446137220002"/>
        <n v="0.0015582070074012"/>
        <n v="0.00155189825682151"/>
        <n v="0.00153928075566214"/>
        <n v="0.00151758082909926"/>
        <n v="0.00150072123703287"/>
        <n v="0.00144470388274774"/>
        <n v="0.00140777593754424"/>
        <n v="0.00135817610540051"/>
        <n v="0.00134479720330911"/>
        <n v="0.00133837968116771"/>
        <n v="0.00129954823363414"/>
        <n v="0.00128355881406149"/>
        <n v="0.00128181846907399"/>
        <n v="0.00127937110893532"/>
        <n v="0.00126713430824196"/>
        <n v="0.00126626413574821"/>
        <n v="0.00121824149124941"/>
        <n v="0.00120964853787363"/>
        <n v="0.00118724159615958"/>
        <n v="0.00118653458100841"/>
        <n v="0.00115314171156077"/>
        <n v="0.0011440049003764"/>
        <n v="0.00112496987707563"/>
        <n v="0.00111996638523657"/>
        <n v="0.00106949638059909"/>
        <n v="0.001067212177803"/>
        <n v="0.00105867361020808"/>
        <n v="0.00101527375708232"/>
        <n v="0.00100956325009209"/>
        <n v="0.00100765974776201"/>
        <n v="0.000977203710480776"/>
        <n v="0.000958059915618286"/>
        <n v="0.000919881097455023"/>
        <n v="0.000913844275779635"/>
        <n v="0.00091009165690034"/>
        <n v="0.000900302216345657"/>
        <n v="0.000891382948284724"/>
        <n v="0.000885454898171055"/>
        <n v="0.000878058431974184"/>
        <n v="0.000855216404013257"/>
        <n v="0.000850647998421072"/>
        <n v="0.000844774334088262"/>
        <n v="0.000842544517073029"/>
        <n v="0.000829220000762489"/>
        <n v="0.000809260419187108"/>
        <n v="0.00080741130263789"/>
        <n v="0.000806867444829296"/>
        <n v="0.000793107842271881"/>
        <n v="0.000775323691930874"/>
        <n v="0.000769558799159783"/>
        <n v="0.000765262322471895"/>
        <n v="0.000749272902899246"/>
        <n v="0.000735295757218394"/>
        <n v="0.000702664288702784"/>
        <n v="0.000689502929734822"/>
        <n v="0.000681562605729357"/>
        <n v="0.000678625773562952"/>
        <n v="0.000674818768902798"/>
        <n v="0.000657850405274681"/>
        <n v="0.000654532872642261"/>
        <n v="0.000626904895965712"/>
        <n v="0.000612166349352828"/>
        <n v="0.000603138309730176"/>
        <n v="0.000578066464754017"/>
        <n v="0.000566862993896991"/>
        <n v="0.000560391085974728"/>
        <n v="0.000559520913480979"/>
        <n v="0.00055941214191926"/>
        <n v="0.000554136721175903"/>
        <n v="0.00055353847758645"/>
        <n v="0.000544292894840361"/>
        <n v="0.000543422722346612"/>
        <n v="0.000536298185054037"/>
        <n v="0.000535536784122006"/>
        <n v="0.000535482398341147"/>
        <n v="0.000534557840066538"/>
        <n v="0.000532382408832164"/>
        <n v="0.000527814003239979"/>
        <n v="0.000527378916993104"/>
        <n v="0.000524931556854433"/>
        <n v="0.000516229831916937"/>
        <n v="0.000514435101148579"/>
        <n v="0.000513347385531392"/>
        <n v="0.000512966685065376"/>
        <n v="0.000511063182735299"/>
        <n v="0.000510682482269284"/>
        <n v="0.000505570218868505"/>
        <n v="0.000496270250341556"/>
        <n v="0.000490559743351325"/>
        <n v="0.000479845744522033"/>
        <n v="0.000478214171096253"/>
        <n v="0.000478105399534534"/>
        <n v="0.000477398384383362"/>
        <n v="0.000476582597670472"/>
        <n v="0.000452054610502906"/>
        <n v="0.000447594976472439"/>
        <n v="0.000446616032416971"/>
        <n v="0.000444059900716582"/>
        <n v="0.000441775697920489"/>
        <n v="0.000437751150136897"/>
        <n v="0.000434270460161899"/>
        <n v="0.000425949435690419"/>
        <n v="0.000424317862264638"/>
        <n v="0.000421707344783389"/>
        <n v="0.000421435415879093"/>
        <n v="0.000417030167629485"/>
        <n v="0.00040658809770449"/>
        <n v="0.000405663539429881"/>
        <n v="0.000403596879757226"/>
        <n v="0.000403433722414648"/>
        <n v="0.000397940758547854"/>
        <n v="0.000396744271368948"/>
        <n v="0.000392502180461919"/>
        <n v="0.000390598678131842"/>
        <n v="0.000386193429882235"/>
        <n v="0.000384996942703329"/>
        <n v="0.000380863623358019"/>
        <n v="0.0003807548517963"/>
        <n v="0.000380210993987706"/>
        <n v="0.000378579420561926"/>
        <n v="0.000374500486997475"/>
        <n v="0.000367267178143181"/>
        <n v="0.00035818475273967"/>
        <n v="0.00035655317931389"/>
        <n v="0.000354323362298656"/>
        <n v="0.000351984773721704"/>
        <n v="0.000350244428734205"/>
        <n v="0.000348884784212722"/>
        <n v="0.000344588307524833"/>
        <n v="0.000343391820345927"/>
        <n v="0.000331916420584605"/>
        <n v="0.000319734005672111"/>
        <n v="0.000319462076767814"/>
        <n v="0.000318809447397502"/>
        <n v="0.000314839285394769"/>
        <n v="0.000314023498681879"/>
        <n v="0.000307605976540476"/>
        <n v="0.000304179672346337"/>
        <n v="0.000303581428756884"/>
        <n v="0.000299013023164699"/>
        <n v="0.000298686708479543"/>
        <n v="0.000297490221300637"/>
        <n v="0.000290311298227203"/>
        <n v="0.000288407795897126"/>
        <n v="0.000286613065128767"/>
        <n v="0.000286558679347908"/>
        <n v="0.00028057624345338"/>
        <n v="0.000278618355342443"/>
        <n v="0.000276225380984632"/>
        <n v="0.000270242945090103"/>
        <n v="0.000270079787747525"/>
        <n v="0.000269644701500651"/>
        <n v="0.000265348224812762"/>
        <n v="0.000265021910127606"/>
        <n v="0.00026132367702917"/>
        <n v="0.000260725433439717"/>
        <n v="0.000260671047658858"/>
        <n v="0.000259365788918234"/>
        <n v="0.000257353515026438"/>
        <n v="0.00025463422598347"/>
        <n v="0.000252295637406518"/>
        <n v="0.000250881607104175"/>
        <n v="0.000248379861184645"/>
        <n v="0.000247727231814333"/>
        <n v="0.000246911445101443"/>
        <n v="0.000245714957922537"/>
        <n v="0.000243702684030741"/>
        <n v="0.000242179882166679"/>
        <n v="0.000241962339043242"/>
        <n v="0.000238916735315119"/>
        <n v="0.000236632532519026"/>
        <n v="0.000236360603614729"/>
        <n v="0.000234022015037777"/>
        <n v="0.000232336055831137"/>
        <n v="0.00023130272599481"/>
        <n v="0.000230378167720201"/>
        <n v="0.000225157132757703"/>
        <n v="0.000222655386838173"/>
        <n v="0.000219501011548331"/>
        <n v="0.000219283468424894"/>
        <n v="0.00021879399639716"/>
        <n v="0.000218522067492863"/>
        <n v="0.000217543123437395"/>
        <n v="0.000215258920641302"/>
        <n v="0.000214986991737005"/>
        <n v="0.00021292033206435"/>
        <n v="0.000208025611787009"/>
        <n v="0.000207699297101852"/>
        <n v="0.000207318596635837"/>
        <n v="0.000206665967265525"/>
        <n v="0.000205904566333494"/>
        <n v="0.000204925622278026"/>
        <n v="0.000204109835565135"/>
        <n v="0.000202641419481933"/>
        <n v="0.000200901074494434"/>
        <n v="0.000199976516219825"/>
        <n v="0.000198834414821779"/>
        <n v="0.000198780029040919"/>
        <n v="0.000198290557013185"/>
        <n v="0.000196006354217093"/>
        <n v="0.000194646709695609"/>
        <n v="0.000193885308763578"/>
        <n v="0.000193504608297562"/>
        <n v="0.000193178293612406"/>
        <n v="0.000193015136269828"/>
        <n v="0.000191764263310063"/>
        <n v="0.000191601105967485"/>
        <n v="0.000189643217856549"/>
        <n v="0.000188990588486237"/>
        <n v="0.000188881816924518"/>
        <n v="0.00018871865958194"/>
        <n v="0.000184313411332333"/>
        <n v="0.000182518680563974"/>
        <n v="0.000182355523221396"/>
        <n v="0.000181485350727646"/>
        <n v="0.000180234477767881"/>
        <n v="0.00017865729012296"/>
        <n v="0.000178602904342101"/>
        <n v="0.000178494132780382"/>
        <n v="0.000176536244669446"/>
        <n v="0.000176264315765149"/>
        <n v="0.0001736537982839"/>
        <n v="0.000173218712037025"/>
        <n v="0.000172946783132729"/>
        <n v="0.000171043280802651"/>
        <n v="0.000170281879870621"/>
        <n v="0.000167345047704216"/>
        <n v="0.000165767860059295"/>
        <n v="0.000165713474278435"/>
        <n v="0.000165550316935857"/>
        <n v="0.000164571372880389"/>
        <n v="0.000163429271482343"/>
        <n v="0.000163102956797187"/>
        <n v="0.000161688926494844"/>
        <n v="0.000160546825096797"/>
        <n v="0.000160057353069063"/>
        <n v="0.00015945910947961"/>
        <n v="0.000159404723698751"/>
        <n v="0.000158045079177267"/>
        <n v="0.000157990693396408"/>
        <n v="0.000154781932325706"/>
        <n v="0.000154183688736253"/>
        <n v="0.000154074917174535"/>
        <n v="0.00015363983092766"/>
        <n v="0.000153531059365941"/>
        <n v="0.000153422287804223"/>
        <n v="0.00015276965843391"/>
        <n v="0.000152388957967895"/>
        <n v="0.000151736328597583"/>
        <n v="0.000151681942816723"/>
        <n v="0.000150974927665552"/>
        <n v="0.000150920541884692"/>
        <n v="0.00014945212580149"/>
        <n v="0.000149288968458912"/>
        <n v="0.000148690724869459"/>
        <n v="0.000147603009252272"/>
        <n v="0.000147494237690554"/>
        <n v="0.000145971435826492"/>
        <n v="0.000145373192237039"/>
        <n v="0.000144829334428445"/>
        <n v="0.000144231090838993"/>
        <n v="0.000144013547715555"/>
        <n v="0.000143687233030399"/>
        <n v="0.000143306532564384"/>
        <n v="0.000142871446317509"/>
        <n v="0.000142273202728056"/>
        <n v="0.000142218816947197"/>
        <n v="0.000141729344919463"/>
        <n v="0.000141620573357744"/>
        <n v="0.000141022329768291"/>
        <n v="0.000140696015083135"/>
        <n v="0.000136345152614387"/>
        <n v="0.000135094279654622"/>
        <n v="0.000132374990611655"/>
        <n v="0.000131994290145639"/>
        <n v="0.000131341660775327"/>
        <n v="0.000130199559377281"/>
        <n v="0.000127860970800329"/>
        <n v="0.000127371498772595"/>
        <n v="0.000127208341430016"/>
        <n v="0.000126773255183142"/>
        <n v="0.000126338168936267"/>
        <n v="0.000123673265674159"/>
        <n v="0.000123455722550721"/>
        <n v="0.000122857478961269"/>
        <n v="0.00012274870739955"/>
        <n v="0.000122368006933534"/>
        <n v="0.000121987306467519"/>
        <n v="0.0001218785349058"/>
        <n v="0.000121497834439785"/>
        <n v="0.000119268017424552"/>
        <n v="0.000118017144464787"/>
        <n v="0.0001169294288476"/>
        <n v="0.000116331185258147"/>
        <n v="0.000116113642134709"/>
        <n v="0.000115134698079241"/>
        <n v="0.000114971540736663"/>
        <n v="0.000114264525585491"/>
        <n v="0.000113992596681195"/>
        <n v="0.000111001378733931"/>
        <n v="0.000108717175937838"/>
        <n v="0.000106487358922605"/>
        <n v="0.000106215430018308"/>
        <n v="0.000105617186428855"/>
        <n v="0.00010523648596284"/>
        <n v="0.000105018942839402"/>
        <n v="0.000104747013935105"/>
        <n v="0.000103931227222215"/>
        <n v="0.000101157552398388"/>
        <n v="0.000100396151466358"/>
        <n v="9.90365069448739e-5"/>
        <n v="9.88189638214365e-5"/>
        <n v="9.86014206979991e-5"/>
        <n v="9.8275106012843e-5"/>
        <n v="9.80575628894056e-5"/>
        <n v="9.76224766425308e-5"/>
        <n v="9.73505477382341e-5"/>
        <n v="9.69698472722186e-5"/>
        <n v="9.68066899296406e-5"/>
        <n v="9.63716036827658e-5"/>
        <n v="9.63172179019064e-5"/>
        <n v="9.62628321210471e-5"/>
        <n v="9.60452889976097e-5"/>
        <n v="9.58277458741723e-5"/>
        <n v="9.51207307230008e-5"/>
        <n v="9.41417866675325e-5"/>
        <n v="9.37067004206577e-5"/>
        <n v="9.29996852694862e-5"/>
        <n v="9.16400407480025e-5"/>
        <n v="9.15312691862838e-5"/>
        <n v="8.86488228007383e-5"/>
        <n v="8.7506721402692e-5"/>
        <n v="8.71260209366765e-5"/>
        <n v="8.66365489089424e-5"/>
        <n v="8.65277773472237e-5"/>
        <n v="8.62558484429269e-5"/>
        <n v="8.59295337577709e-5"/>
        <n v="8.53856759491774e-5"/>
        <n v="8.51137470448806e-5"/>
        <n v="8.48418181405839e-5"/>
        <n v="8.36997167425376e-5"/>
        <n v="8.34821736191002e-5"/>
        <n v="8.33734020573815e-5"/>
        <n v="8.27207726870693e-5"/>
        <n v="8.26663869062099e-5"/>
        <n v="8.10348134804295e-5"/>
        <n v="7.9403240054649e-5"/>
        <n v="7.84786817800401e-5"/>
        <n v="7.82067528757433e-5"/>
        <n v="7.80979813140246e-5"/>
        <n v="7.80435955331653e-5"/>
        <n v="7.77716666288686e-5"/>
        <n v="7.73909661628531e-5"/>
        <n v="7.67383367925409e-5"/>
        <n v="7.64664078882442e-5"/>
        <n v="7.597693586051e-5"/>
        <n v="7.59225500796507e-5"/>
        <n v="7.52699207093385e-5"/>
        <n v="7.51611491476198e-5"/>
        <n v="7.44541339964483e-5"/>
        <n v="7.41822050921515e-5"/>
        <n v="7.40734335304329e-5"/>
        <n v="7.35839615026987e-5"/>
        <n v="7.33664183792613e-5"/>
        <n v="7.30401036941052e-5"/>
        <n v="7.23330885429337e-5"/>
        <n v="7.2224316981215e-5"/>
        <n v="7.17892307343402e-5"/>
        <n v="7.17348449534809e-5"/>
        <n v="7.14085302683248e-5"/>
        <n v="7.10278298023093e-5"/>
        <n v="6.99401141851224e-5"/>
        <n v="6.94506421573882e-5"/>
        <n v="6.92874848148102e-5"/>
        <n v="6.89611701296541e-5"/>
        <n v="6.84173123210606e-5"/>
        <n v="6.83085407593419e-5"/>
        <n v="6.79822260741858e-5"/>
        <n v="6.76015256081704e-5"/>
        <n v="6.72752109230143e-5"/>
        <n v="6.67313531144208e-5"/>
        <n v="6.65681957718427e-5"/>
        <n v="6.64050384292647e-5"/>
        <n v="6.56980232780932e-5"/>
        <n v="6.54804801546558e-5"/>
        <n v="6.49366223460623e-5"/>
        <n v="6.40120640714533e-5"/>
        <n v="6.35225920437192e-5"/>
        <n v="6.34138204820005e-5"/>
        <n v="6.26524195499696e-5"/>
        <n v="6.23804906456729e-5"/>
        <n v="6.21085617413762e-5"/>
        <n v="6.16734754945014e-5"/>
        <n v="6.14015465902046e-5"/>
        <n v="6.12927750284859e-5"/>
        <n v="6.08033030007518e-5"/>
        <n v="6.05857598773144e-5"/>
        <n v="5.99875162878615e-5"/>
        <n v="5.97699731644242e-5"/>
        <n v="5.96612016027055e-5"/>
        <n v="5.93892726984087e-5"/>
        <n v="5.93348869175494e-5"/>
        <n v="5.86278717663778e-5"/>
        <n v="5.82471713003624e-5"/>
        <n v="5.79752423960657e-5"/>
        <n v="5.79208566152063e-5"/>
        <n v="5.78120850534876e-5"/>
        <n v="5.73226130257535e-5"/>
        <n v="5.6941912559738e-5"/>
        <n v="5.54734964765356e-5"/>
        <n v="5.53103391339576e-5"/>
        <n v="5.50927960105202e-5"/>
        <n v="5.50384102296608e-5"/>
        <n v="5.47120955445047e-5"/>
        <n v="5.42770092976299e-5"/>
        <n v="5.38963088316145e-5"/>
        <n v="5.36787657081771e-5"/>
        <n v="5.35156083655991e-5"/>
        <n v="5.29717505570056e-5"/>
        <n v="5.28629789952869e-5"/>
        <n v="5.25366643101308e-5"/>
        <n v="5.23735069675527e-5"/>
        <n v="5.2264735405834e-5"/>
        <n v="5.15577202546625e-5"/>
        <n v="5.13945629120845e-5"/>
        <n v="5.1013862446069e-5"/>
        <n v="5.0850705103491e-5"/>
        <n v="5.07963193226316e-5"/>
        <n v="5.05787761991942e-5"/>
        <n v="5.03612330757568e-5"/>
        <n v="5.00893041714601e-5"/>
        <n v="4.98717610480227e-5"/>
        <n v="4.98173752671634e-5"/>
        <n v="4.9599832143726e-5"/>
        <n v="4.94910605820073e-5"/>
        <n v="4.94366748011479e-5"/>
        <n v="4.93822890202886e-5"/>
        <n v="4.92191316777105e-5"/>
        <n v="4.85665023073983e-5"/>
        <n v="4.8512116526539e-5"/>
        <n v="4.83489591839609e-5"/>
        <n v="4.78594871562268e-5"/>
        <n v="4.75875582519301e-5"/>
        <n v="4.71524720050553e-5"/>
        <n v="4.70437004433366e-5"/>
        <n v="4.68805431007585e-5"/>
        <n v="4.65542284156024e-5"/>
        <n v="4.62822995113057e-5"/>
        <n v="4.62279137304463e-5"/>
        <n v="4.59015990452903e-5"/>
        <n v="4.58472132644309e-5"/>
        <n v="4.55752843601342e-5"/>
        <n v="4.53033554558374e-5"/>
        <n v="4.52489696749781e-5"/>
        <n v="4.49770407706813e-5"/>
        <n v="4.45419545238065e-5"/>
        <n v="4.44331829620878e-5"/>
        <n v="4.37261678109163e-5"/>
        <n v="4.35630104683383e-5"/>
        <n v="4.28016095363074e-5"/>
        <n v="4.2747223755448e-5"/>
        <n v="4.26928379745887e-5"/>
        <n v="4.23121375085732e-5"/>
        <n v="4.19858228234172e-5"/>
        <n v="4.17138939191204e-5"/>
        <n v="4.11700361105269e-5"/>
        <n v="4.10612645488082e-5"/>
        <n v="4.08981072062302e-5"/>
        <n v="4.07893356445115e-5"/>
        <n v="4.06805640827928e-5"/>
        <n v="4.02998636167773e-5"/>
        <n v="3.96472342464652e-5"/>
        <n v="3.9157762218731e-5"/>
        <n v="3.90489906570123e-5"/>
        <n v="3.88314475335749e-5"/>
        <n v="3.87770617527156e-5"/>
        <n v="3.83419755058408e-5"/>
        <n v="3.76893461355286e-5"/>
        <n v="3.75261887929506e-5"/>
        <n v="3.6819173641779e-5"/>
        <n v="3.67647878609197e-5"/>
        <n v="3.62753158331855e-5"/>
        <n v="3.61121584906075e-5"/>
        <n v="3.58946153671701e-5"/>
        <n v="3.56770722437327e-5"/>
        <n v="3.56226864628734e-5"/>
        <n v="3.55139149011547e-5"/>
        <n v="3.52963717777173e-5"/>
        <n v="3.46981281882644e-5"/>
        <n v="3.4480585064827e-5"/>
        <n v="3.44261992839677e-5"/>
        <n v="3.38279556945149e-5"/>
        <n v="3.37735699136555e-5"/>
        <n v="3.36647983519368e-5"/>
        <n v="3.33928694476401e-5"/>
        <n v="3.29577832007653e-5"/>
        <n v="3.29033974199059e-5"/>
        <n v="3.27946258581872e-5"/>
        <n v="3.25770827347498e-5"/>
        <n v="3.2141996487875e-5"/>
        <n v="3.20332249261563e-5"/>
        <n v="3.1815681802719e-5"/>
        <n v="3.14349813367035e-5"/>
        <n v="3.11630524324068e-5"/>
        <n v="3.09455093089694e-5"/>
        <n v="3.07823519663913e-5"/>
        <n v="3.06735804046726e-5"/>
        <n v="3.05104230620946e-5"/>
        <n v="3.01841083769385e-5"/>
        <n v="3.01297225960791e-5"/>
        <n v="2.99665652535011e-5"/>
        <n v="2.98577936917824e-5"/>
        <n v="2.97490221300637e-5"/>
        <n v="2.96946363492044e-5"/>
        <n v="2.95858647874857e-5"/>
        <n v="2.95314790066263e-5"/>
        <n v="2.88788496363141e-5"/>
        <n v="2.78455197999865e-5"/>
        <n v="2.75192051148304e-5"/>
        <n v="2.73560477722524e-5"/>
        <n v="2.72472762105337e-5"/>
        <n v="2.68665757445182e-5"/>
        <n v="2.67578041827995e-5"/>
        <n v="2.67034184019402e-5"/>
        <n v="2.66490326210808e-5"/>
        <n v="2.65402610593621e-5"/>
        <n v="2.6050789031628e-5"/>
        <n v="2.57244743464719e-5"/>
        <n v="2.56700885656126e-5"/>
        <n v="2.56157027847532e-5"/>
        <n v="2.55069312230345e-5"/>
        <n v="2.53437738804565e-5"/>
        <n v="2.52893880995971e-5"/>
        <n v="2.50718449761597e-5"/>
        <n v="2.4963073414441e-5"/>
        <n v="2.49086876335817e-5"/>
        <n v="2.48543018527223e-5"/>
        <n v="2.45279871675662e-5"/>
        <n v="2.44736013867069e-5"/>
        <n v="2.43104440441288e-5"/>
        <n v="2.40929009206914e-5"/>
        <n v="2.39841293589727e-5"/>
        <n v="2.3712200454676e-5"/>
        <n v="2.36034288929573e-5"/>
        <n v="2.34946573312386e-5"/>
        <n v="2.33314999886606e-5"/>
        <n v="2.32227284269419e-5"/>
        <n v="2.31139568652232e-5"/>
        <n v="2.30595710843638e-5"/>
        <n v="2.30051853035045e-5"/>
        <n v="2.28964137417858e-5"/>
        <n v="2.27876421800671e-5"/>
        <n v="2.27332563992077e-5"/>
        <n v="2.25157132757703e-5"/>
        <n v="2.20806270288955e-5"/>
        <n v="2.16455407820208e-5"/>
        <n v="2.14823834394427e-5"/>
        <n v="2.09929114117086e-5"/>
        <n v="2.07753682882712e-5"/>
        <n v="2.07209825074118e-5"/>
        <n v="2.05578251648338e-5"/>
        <n v="2.05034393839744e-5"/>
        <n v="2.01771246988183e-5"/>
        <n v="2.00683531370996e-5"/>
        <n v="1.96876526710842e-5"/>
        <n v="1.96332668902249e-5"/>
        <n v="1.95788811093655e-5"/>
        <n v="1.94157237667875e-5"/>
        <n v="1.93069522050688e-5"/>
        <n v="1.89262517390533e-5"/>
        <n v="1.8871865958194e-5"/>
        <n v="1.88174801773346e-5"/>
        <n v="1.84367797113192e-5"/>
        <n v="1.83823939304598e-5"/>
        <n v="1.82736223687411e-5"/>
        <n v="1.82192365878818e-5"/>
        <n v="1.81648508070224e-5"/>
        <n v="1.80560792453037e-5"/>
        <n v="1.80016934644444e-5"/>
        <n v="1.79473076835851e-5"/>
        <n v="1.78385361218664e-5"/>
        <n v="1.75122214367103e-5"/>
        <n v="1.74034498749916e-5"/>
        <n v="1.73490640941322e-5"/>
        <n v="1.72946783132729e-5"/>
        <n v="1.72402925324135e-5"/>
        <n v="1.669643472382e-5"/>
        <n v="1.66420489429607e-5"/>
        <n v="1.65876631621013e-5"/>
        <n v="1.6533277381242e-5"/>
        <n v="1.64788916003826e-5"/>
        <n v="1.64245058195233e-5"/>
        <n v="1.63157342578046e-5"/>
        <n v="1.62069626960859e-5"/>
        <n v="1.60981911343672e-5"/>
        <n v="1.60438053535078e-5"/>
        <n v="1.57718764492111e-5"/>
        <n v="1.55543333257737e-5"/>
        <n v="1.53367902023363e-5"/>
        <n v="1.5282404421477e-5"/>
        <n v="1.52280186406176e-5"/>
        <n v="1.51192470788989e-5"/>
        <n v="1.50648612980396e-5"/>
        <n v="1.49017039554615e-5"/>
        <n v="1.45210034894461e-5"/>
        <n v="1.44122319277274e-5"/>
        <n v="1.4357846146868e-5"/>
        <n v="1.41403030234306e-5"/>
        <n v="1.40859172425713e-5"/>
        <n v="1.40315314617119e-5"/>
        <n v="1.39771456808526e-5"/>
        <n v="1.39227598999933e-5"/>
        <n v="1.38683741191339e-5"/>
        <n v="1.36508309956965e-5"/>
        <n v="1.35964452148372e-5"/>
        <n v="1.34876736531185e-5"/>
        <n v="1.33245163105404e-5"/>
        <n v="1.32701305296811e-5"/>
        <n v="1.30525874062437e-5"/>
        <n v="1.28350442828063e-5"/>
        <n v="1.27806585019469e-5"/>
        <n v="1.27262727210876e-5"/>
        <n v="1.26718869402282e-5"/>
        <n v="1.25087295976502e-5"/>
        <n v="1.24543438167908e-5"/>
        <n v="1.23455722550721e-5"/>
        <n v="1.22368006933534e-5"/>
        <n v="1.21824149124941e-5"/>
        <n v="1.21280291316347e-5"/>
        <n v="1.19648717890567e-5"/>
        <n v="1.19104860081974e-5"/>
        <n v="1.15841713230413e-5"/>
        <n v="1.15297855421819e-5"/>
        <n v="1.14210139804632e-5"/>
        <n v="1.13666281996039e-5"/>
        <n v="1.13122424187445e-5"/>
        <n v="1.10403135144478e-5"/>
        <n v="1.0768384610151e-5"/>
        <n v="1.07139988292917e-5"/>
        <n v="1.0605227267573e-5"/>
        <n v="1.04964557058543e-5"/>
        <n v="1.03876841441356e-5"/>
        <n v="1.03332983632762e-5"/>
        <n v="1.01701410206982e-5"/>
        <n v="1.01157552398388e-5"/>
        <n v="1.00613694589795e-5"/>
        <n v="9.8438263355421e-6"/>
        <n v="9.78944055468275e-6"/>
        <n v="9.68066899296406e-6"/>
        <n v="9.62628321210471e-6"/>
        <n v="9.57189743124536e-6"/>
        <n v="9.51751165038601e-6"/>
        <n v="9.35435430780797e-6"/>
        <n v="9.24558274608927e-6"/>
        <n v="9.19119696522992e-6"/>
        <n v="9.08242540351122e-6"/>
        <n v="8.91926806093318e-6"/>
        <n v="8.81049649921448e-6"/>
        <n v="8.75611071835513e-6"/>
        <n v="8.70172493749578e-6"/>
        <n v="8.48418181405839e-6"/>
        <n v="8.42979603319904e-6"/>
        <n v="8.37541025233969e-6"/>
        <n v="8.21225290976164e-6"/>
        <n v="8.1578671289023e-6"/>
        <n v="8.10348134804295e-6"/>
        <n v="7.99470978632425e-6"/>
        <n v="7.88593822460555e-6"/>
        <n v="7.8315524437462e-6"/>
        <n v="7.77716666288686e-6"/>
        <n v="7.72278088202751e-6"/>
        <n v="7.66839510116816e-6"/>
        <n v="7.55962353944946e-6"/>
        <n v="7.50523775859011e-6"/>
        <n v="7.39646619687142e-6"/>
        <n v="7.28769463515272e-6"/>
        <n v="7.17892307343402e-6"/>
        <n v="7.01576573085597e-6"/>
        <n v="6.90699416913728e-6"/>
        <n v="6.85260838827793e-6"/>
        <n v="6.68945104569988e-6"/>
        <n v="6.63506526484053e-6"/>
        <n v="6.58067948398119e-6"/>
        <n v="6.52629370312184e-6"/>
        <n v="6.47190792226249e-6"/>
        <n v="6.41752214140314e-6"/>
        <n v="6.30875057968444e-6"/>
        <n v="6.25436479882509e-6"/>
        <n v="6.19997901796574e-6"/>
        <n v="6.1455932371064e-6"/>
        <n v="6.09120745624705e-6"/>
        <n v="6.0368216753877e-6"/>
        <n v="5.928050113669e-6"/>
        <n v="5.87366433280965e-6"/>
        <n v="5.8192785519503e-6"/>
        <n v="5.65612120937226e-6"/>
        <n v="5.54734964765356e-6"/>
        <n v="5.43857808593486e-6"/>
        <n v="5.32980652421617e-6"/>
        <n v="5.27542074335682e-6"/>
        <n v="5.11226340077877e-6"/>
        <n v="4.94910605820073e-6"/>
        <n v="4.89472027734138e-6"/>
        <n v="4.73156293476333e-6"/>
        <n v="4.67717715390398e-6"/>
        <n v="4.51401981132594e-6"/>
        <n v="4.45963403046659e-6"/>
        <n v="4.40524824960724e-6"/>
        <n v="4.35086246874789e-6"/>
        <n v="4.29647668788854e-6"/>
        <n v="4.18770512616985e-6"/>
        <n v="4.1333193453105e-6"/>
        <n v="3.9157762218731e-6"/>
        <n v="3.86139044101375e-6"/>
        <n v="3.69823309843571e-6"/>
        <n v="3.58946153671701e-6"/>
        <n v="3.53507575585766e-6"/>
        <n v="3.48068997499831e-6"/>
        <n v="3.42630419413896e-6"/>
        <n v="3.37191841327962e-6"/>
        <n v="3.31753263242027e-6"/>
        <n v="3.26314685156092e-6"/>
        <n v="3.20876107070157e-6"/>
        <n v="3.09998950898287e-6"/>
        <n v="3.04560372812352e-6"/>
        <n v="2.99121794726418e-6"/>
        <n v="2.93683216640483e-6"/>
        <n v="2.88244638554548e-6"/>
        <n v="2.82806060468613e-6"/>
        <n v="2.77367482382678e-6"/>
        <n v="2.71928904296743e-6"/>
        <n v="2.61051748124873e-6"/>
        <n v="2.55613170038939e-6"/>
        <n v="2.50174591953004e-6"/>
        <n v="2.44736013867069e-6"/>
        <n v="2.33858857695199e-6"/>
        <n v="2.22981701523329e-6"/>
        <n v="2.17543123437395e-6"/>
        <n v="2.1210454535146e-6"/>
        <n v="2.06665967265525e-6"/>
        <n v="2.0122738917959e-6"/>
        <n v="1.95788811093655e-6"/>
        <n v="1.9035023300772e-6"/>
        <n v="1.84911654921785e-6"/>
        <n v="1.79473076835851e-6"/>
        <n v="1.74034498749916e-6"/>
        <n v="1.57718764492111e-6"/>
        <n v="1.52280186406176e-6"/>
        <n v="1.46841608320241e-6"/>
        <n v="1.41403030234306e-6"/>
        <n v="1.35964452148372e-6"/>
        <n v="1.30525874062437e-6"/>
        <n v="1.25087295976502e-6"/>
        <n v="1.14210139804632e-6"/>
        <n v="1.08771561718697e-6"/>
        <n v="1.03332983632762e-6"/>
        <n v="9.78944055468276e-7"/>
        <n v="9.24558274608927e-7"/>
        <n v="8.70172493749578e-7"/>
        <n v="7.61400932030881e-7"/>
        <n v="6.52629370312184e-7"/>
        <n v="5.98243589452835e-7"/>
        <n v="5.43857808593486e-7"/>
        <n v="3.26314685156092e-7"/>
        <n v="2.71928904296743e-7"/>
        <n v="1.63157342578046e-7"/>
        <n v="1.08771561718697e-7"/>
        <n v="0.000535863098807162"/>
        <n v="0"/>
        <n v="0.000572627886668082"/>
        <n v="1.53911759831957e-5"/>
        <n v="0.000409416158309177"/>
        <n v="0.000206067723676072"/>
        <n v="7.29313321323865e-5"/>
        <n v="0.00144193020792391"/>
        <n v="1.62613484769452e-5"/>
        <n v="8.8920751705035e-5"/>
        <n v="5.74857703683315e-5"/>
        <n v="0.00417394552361243"/>
        <n v="5.52559533530982e-5"/>
        <n v="0.00024299566887957"/>
        <n v="7.91313111503523e-5"/>
        <n v="0.00312783502878286"/>
        <n v="0.00112877688173578"/>
        <n v="0.000840423471619515"/>
        <n v="0.00103566842490458"/>
        <n v="0.00051851403471303"/>
        <n v="0.00854275530004391"/>
        <n v="0.000576380505547377"/>
        <n v="0.000151355628131567"/>
        <n v="4.35086246874789e-5"/>
        <n v="0.000802897282826564"/>
        <n v="0.000360468955535763"/>
        <n v="3.02384941577978e-5"/>
        <n v="6.30875057968444e-5"/>
        <n v="5.71050699023161e-6"/>
        <n v="5.98243589452835e-6"/>
        <n v="0.0016798136134027"/>
        <m/>
      </sharedItems>
    </cacheField>
    <cacheField name="Contagem join" numFmtId="0">
      <sharedItems containsSemiMixedTypes="0" containsString="0" containsNumber="1" containsInteger="1" minValue="1" maxValue="2" count="2">
        <n v="1"/>
        <n v="2"/>
      </sharedItems>
    </cacheField>
    <cacheField name="90/10 Acessos" numFmtId="0">
      <sharedItems containsBlank="1" count="3">
        <s v="Sim"/>
        <s v="Não"/>
        <m/>
      </sharedItems>
    </cacheField>
    <cacheField name="90/10 Chamados" numFmtId="0">
      <sharedItems containsBlank="1" count="3">
        <s v="Não"/>
        <s v="Sim"/>
        <m/>
      </sharedItems>
    </cacheField>
    <cacheField name="Volume mensal total" numFmtId="1">
      <sharedItems containsSemiMixedTypes="0" containsString="0" containsNumber="1" minValue="0" maxValue="196007.666666667" count="874">
        <n v="196007.666666667"/>
        <n v="152428.916666667"/>
        <n v="125516.583333333"/>
        <n v="75224.0833333333"/>
        <n v="51574.4166666667"/>
        <n v="39647.25"/>
        <n v="37903.75"/>
        <n v="37089.1666666667"/>
        <n v="35611.8333333333"/>
        <n v="28632.1666666667"/>
        <n v="27294.3333333333"/>
        <n v="25406.5833333333"/>
        <n v="25405.9166666667"/>
        <n v="21023.1666666667"/>
        <n v="19655.75"/>
        <n v="18250.25"/>
        <n v="16224.8333333333"/>
        <n v="15418.0833333333"/>
        <n v="15221.25"/>
        <n v="14855.9166666667"/>
        <n v="14595.3333333333"/>
        <n v="13617.8333333333"/>
        <n v="11690.6666666667"/>
        <n v="11474.6666666667"/>
        <n v="11207.25"/>
        <n v="11134.9166666667"/>
        <n v="11101.1666666667"/>
        <n v="10032.5833333333"/>
        <n v="8962.83333333333"/>
        <n v="8331.75"/>
        <n v="7541.5"/>
        <n v="7383.75"/>
        <n v="7285.58333333333"/>
        <n v="6896.16666666667"/>
        <n v="5578.08333333333"/>
        <n v="5435.41666666667"/>
        <n v="5227.75"/>
        <n v="5218.75"/>
        <n v="5101.41666666667"/>
        <n v="4871.25"/>
        <n v="4870.75"/>
        <n v="4721"/>
        <n v="4366.66666666667"/>
        <n v="4270.5"/>
        <n v="4246.08333333333"/>
        <n v="4198.16666666667"/>
        <n v="3936.16666666667"/>
        <n v="3909.83333333333"/>
        <n v="3747.5"/>
        <n v="3515.83333333333"/>
        <n v="3368.83333333333"/>
        <n v="3288.5"/>
        <n v="3266.58333333333"/>
        <n v="3226.08333333333"/>
        <n v="3192.91666666667"/>
        <n v="3171.5"/>
        <n v="3140.25"/>
        <n v="3113.5"/>
        <n v="3029.75"/>
        <n v="2982.16666666667"/>
        <n v="2925.75"/>
        <n v="2920.83333333333"/>
        <n v="2914.16666666667"/>
        <n v="2910.41666666667"/>
        <n v="2906.08333333333"/>
        <n v="2691.5"/>
        <n v="2683.41666666667"/>
        <n v="2673.83333333333"/>
        <n v="2589.25"/>
        <n v="2555.66666666667"/>
        <n v="2547.16666666667"/>
        <n v="2531.66666666667"/>
        <n v="2528"/>
        <n v="2518"/>
        <n v="2491.83333333333"/>
        <n v="2397.16666666667"/>
        <n v="2387.58333333333"/>
        <n v="2377.91666666667"/>
        <n v="2358.58333333333"/>
        <n v="2325.33333333333"/>
        <n v="2299.5"/>
        <n v="2213.66666666667"/>
        <n v="2157.08333333333"/>
        <n v="2081.08333333333"/>
        <n v="2060.58333333333"/>
        <n v="2050.75"/>
        <n v="1991.25"/>
        <n v="1966.75"/>
        <n v="1964.08333333333"/>
        <n v="1960.33333333333"/>
        <n v="1941.58333333333"/>
        <n v="1940.25"/>
        <n v="1866.66666666667"/>
        <n v="1853.5"/>
        <n v="1819.16666666667"/>
        <n v="1818.08333333333"/>
        <n v="1766.91666666667"/>
        <n v="1752.91666666667"/>
        <n v="1723.75"/>
        <n v="1716.08333333333"/>
        <n v="1638.75"/>
        <n v="1635.25"/>
        <n v="1622.16666666667"/>
        <n v="1555.66666666667"/>
        <n v="1546.91666666667"/>
        <n v="1544"/>
        <n v="1497.33333333333"/>
        <n v="1468"/>
        <n v="1409.5"/>
        <n v="1400.25"/>
        <n v="1394.5"/>
        <n v="1379.5"/>
        <n v="1365.83333333333"/>
        <n v="1356.75"/>
        <n v="1345.41666666667"/>
        <n v="1310.41666666667"/>
        <n v="1303.41666666667"/>
        <n v="1294.41666666667"/>
        <n v="1291"/>
        <n v="1270.58333333333"/>
        <n v="1240"/>
        <n v="1237.16666666667"/>
        <n v="1236.33333333333"/>
        <n v="1215.25"/>
        <n v="1188"/>
        <n v="1179.16666666667"/>
        <n v="1172.58333333333"/>
        <n v="1148.08333333333"/>
        <n v="1126.66666666667"/>
        <n v="1076.66666666667"/>
        <n v="1056.5"/>
        <n v="1044.33333333333"/>
        <n v="1039.83333333333"/>
        <n v="1034"/>
        <n v="1008"/>
        <n v="1002.91666666667"/>
        <n v="960.583333333333"/>
        <n v="938"/>
        <n v="924.166666666667"/>
        <n v="885.75"/>
        <n v="868.583333333333"/>
        <n v="858.666666666667"/>
        <n v="857.333333333333"/>
        <n v="857.166666666667"/>
        <n v="849.083333333333"/>
        <n v="848.166666666667"/>
        <n v="834"/>
        <n v="832.666666666667"/>
        <n v="821.75"/>
        <n v="820.583333333333"/>
        <n v="820.5"/>
        <n v="819.083333333333"/>
        <n v="815.75"/>
        <n v="808.75"/>
        <n v="808.083333333333"/>
        <n v="804.333333333333"/>
        <n v="791"/>
        <n v="788.25"/>
        <n v="786.583333333333"/>
        <n v="786"/>
        <n v="783.083333333333"/>
        <n v="782.5"/>
        <n v="774.666666666667"/>
        <n v="760.416666666667"/>
        <n v="751.666666666667"/>
        <n v="735.25"/>
        <n v="732.75"/>
        <n v="732.583333333333"/>
        <n v="731.5"/>
        <n v="730.25"/>
        <n v="692.666666666667"/>
        <n v="685.833333333333"/>
        <n v="684.333333333333"/>
        <n v="680.416666666667"/>
        <n v="676.916666666667"/>
        <n v="670.75"/>
        <n v="665.416666666667"/>
        <n v="652.666666666667"/>
        <n v="650.166666666667"/>
        <n v="646.166666666667"/>
        <n v="645.75"/>
        <n v="639"/>
        <n v="623"/>
        <n v="621.583333333333"/>
        <n v="618.416666666667"/>
        <n v="618.166666666667"/>
        <n v="609.75"/>
        <n v="607.916666666667"/>
        <n v="601.416666666667"/>
        <n v="598.5"/>
        <n v="591.75"/>
        <n v="589.916666666667"/>
        <n v="583.583333333333"/>
        <n v="583.416666666667"/>
        <n v="582.583333333333"/>
        <n v="580.083333333333"/>
        <n v="573.833333333333"/>
        <n v="562.75"/>
        <n v="548.833333333333"/>
        <n v="546.333333333333"/>
        <n v="542.916666666667"/>
        <n v="539.333333333333"/>
        <n v="536.666666666667"/>
        <n v="534.583333333333"/>
        <n v="528"/>
        <n v="526.166666666667"/>
        <n v="508.583333333333"/>
        <n v="489.916666666667"/>
        <n v="489.5"/>
        <n v="488.5"/>
        <n v="482.416666666667"/>
        <n v="481.166666666667"/>
        <n v="471.333333333333"/>
        <n v="466.083333333333"/>
        <n v="465.166666666667"/>
        <n v="458.166666666667"/>
        <n v="457.666666666667"/>
        <n v="455.833333333333"/>
        <n v="444.833333333333"/>
        <n v="441.916666666667"/>
        <n v="439.166666666667"/>
        <n v="439.083333333333"/>
        <n v="429.916666666667"/>
        <n v="426.916666666667"/>
        <n v="423.25"/>
        <n v="414.083333333333"/>
        <n v="413.833333333333"/>
        <n v="413.166666666667"/>
        <n v="406.583333333333"/>
        <n v="406.083333333333"/>
        <n v="400.416666666667"/>
        <n v="399.5"/>
        <n v="399.416666666667"/>
        <n v="397.416666666667"/>
        <n v="394.333333333333"/>
        <n v="390.166666666667"/>
        <n v="386.583333333333"/>
        <n v="384.416666666667"/>
        <n v="380.583333333333"/>
        <n v="379.583333333333"/>
        <n v="378.333333333333"/>
        <n v="376.5"/>
        <n v="373.416666666667"/>
        <n v="371.083333333333"/>
        <n v="370.75"/>
        <n v="366.083333333333"/>
        <n v="362.583333333333"/>
        <n v="362.166666666667"/>
        <n v="358.583333333333"/>
        <n v="356"/>
        <n v="354.416666666667"/>
        <n v="353"/>
        <n v="345"/>
        <n v="341.166666666667"/>
        <n v="336.333333333333"/>
        <n v="336"/>
        <n v="335.25"/>
        <n v="334.833333333333"/>
        <n v="333.333333333333"/>
        <n v="329.833333333333"/>
        <n v="329.416666666667"/>
        <n v="326.25"/>
        <n v="318.75"/>
        <n v="318.25"/>
        <n v="317.666666666667"/>
        <n v="316.666666666667"/>
        <n v="315.5"/>
        <n v="314"/>
        <n v="312.75"/>
        <n v="310.5"/>
        <n v="307.833333333333"/>
        <n v="306.416666666667"/>
        <n v="304.666666666667"/>
        <n v="304.583333333333"/>
        <n v="303.833333333333"/>
        <n v="300.333333333333"/>
        <n v="298.25"/>
        <n v="297.083333333333"/>
        <n v="296.5"/>
        <n v="296"/>
        <n v="295.75"/>
        <n v="293.833333333333"/>
        <n v="293.583333333333"/>
        <n v="290.583333333333"/>
        <n v="289.583333333333"/>
        <n v="289.416666666667"/>
        <n v="289.166666666667"/>
        <n v="282.416666666667"/>
        <n v="279.666666666667"/>
        <n v="279.416666666667"/>
        <n v="278.083333333333"/>
        <n v="276.166666666667"/>
        <n v="273.75"/>
        <n v="273.666666666667"/>
        <n v="273.5"/>
        <n v="270.5"/>
        <n v="270.083333333333"/>
        <n v="266.083333333333"/>
        <n v="265.416666666667"/>
        <n v="265"/>
        <n v="262.083333333333"/>
        <n v="260.916666666667"/>
        <n v="256.416666666667"/>
        <n v="254"/>
        <n v="253.916666666667"/>
        <n v="253.666666666667"/>
        <n v="252.166666666667"/>
        <n v="250.416666666667"/>
        <n v="249.916666666667"/>
        <n v="247.75"/>
        <n v="246"/>
        <n v="245.25"/>
        <n v="244.333333333333"/>
        <n v="244.25"/>
        <n v="242.166666666667"/>
        <n v="242.083333333333"/>
        <n v="237.166666666667"/>
        <n v="236.25"/>
        <n v="236.083333333333"/>
        <n v="235.416666666667"/>
        <n v="235.25"/>
        <n v="235.083333333333"/>
        <n v="234.083333333333"/>
        <n v="233.5"/>
        <n v="232.5"/>
        <n v="232.416666666667"/>
        <n v="231.333333333333"/>
        <n v="231.25"/>
        <n v="229"/>
        <n v="228.75"/>
        <n v="227.833333333333"/>
        <n v="226.166666666667"/>
        <n v="226"/>
        <n v="223.666666666667"/>
        <n v="222.75"/>
        <n v="221.916666666667"/>
        <n v="221"/>
        <n v="220.666666666667"/>
        <n v="220.166666666667"/>
        <n v="219.583333333333"/>
        <n v="218.916666666667"/>
        <n v="218"/>
        <n v="217.916666666667"/>
        <n v="217.166666666667"/>
        <n v="217"/>
        <n v="216.083333333333"/>
        <n v="215.583333333333"/>
        <n v="208.916666666667"/>
        <n v="207"/>
        <n v="202.833333333333"/>
        <n v="202.25"/>
        <n v="201.25"/>
        <n v="199.5"/>
        <n v="195.916666666667"/>
        <n v="195.166666666667"/>
        <n v="194.916666666667"/>
        <n v="194.25"/>
        <n v="193.583333333333"/>
        <n v="189.5"/>
        <n v="189.166666666667"/>
        <n v="188.25"/>
        <n v="188.083333333333"/>
        <n v="187.5"/>
        <n v="186.916666666667"/>
        <n v="186.75"/>
        <n v="186.166666666667"/>
        <n v="182.75"/>
        <n v="180.833333333333"/>
        <n v="179.166666666667"/>
        <n v="178.25"/>
        <n v="177.916666666667"/>
        <n v="176.416666666667"/>
        <n v="176.166666666667"/>
        <n v="175.083333333333"/>
        <n v="174.666666666667"/>
        <n v="170.083333333333"/>
        <n v="166.583333333333"/>
        <n v="163.166666666667"/>
        <n v="162.75"/>
        <n v="161.833333333333"/>
        <n v="161.25"/>
        <n v="160.916666666667"/>
        <n v="160.5"/>
        <n v="159.25"/>
        <n v="155"/>
        <n v="153.833333333333"/>
        <n v="151.75"/>
        <n v="151.416666666667"/>
        <n v="151.083333333333"/>
        <n v="150.583333333333"/>
        <n v="150.25"/>
        <n v="149.583333333333"/>
        <n v="149.166666666667"/>
        <n v="148.583333333333"/>
        <n v="148.333333333333"/>
        <n v="147.666666666667"/>
        <n v="147.583333333333"/>
        <n v="147.5"/>
        <n v="147.166666666667"/>
        <n v="146.833333333333"/>
        <n v="145.75"/>
        <n v="144.25"/>
        <n v="143.583333333333"/>
        <n v="142.5"/>
        <n v="140.416666666667"/>
        <n v="140.25"/>
        <n v="135.833333333333"/>
        <n v="134.083333333333"/>
        <n v="133.5"/>
        <n v="132.75"/>
        <n v="132.583333333333"/>
        <n v="132.166666666667"/>
        <n v="131.666666666667"/>
        <n v="130.833333333333"/>
        <n v="130.416666666667"/>
        <n v="130"/>
        <n v="128.25"/>
        <n v="127.916666666667"/>
        <n v="127.75"/>
        <n v="126.75"/>
        <n v="126.666666666667"/>
        <n v="124.166666666667"/>
        <n v="121.666666666667"/>
        <n v="120.25"/>
        <n v="119.833333333333"/>
        <n v="119.666666666667"/>
        <n v="119.583333333333"/>
        <n v="119.166666666667"/>
        <n v="118.583333333333"/>
        <n v="117.583333333333"/>
        <n v="117.166666666667"/>
        <n v="116.416666666667"/>
        <n v="116.333333333333"/>
        <n v="115.333333333333"/>
        <n v="115.166666666667"/>
        <n v="114.083333333333"/>
        <n v="113.666666666667"/>
        <n v="113.5"/>
        <n v="112.75"/>
        <n v="112.416666666667"/>
        <n v="111.916666666667"/>
        <n v="110.833333333333"/>
        <n v="110.666666666667"/>
        <n v="110"/>
        <n v="109.916666666667"/>
        <n v="109.416666666667"/>
        <n v="108.833333333333"/>
        <n v="107.166666666667"/>
        <n v="106.416666666667"/>
        <n v="106.166666666667"/>
        <n v="105.666666666667"/>
        <n v="104.833333333333"/>
        <n v="104.666666666667"/>
        <n v="104.166666666667"/>
        <n v="103.583333333333"/>
        <n v="103.083333333333"/>
        <n v="102.25"/>
        <n v="102"/>
        <n v="101.75"/>
        <n v="100.666666666667"/>
        <n v="100.333333333333"/>
        <n v="99.5"/>
        <n v="98.0833333333333"/>
        <n v="97.3333333333333"/>
        <n v="97.1666666666667"/>
        <n v="96"/>
        <n v="95.5833333333333"/>
        <n v="95.1666666666667"/>
        <n v="94.5"/>
        <n v="94.0833333333333"/>
        <n v="93.9166666666667"/>
        <n v="93.1666666666667"/>
        <n v="92.8333333333333"/>
        <n v="91.9166666666667"/>
        <n v="91.5833333333333"/>
        <n v="91.4166666666667"/>
        <n v="91"/>
        <n v="90.9166666666667"/>
        <n v="89.8333333333333"/>
        <n v="89.25"/>
        <n v="88.8333333333333"/>
        <n v="88.75"/>
        <n v="88.5833333333333"/>
        <n v="87.8333333333333"/>
        <n v="87.25"/>
        <n v="85"/>
        <n v="84.75"/>
        <n v="84.4166666666667"/>
        <n v="84.3333333333333"/>
        <n v="83.8333333333333"/>
        <n v="83.1666666666667"/>
        <n v="82.5833333333333"/>
        <n v="82.25"/>
        <n v="82"/>
        <n v="81.1666666666667"/>
        <n v="81"/>
        <n v="80.5"/>
        <n v="80.25"/>
        <n v="80.0833333333333"/>
        <n v="79"/>
        <n v="78.75"/>
        <n v="78.1666666666667"/>
        <n v="77.9166666666667"/>
        <n v="77.8333333333333"/>
        <n v="77.5"/>
        <n v="77.1666666666667"/>
        <n v="76.75"/>
        <n v="76.4166666666667"/>
        <n v="76.3333333333333"/>
        <n v="76"/>
        <n v="75.8333333333333"/>
        <n v="75.75"/>
        <n v="75.6666666666667"/>
        <n v="75.4166666666667"/>
        <n v="74.4166666666667"/>
        <n v="74.3333333333333"/>
        <n v="74.0833333333333"/>
        <n v="73.3333333333333"/>
        <n v="72.9166666666667"/>
        <n v="72.25"/>
        <n v="72.0833333333333"/>
        <n v="71.8333333333333"/>
        <n v="71.3333333333333"/>
        <n v="70.9166666666667"/>
        <n v="70.8333333333333"/>
        <n v="70.3333333333333"/>
        <n v="70.25"/>
        <n v="69.8333333333333"/>
        <n v="69.4166666666667"/>
        <n v="69.3333333333333"/>
        <n v="68.9166666666667"/>
        <n v="68.25"/>
        <n v="68.0833333333333"/>
        <n v="67"/>
        <n v="66.75"/>
        <n v="65.5833333333333"/>
        <n v="65.5"/>
        <n v="65.4166666666667"/>
        <n v="64.8333333333333"/>
        <n v="64.3333333333333"/>
        <n v="63.9166666666667"/>
        <n v="63.0833333333333"/>
        <n v="62.9166666666667"/>
        <n v="62.6666666666667"/>
        <n v="62.5"/>
        <n v="62.3333333333333"/>
        <n v="61.75"/>
        <n v="60.75"/>
        <n v="60"/>
        <n v="59.8333333333333"/>
        <n v="59.5"/>
        <n v="59.4166666666667"/>
        <n v="58.75"/>
        <n v="57.75"/>
        <n v="57.5"/>
        <n v="56.4166666666667"/>
        <n v="56.3333333333333"/>
        <n v="55.5833333333333"/>
        <n v="55.3333333333333"/>
        <n v="55"/>
        <n v="54.6666666666667"/>
        <n v="54.5833333333333"/>
        <n v="54.4166666666667"/>
        <n v="54.0833333333333"/>
        <n v="53.1666666666667"/>
        <n v="52.8333333333333"/>
        <n v="52.75"/>
        <n v="51.8333333333333"/>
        <n v="51.75"/>
        <n v="51.5833333333333"/>
        <n v="51.1666666666667"/>
        <n v="50.5"/>
        <n v="50.4166666666667"/>
        <n v="50.25"/>
        <n v="49.9166666666667"/>
        <n v="49.25"/>
        <n v="49.0833333333333"/>
        <n v="48.75"/>
        <n v="48.1666666666667"/>
        <n v="47.75"/>
        <n v="47.4166666666667"/>
        <n v="47.1666666666667"/>
        <n v="47"/>
        <n v="46.75"/>
        <n v="46.25"/>
        <n v="46.1666666666667"/>
        <n v="45.9166666666667"/>
        <n v="45.75"/>
        <n v="45.5833333333333"/>
        <n v="45.5"/>
        <n v="45.3333333333333"/>
        <n v="45.25"/>
        <n v="44.25"/>
        <n v="42.6666666666667"/>
        <n v="42.1666666666667"/>
        <n v="41.9166666666667"/>
        <n v="41.75"/>
        <n v="41.1666666666667"/>
        <n v="41"/>
        <n v="40.9166666666667"/>
        <n v="40.8333333333333"/>
        <n v="40.6666666666667"/>
        <n v="39.9166666666667"/>
        <n v="39.4166666666667"/>
        <n v="39.3333333333333"/>
        <n v="39.25"/>
        <n v="39.0833333333333"/>
        <n v="38.8333333333333"/>
        <n v="38.75"/>
        <n v="38.4166666666667"/>
        <n v="38.25"/>
        <n v="38.1666666666667"/>
        <n v="38.0833333333333"/>
        <n v="37.5833333333333"/>
        <n v="37.5"/>
        <n v="37.25"/>
        <n v="36.9166666666667"/>
        <n v="36.75"/>
        <n v="36.3333333333333"/>
        <n v="36.1666666666667"/>
        <n v="36"/>
        <n v="35.75"/>
        <n v="35.5833333333333"/>
        <n v="35.4166666666667"/>
        <n v="35.3333333333333"/>
        <n v="35.25"/>
        <n v="35.0833333333333"/>
        <n v="34.9166666666667"/>
        <n v="34.8333333333333"/>
        <n v="34.5"/>
        <n v="33.8333333333333"/>
        <n v="33.1666666666667"/>
        <n v="32.9166666666667"/>
        <n v="32.1666666666667"/>
        <n v="31.8333333333333"/>
        <n v="31.75"/>
        <n v="31.5"/>
        <n v="31.4166666666667"/>
        <n v="30.9166666666667"/>
        <n v="30.75"/>
        <n v="30.1666666666667"/>
        <n v="30.0833333333333"/>
        <n v="30"/>
        <n v="29.75"/>
        <n v="29.5833333333333"/>
        <n v="29"/>
        <n v="28.9166666666667"/>
        <n v="28.8333333333333"/>
        <n v="28.25"/>
        <n v="28.1666666666667"/>
        <n v="28"/>
        <n v="27.9166666666667"/>
        <n v="27.8333333333333"/>
        <n v="27.6666666666667"/>
        <n v="27.5833333333333"/>
        <n v="27.5"/>
        <n v="27.3333333333333"/>
        <n v="26.8333333333333"/>
        <n v="26.6666666666667"/>
        <n v="26.5833333333333"/>
        <n v="26.5"/>
        <n v="26.4166666666667"/>
        <n v="25.5833333333333"/>
        <n v="25.5"/>
        <n v="25.4166666666667"/>
        <n v="25.3333333333333"/>
        <n v="25.25"/>
        <n v="25.1666666666667"/>
        <n v="25"/>
        <n v="24.8333333333333"/>
        <n v="24.6666666666667"/>
        <n v="24.5833333333333"/>
        <n v="24.1666666666667"/>
        <n v="23.8333333333333"/>
        <n v="23.5"/>
        <n v="23.4166666666667"/>
        <n v="23.3333333333333"/>
        <n v="23.1666666666667"/>
        <n v="23.0833333333333"/>
        <n v="22.8333333333333"/>
        <n v="22.25"/>
        <n v="22.0833333333333"/>
        <n v="22"/>
        <n v="21.6666666666667"/>
        <n v="21.5833333333333"/>
        <n v="21.5"/>
        <n v="21.4166666666667"/>
        <n v="21.3333333333333"/>
        <n v="21.25"/>
        <n v="20.9166666666667"/>
        <n v="20.8333333333333"/>
        <n v="20.6666666666667"/>
        <n v="20.4166666666667"/>
        <n v="20.3333333333333"/>
        <n v="20"/>
        <n v="19.6666666666667"/>
        <n v="19.5833333333333"/>
        <n v="19.5"/>
        <n v="19.4166666666667"/>
        <n v="19.1666666666667"/>
        <n v="19.0833333333333"/>
        <n v="18.9166666666667"/>
        <n v="18.75"/>
        <n v="18.6666666666667"/>
        <n v="18.5833333333333"/>
        <n v="18.3333333333333"/>
        <n v="18.25"/>
        <n v="17.75"/>
        <n v="17.6666666666667"/>
        <n v="17.5"/>
        <n v="17.4166666666667"/>
        <n v="17.3333333333333"/>
        <n v="16.9166666666667"/>
        <n v="16.5"/>
        <n v="16.4166666666667"/>
        <n v="16.25"/>
        <n v="16.0833333333333"/>
        <n v="15.9166666666667"/>
        <n v="15.8333333333333"/>
        <n v="15.5833333333333"/>
        <n v="15.5"/>
        <n v="15.4166666666667"/>
        <n v="15.0833333333333"/>
        <n v="15"/>
        <n v="14.8333333333333"/>
        <n v="14.75"/>
        <n v="14.6666666666667"/>
        <n v="14.5833333333333"/>
        <n v="14.3333333333333"/>
        <n v="14.1666666666667"/>
        <n v="14.0833333333333"/>
        <n v="13.9166666666667"/>
        <n v="13.6666666666667"/>
        <n v="13.5"/>
        <n v="13.4166666666667"/>
        <n v="13.3333333333333"/>
        <n v="13"/>
        <n v="12.9166666666667"/>
        <n v="12.8333333333333"/>
        <n v="12.5833333333333"/>
        <n v="12.5"/>
        <n v="12.4166666666667"/>
        <n v="12.25"/>
        <n v="12.0833333333333"/>
        <n v="12"/>
        <n v="11.9166666666667"/>
        <n v="11.8333333333333"/>
        <n v="11.75"/>
        <n v="11.5833333333333"/>
        <n v="11.5"/>
        <n v="11.3333333333333"/>
        <n v="11.1666666666667"/>
        <n v="11"/>
        <n v="10.75"/>
        <n v="10.5833333333333"/>
        <n v="10.5"/>
        <n v="10.25"/>
        <n v="10.1666666666667"/>
        <n v="10.0833333333333"/>
        <n v="10"/>
        <n v="9.91666666666667"/>
        <n v="9.83333333333333"/>
        <n v="9.66666666666667"/>
        <n v="9.58333333333333"/>
        <n v="9.5"/>
        <n v="9.41666666666667"/>
        <n v="9.33333333333333"/>
        <n v="9.25"/>
        <n v="9.08333333333333"/>
        <n v="9"/>
        <n v="8.91666666666667"/>
        <n v="8.66666666666667"/>
        <n v="8.5"/>
        <n v="8.33333333333333"/>
        <n v="8.16666666666667"/>
        <n v="8.08333333333333"/>
        <n v="7.83333333333333"/>
        <n v="7.58333333333333"/>
        <n v="7.5"/>
        <n v="7.25"/>
        <n v="7.16666666666667"/>
        <n v="6.91666666666667"/>
        <n v="6.83333333333333"/>
        <n v="6.75"/>
        <n v="6.66666666666667"/>
        <n v="6.58333333333333"/>
        <n v="6.41666666666667"/>
        <n v="6.33333333333333"/>
        <n v="6"/>
        <n v="5.91666666666667"/>
        <n v="5.66666666666667"/>
        <n v="5.5"/>
        <n v="5.41666666666667"/>
        <n v="5.33333333333333"/>
        <n v="5.25"/>
        <n v="5.16666666666667"/>
        <n v="5.08333333333333"/>
        <n v="5"/>
        <n v="4.91666666666667"/>
        <n v="4.75"/>
        <n v="4.66666666666667"/>
        <n v="4.58333333333333"/>
        <n v="4.5"/>
        <n v="4.41666666666667"/>
        <n v="4.33333333333333"/>
        <n v="4.25"/>
        <n v="4.16666666666667"/>
        <n v="4"/>
        <n v="3.91666666666667"/>
        <n v="3.83333333333333"/>
        <n v="3.75"/>
        <n v="3.58333333333333"/>
        <n v="3.41666666666667"/>
        <n v="3.33333333333333"/>
        <n v="3.25"/>
        <n v="3.16666666666667"/>
        <n v="3.08333333333333"/>
        <n v="3"/>
        <n v="2.91666666666667"/>
        <n v="2.83333333333333"/>
        <n v="2.75"/>
        <n v="2.66666666666667"/>
        <n v="2.41666666666667"/>
        <n v="2.33333333333333"/>
        <n v="2.25"/>
        <n v="2.16666666666667"/>
        <n v="2.08333333333333"/>
        <n v="2"/>
        <n v="1.91666666666667"/>
        <n v="1.75"/>
        <n v="1.66666666666667"/>
        <n v="1.58333333333333"/>
        <n v="1.5"/>
        <n v="1.41666666666667"/>
        <n v="1.33333333333333"/>
        <n v="1.16666666666667"/>
        <n v="1"/>
        <n v="0.916666666666667"/>
        <n v="0.833333333333333"/>
        <n v="0.5"/>
        <n v="0.416666666666667"/>
        <n v="0.25"/>
        <n v="0.166666666666667"/>
        <n v="821.083333333333"/>
        <n v="0"/>
        <n v="877.416666666667"/>
        <n v="23.5833333333333"/>
        <n v="627.333333333333"/>
        <n v="315.75"/>
        <n v="111.75"/>
        <n v="2209.41666666667"/>
        <n v="24.9166666666667"/>
        <n v="136.25"/>
        <n v="88.0833333333333"/>
        <n v="6395.58333333333"/>
        <n v="84.6666666666667"/>
        <n v="372.333333333333"/>
        <n v="121.25"/>
        <n v="4792.66666666667"/>
        <n v="1729.58333333333"/>
        <n v="1287.75"/>
        <n v="1586.91666666667"/>
        <n v="794.5"/>
        <n v="13089.75"/>
        <n v="883.166666666667"/>
        <n v="231.916666666667"/>
        <n v="66.6666666666667"/>
        <n v="1230.25"/>
        <n v="552.333333333333"/>
        <n v="46.3333333333333"/>
        <n v="96.6666666666667"/>
        <n v="8.75"/>
        <n v="9.16666666666667"/>
        <n v="2573.91666666667"/>
      </sharedItems>
    </cacheField>
    <cacheField name="Possível Sazonalidade" numFmtId="0">
      <sharedItems count="2">
        <s v="N"/>
        <s v="S"/>
      </sharedItems>
    </cacheField>
    <cacheField name="V.Chamados / V.Total (%)" numFmtId="10">
      <sharedItems containsNumber="1" containsMixedTypes="1" count="554">
        <n v="0"/>
        <n v="0.205007973914715"/>
        <n v="0.00108388571931097"/>
        <n v="0.462028071193564"/>
        <n v="0.000116019198124153"/>
        <n v="0.00178103444317254"/>
        <n v="0.629863517851354"/>
        <n v="0.00200522114184102"/>
        <n v="0.000826695135638225"/>
        <n v="0.543193029735532"/>
        <n v="0.0201029921779993"/>
        <n v="0.268865612878039"/>
        <n v="0.471809509641668"/>
        <n v="0.0192201343039332"/>
        <n v="0.040879819735322"/>
        <n v="0.00631937493464004"/>
        <n v="0.00411976047904192"/>
        <n v="0.0145711158665077"/>
        <n v="0.574911461273931"/>
        <n v="0.495589899699489"/>
        <n v="0.0861970835868349"/>
        <n v="0.810472825439676"/>
        <n v="0.00364144472202227"/>
        <n v="0.0965727439362292"/>
        <n v="0.50004447409384"/>
        <n v="0.629319744015169"/>
        <n v="0.519739771434225"/>
        <n v="0.0123409862652679"/>
        <n v="0.019444081952238"/>
        <n v="0.299621630143465"/>
        <n v="0.0849720032906085"/>
        <n v="0.0120766754963115"/>
        <n v="0.751068161615003"/>
        <n v="0.668028980122608"/>
        <n v="0.0546566876805068"/>
        <n v="0.00775642882430562"/>
        <n v="0.00361940785183253"/>
        <n v="0.523686448995616"/>
        <n v="0.0118828176431863"/>
        <n v="0.0146700966418689"/>
        <n v="0.0105406443056089"/>
        <n v="0.325144559313124"/>
        <n v="0.00218340611353712"/>
        <n v="0.0147207505965139"/>
        <n v="0.579178349384372"/>
        <n v="0.0261979493617912"/>
        <n v="0.350324138807678"/>
        <n v="0.0174381602953032"/>
        <n v="0.395653481080617"/>
        <n v="0.00151258193152129"/>
        <n v="0.00128357499405752"/>
        <n v="0.0725163161711385"/>
        <n v="0.00563298208128976"/>
        <n v="0.0138316806509026"/>
        <n v="0.00729073909171861"/>
        <n v="0.328899136809743"/>
        <n v="0.068916264952687"/>
        <n v="0.114079120353771"/>
        <n v="0.961744966442953"/>
        <n v="0.321970394938886"/>
        <n v="0.139919479715082"/>
        <n v="0.451058116488716"/>
        <n v="0.0947016030386918"/>
        <n v="0.163374644978053"/>
        <n v="0.00107773137545467"/>
        <n v="0.0365460157126824"/>
        <n v="0.0579916139577855"/>
        <n v="0.0111780503738114"/>
        <n v="0.0677514792899408"/>
        <n v="0.0802631578947368"/>
        <n v="0.396119261713204"/>
        <n v="0.273220555378232"/>
        <n v="0.378707285622179"/>
        <n v="0.409391534391534"/>
        <n v="0.538845035313668"/>
        <n v="0.119545415112345"/>
        <n v="0.568934088074451"/>
        <n v="0.00398522550544324"/>
        <n v="0.00515263464903753"/>
        <n v="0.494749239375797"/>
        <n v="0.117106314948042"/>
        <n v="0.201160928742994"/>
        <n v="0.00578034682080925"/>
        <n v="0.0310754544531329"/>
        <n v="0.0220394068657323"/>
        <n v="0.442059212534337"/>
        <n v="0.0330983757278578"/>
        <n v="0.519851500464061"/>
        <n v="0.0635101533360962"/>
        <n v="0.0200168563000421"/>
        <n v="0.00740035944603024"/>
        <n v="0.167708443691069"/>
        <n v="0.0603265479219678"/>
        <n v="0.0142598701713313"/>
        <n v="0.0108626198083067"/>
        <n v="0.473424657534247"/>
        <n v="0.0170731707317073"/>
        <n v="0.595942423212059"/>
        <n v="0.164335266689412"/>
        <n v="0.387880862718247"/>
        <n v="0.000120307988450433"/>
        <n v="0.0794653705953828"/>
        <n v="0.0548683404776485"/>
        <n v="0.0160039394312446"/>
        <n v="0.394583178034538"/>
        <n v="0.342313585291113"/>
        <n v="0.0570366572673673"/>
        <n v="0.00167655403662626"/>
        <n v="0.180444087747459"/>
        <n v="0.259503909409544"/>
        <n v="0.278272789581905"/>
        <n v="0.000138561729250381"/>
        <n v="0.167113999152423"/>
        <n v="0.139226045980294"/>
        <n v="0.0044279388658763"/>
        <n v="0.306823058217709"/>
        <n v="0.00790116362591582"/>
        <n v="0.0672378739471391"/>
        <n v="0.0661928031985784"/>
        <n v="0.00167020953537807"/>
        <n v="0.311012812690665"/>
        <n v="0.920117428924598"/>
        <n v="0.308045612923662"/>
        <n v="0.32344748484352"/>
        <n v="0.306605379639088"/>
        <n v="0.0136472193790515"/>
        <n v="0.0240734326290267"/>
        <n v="0.00304550340379792"/>
        <n v="0.0805747544561659"/>
        <n v="1"/>
        <n v="0.0177969276882728"/>
        <n v="0.0146110056925996"/>
        <n v="0.00322641867527045"/>
        <n v="0.00825115717448179"/>
        <n v="0.341064945542558"/>
        <n v="0.236318917811027"/>
        <n v="0.163995837669095"/>
        <n v="0.384357307611659"/>
        <n v="0.0066211020931226"/>
        <n v="0.0150894589351153"/>
        <n v="0.00802081075222198"/>
        <n v="0.0304357346179111"/>
        <n v="0.0127332601536773"/>
        <n v="0.0878707392651616"/>
        <n v="0.00156215130551216"/>
        <n v="0.0233760395594516"/>
        <n v="0.0628272251308901"/>
        <n v="0.00896345667662606"/>
        <n v="0.0927289461573861"/>
        <n v="0.12687265917603"/>
        <n v="0.00684608120868744"/>
        <n v="0.0495847581827064"/>
        <n v="0.0530227948463826"/>
        <n v="0.00620039682539683"/>
        <n v="0.0424456796361799"/>
        <n v="0.512775107513281"/>
        <n v="0.0718954248366013"/>
        <n v="0.301649646504321"/>
        <n v="0.487932843651626"/>
        <n v="0.000526315789473684"/>
        <n v="0.00422609614368727"/>
        <n v="0.0355626326963907"/>
        <n v="0.243424584004294"/>
        <n v="0.302964373130269"/>
        <n v="0.056881243063263"/>
        <n v="0.0148960089938168"/>
        <n v="0.00112707805015497"/>
        <n v="0.00340618790803293"/>
        <n v="0.0639216815433343"/>
        <n v="0.00147536146355857"/>
        <n v="0.0132770066385033"/>
        <n v="0.571385083713851"/>
        <n v="0.181485992691839"/>
        <n v="0.149336624498612"/>
        <n v="0.139367366113373"/>
        <n v="0.0675039246467818"/>
        <n v="0.00314465408805031"/>
        <n v="0.000958160332162249"/>
        <n v="0.0026246719160105"/>
        <n v="0.00492287495897604"/>
        <n v="0.0139767054908486"/>
        <n v="0.254065040650407"/>
        <n v="0.00716234652114598"/>
        <n v="0.0286591606960082"/>
        <n v="0.030970406056435"/>
        <n v="0.00895008605851979"/>
        <n v="0.00987654320987654"/>
        <n v="0.00141193081539005"/>
        <n v="0.418761061946903"/>
        <n v="0.0280042538107054"/>
        <n v="0.500533997864009"/>
        <n v="0.729835831548894"/>
        <n v="0.0297491039426523"/>
        <n v="0.0925792507204611"/>
        <n v="0.177583697234352"/>
        <n v="0.0058287795992714"/>
        <n v="0.135332845647403"/>
        <n v="0.0321735877291433"/>
        <n v="0.183251971460759"/>
        <n v="0.0192307692307692"/>
        <n v="0.00264350453172205"/>
        <n v="0.137017411052233"/>
        <n v="0.795825426944972"/>
        <n v="0.0554493307839388"/>
        <n v="0.00767459708365311"/>
        <n v="0.0451214809101427"/>
        <n v="0.000773096250483185"/>
        <n v="0.0171519744714799"/>
        <n v="0.00821692686935086"/>
        <n v="0.168115942028986"/>
        <n v="0.0111016225448335"/>
        <n v="0.548525010688328"/>
        <n v="0.248820248820249"/>
        <n v="0.00395778364116095"/>
        <n v="0.0316822846943329"/>
        <n v="0.0129811996418979"/>
        <n v="0.147926267281106"/>
        <n v="0.201963534361851"/>
        <n v="0.470004723665565"/>
        <n v="0.022232734153264"/>
        <n v="0.286736641221374"/>
        <n v="0.0450759431651151"/>
        <n v="0.0155077538769385"/>
        <n v="0.0148110316649643"/>
        <n v="0.164874551971326"/>
        <n v="0.0201967892283791"/>
        <n v="0.366666666666667"/>
        <n v="0.00866738894907909"/>
        <n v="0.0627407815079802"/>
        <n v="0.0110680686220255"/>
        <n v="0.0160843039378813"/>
        <n v="0.00891364902506964"/>
        <n v="0.271910112359551"/>
        <n v="0.312817617165443"/>
        <n v="0.0875706214689266"/>
        <n v="0.00962627406568517"/>
        <n v="0.0265742345465049"/>
        <n v="0.323853743470691"/>
        <n v="0.0128654970760234"/>
        <n v="0.0128834355828221"/>
        <n v="0.00870105655686762"/>
        <n v="0.478562421185372"/>
        <n v="0.122151898734177"/>
        <n v="0.0420382165605096"/>
        <n v="0.00383386581469649"/>
        <n v="0.0149837133550489"/>
        <n v="0.0097020097020097"/>
        <n v="0.0146036161335188"/>
        <n v="0.192896935933148"/>
        <n v="0.0445993031358885"/>
        <n v="0.16013986013986"/>
        <n v="0.171468728039353"/>
        <n v="0.147226173541963"/>
        <n v="0.00644237652111668"/>
        <n v="0.046242774566474"/>
        <n v="0.0542691751085384"/>
        <n v="0.0014609203798393"/>
        <n v="0.236803519061584"/>
        <n v="0.125550660792952"/>
        <n v="0.39320029563932"/>
        <n v="0.00148257968865827"/>
        <n v="0.00300751879699248"/>
        <n v="0.362198795180723"/>
        <n v="0.00151515151515152"/>
        <n v="0.00228484386900229"/>
        <n v="0.0153139356814701"/>
        <n v="0.322605965463108"/>
        <n v="0.246056782334385"/>
        <n v="0.595389507154213"/>
        <n v="0.0222575516693164"/>
        <n v="0.00482703137570394"/>
        <n v="0.0250606305578011"/>
        <n v="0.123366013071895"/>
        <n v="0.0065359477124183"/>
        <n v="0.185094185094185"/>
        <n v="0.00249169435215947"/>
        <n v="0.163316582914573"/>
        <n v="0.259133389974511"/>
        <n v="0.27958833619211"/>
        <n v="0.0130208333333333"/>
        <n v="0.219789842381786"/>
        <n v="0.131393298059965"/>
        <n v="0.25155004428698"/>
        <n v="0.385093167701863"/>
        <n v="0.00269299820466786"/>
        <n v="0.00271985494106981"/>
        <n v="0.0686813186813187"/>
        <n v="0.11595547309833"/>
        <n v="0.0177404295051354"/>
        <n v="0.0131332082551595"/>
        <n v="0.0854460093896714"/>
        <n v="0.00191021967526266"/>
        <n v="0.244837758112094"/>
        <n v="0.0148075024679171"/>
        <n v="0.0120240480961924"/>
        <n v="0.00403632694248234"/>
        <n v="0.0040650406504065"/>
        <n v="0.0677618069815195"/>
        <n v="0.077639751552795"/>
        <n v="0.010351966873706"/>
        <n v="0.816931216931217"/>
        <n v="0.0560846560846561"/>
        <n v="0.44456289978678"/>
        <n v="0.00856531049250535"/>
        <n v="0.170626349892009"/>
        <n v="0.0836047774158523"/>
        <n v="0.751363140676118"/>
        <n v="0.406798245614035"/>
        <n v="0.0021978021978022"/>
        <n v="0.0033003300330033"/>
        <n v="0.0209251101321586"/>
        <n v="0.0110132158590308"/>
        <n v="0.025414364640884"/>
        <n v="0.22508398656215"/>
        <n v="0.0639013452914798"/>
        <n v="0.286363636363636"/>
        <n v="0.024"/>
        <n v="0.104959630911188"/>
        <n v="0.0346820809248555"/>
        <n v="0.00812064965197216"/>
        <n v="0.136682242990654"/>
        <n v="0.0411280846063455"/>
        <n v="0.0593119810201661"/>
        <n v="0.215990453460621"/>
        <n v="0.00480192076830732"/>
        <n v="0.00240384615384615"/>
        <n v="0.13180169286578"/>
        <n v="0.01468788249694"/>
        <n v="0.00374531835205993"/>
        <n v="0.355414012738854"/>
        <n v="0.019280205655527"/>
        <n v="0.022020725388601"/>
        <n v="0.0430247718383312"/>
        <n v="0.689564068692206"/>
        <n v="0.197478991596639"/>
        <n v="0.0112201963534362"/>
        <n v="0.0099290780141844"/>
        <n v="0.597101449275362"/>
        <n v="0.0324963072378139"/>
        <n v="0.0239880059970015"/>
        <n v="0.00753012048192771"/>
        <n v="0.142424242424242"/>
        <n v="0.0640243902439024"/>
        <n v="0.0641221374045802"/>
        <n v="0.0214395099540582"/>
        <n v="0.348228043143297"/>
        <n v="0.468652037617555"/>
        <n v="0.0742496050552923"/>
        <n v="0.4170692431562"/>
        <n v="0.260869565217391"/>
        <n v="0.098546042003231"/>
        <n v="0.361386138613861"/>
        <n v="0.0148760330578512"/>
        <n v="0.197346600331675"/>
        <n v="0.0101522842639594"/>
        <n v="0.105263157894737"/>
        <n v="0.0256410256410256"/>
        <n v="0.0802792321116928"/>
        <n v="0.104240282685512"/>
        <n v="0.193262411347518"/>
        <n v="0.0108108108108108"/>
        <n v="0.00541516245487365"/>
        <n v="0.00180505415162455"/>
        <n v="0.0200364298724954"/>
        <n v="0.0987202925045704"/>
        <n v="0.0110497237569061"/>
        <n v="0.716796875"/>
        <n v="0.0375494071146245"/>
        <n v="0.459514170040486"/>
        <n v="0.0222672064777328"/>
        <n v="0.121951219512195"/>
        <n v="0.0753564154786151"/>
        <n v="0.897959183673469"/>
        <n v="0.00835073068893528"/>
        <n v="0.0847457627118644"/>
        <n v="0.0849256900212314"/>
        <n v="0.0191897654584222"/>
        <n v="0.0236051502145923"/>
        <n v="0.135483870967742"/>
        <n v="0.0021505376344086"/>
        <n v="0.0455531453362256"/>
        <n v="0.327510917030568"/>
        <n v="0.00443458980044346"/>
        <n v="0.0422222222222222"/>
        <n v="0.018058690744921"/>
        <n v="0.0385487528344671"/>
        <n v="0.13302752293578"/>
        <n v="0.0277777777777778"/>
        <n v="0.152224824355972"/>
        <n v="0.00472813238770686"/>
        <n v="0.121718377088305"/>
        <n v="0.0603864734299517"/>
        <n v="0.0175879396984925"/>
        <n v="0.0405063291139241"/>
        <n v="0.243523316062176"/>
        <n v="0.037037037037037"/>
        <n v="0.032520325203252"/>
        <n v="0.11878453038674"/>
        <n v="0.0138888888888889"/>
        <n v="0.00280112044817927"/>
        <n v="0.0253521126760563"/>
        <n v="0.0197183098591549"/>
        <n v="0.0028735632183908"/>
        <n v="0.0202312138728324"/>
        <n v="0.056047197640118"/>
        <n v="0.00591715976331361"/>
        <n v="0.0119047619047619"/>
        <n v="0.0895522388059702"/>
        <n v="0.0239520958083832"/>
        <n v="0.00903614457831325"/>
        <n v="0.487878787878788"/>
        <n v="0.01875"/>
        <n v="0.0252365930599369"/>
        <n v="0.181518151815182"/>
        <n v="0.198675496688742"/>
        <n v="0.0166666666666667"/>
        <n v="0.0302013422818792"/>
        <n v="0.00337837837837838"/>
        <n v="0.796610169491525"/>
        <n v="0.00344827586206897"/>
        <n v="0.153024911032028"/>
        <n v="0.145907473309609"/>
        <n v="0.0177935943060498"/>
        <n v="0.0214285714285714"/>
        <n v="0.0287769784172662"/>
        <n v="0.0072992700729927"/>
        <n v="0.00364963503649635"/>
        <n v="0.273408239700375"/>
        <n v="0.0973782771535581"/>
        <n v="0.00377358490566038"/>
        <n v="0.185606060606061"/>
        <n v="0.0576923076923077"/>
        <n v="0.0115830115830116"/>
        <n v="0.01171875"/>
        <n v="0.0784313725490196"/>
        <n v="0.0438247011952191"/>
        <n v="0.258064516129032"/>
        <n v="0.069672131147541"/>
        <n v="0.208333333333333"/>
        <n v="0.0213675213675214"/>
        <n v="0.00858369098712446"/>
        <n v="0.391304347826087"/>
        <n v="0.807860262008734"/>
        <n v="0.0220264317180617"/>
        <n v="0.00444444444444444"/>
        <n v="0.0563380281690141"/>
        <n v="0.136792452830189"/>
        <n v="0.0190476190476191"/>
        <n v="0.133971291866029"/>
        <n v="0.177884615384615"/>
        <n v="0.0240384615384615"/>
        <n v="0.216748768472906"/>
        <n v="0.0461538461538462"/>
        <n v="0.0205128205128205"/>
        <n v="0.031413612565445"/>
        <n v="0.0268817204301075"/>
        <n v="0.356756756756757"/>
        <n v="0.0594594594594595"/>
        <n v="0.0220994475138122"/>
        <n v="0.185393258426966"/>
        <n v="0.457627118644068"/>
        <n v="0.00568181818181818"/>
        <n v="0.0171428571428571"/>
        <n v="0.0658682634730539"/>
        <n v="0.024390243902439"/>
        <n v="0.160493827160494"/>
        <n v="0.00617283950617284"/>
        <n v="0.0266666666666667"/>
        <n v="0.0206896551724138"/>
        <n v="0.493055555555556"/>
        <n v="0.0909090909090909"/>
        <n v="0.141843971631206"/>
        <n v="0.0359712230215827"/>
        <n v="0.108695652173913"/>
        <n v="0.0072463768115942"/>
        <n v="0.276119402985075"/>
        <n v="0.537878787878788"/>
        <n v="0.015748031496063"/>
        <n v="0.150793650793651"/>
        <n v="0.532786885245902"/>
        <n v="0.204918032786885"/>
        <n v="0.0508474576271187"/>
        <n v="0.0775862068965517"/>
        <n v="0.043859649122807"/>
        <n v="0.00884955752212389"/>
        <n v="0.0178571428571429"/>
        <n v="0.0642201834862385"/>
        <n v="0.0648148148148148"/>
        <n v="0.504672897196262"/>
        <n v="0.383177570093458"/>
        <n v="0.11"/>
        <n v="0.123711340206186"/>
        <n v="0.0444444444444444"/>
        <n v="0.0229885057471264"/>
        <n v="0.151162790697674"/>
        <n v="0.127906976744186"/>
        <n v="0.0121951219512195"/>
        <n v="0.1375"/>
        <n v="0.227848101265823"/>
        <n v="0.789473684210526"/>
        <n v="0.140845070422535"/>
        <n v="0.0140845070422535"/>
        <n v="0.0161290322580645"/>
        <n v="0.475409836065574"/>
        <n v="0.0338983050847458"/>
        <n v="0.578947368421053"/>
        <n v="0.178571428571429"/>
        <n v="0.0185185185185185"/>
        <n v="0.0566037735849057"/>
        <n v="0.0384615384615385"/>
        <n v="0.0980392156862745"/>
        <n v="0.0392156862745098"/>
        <n v="0.02"/>
        <n v="0.0208333333333333"/>
        <n v="0.0638297872340426"/>
        <n v="0.0869565217391304"/>
        <n v="0.0434782608695652"/>
        <n v="0.288888888888889"/>
        <n v="0.0222222222222222"/>
        <n v="0.0731707317073171"/>
        <n v="0.025"/>
        <n v="0.0263157894736842"/>
        <n v="0.027027027027027"/>
        <n v="0.5"/>
        <n v="0.0344827586206897"/>
        <n v="0.0357142857142857"/>
        <n v="0.296296296296296"/>
        <n v="0.111111111111111"/>
        <n v="0.166666666666667"/>
        <n v="0.0476190476190476"/>
        <e v="#DIV/0!"/>
        <n v="0.00664830468230601"/>
        <n v="0.160328113348248"/>
        <n v="0.0759493670886076"/>
        <n v="0.0075685903500473"/>
        <n v="0.126649901624819"/>
        <n v="0.00826446280991736"/>
        <n v="0.0679133858267717"/>
        <n v="0.0145478961504029"/>
        <n v="0.0776632302405498"/>
        <n v="0.0145013214633468"/>
        <n v="0.0131366077784249"/>
        <n v="0.00745680827600693"/>
        <n v="0.00335640864275226"/>
        <n v="0.020852991130402"/>
        <n v="0.224"/>
        <n v="0.0504639978324189"/>
        <n v="0.0161870503597122"/>
        <n v="0.00231481481481481"/>
        <n v="0.125862068965517"/>
        <n v="0.0740740740740741"/>
        <n v="0.031390134529148"/>
        <n v="0.0571428571428571"/>
        <n v="0.220642988959757"/>
      </sharedItems>
    </cacheField>
    <cacheField name="Análise Quantitativa" numFmtId="0">
      <sharedItems count="4">
        <s v="Provavelmente fica"/>
        <s v="Fica"/>
        <s v="Provavelmente não fica"/>
        <s v="Não fica"/>
      </sharedItems>
    </cacheField>
    <cacheField name="Observação Quantitativa" numFmtId="0">
      <sharedItems count="7">
        <s v="90/10 Acessos"/>
        <s v="90/10 Chamados e Acessos"/>
        <s v="90/10 Chamados"/>
        <s v="Média&gt;10"/>
        <s v="Média &lt;=10"/>
        <s v="Zero total"/>
        <s v="Duplicad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0"/>
    <x v="0"/>
    <x v="0"/>
    <x v="0"/>
    <x v="0"/>
    <x v="1"/>
    <x v="1"/>
    <x v="1"/>
    <x v="1"/>
    <x v="0"/>
    <x v="1"/>
    <x v="1"/>
    <x v="0"/>
    <x v="0"/>
    <x v="0"/>
    <x v="1"/>
    <x v="1"/>
    <x v="0"/>
    <x v="0"/>
    <x v="1"/>
    <x v="1"/>
    <x v="1"/>
    <x v="1"/>
    <x v="1"/>
    <x v="1"/>
    <x v="0"/>
    <x v="1"/>
    <x v="0"/>
    <x v="0"/>
    <x v="0"/>
    <x v="1"/>
    <x v="1"/>
    <x v="0"/>
    <x v="0"/>
    <x v="0"/>
  </r>
  <r>
    <x v="2"/>
    <x v="2"/>
    <x v="1"/>
    <x v="0"/>
    <x v="1"/>
    <x v="2"/>
    <x v="1"/>
    <x v="0"/>
    <x v="0"/>
    <x v="0"/>
    <x v="0"/>
    <x v="0"/>
    <x v="0"/>
    <x v="2"/>
    <x v="2"/>
    <x v="2"/>
    <x v="2"/>
    <x v="0"/>
    <x v="2"/>
    <x v="2"/>
    <x v="0"/>
    <x v="0"/>
    <x v="0"/>
    <x v="2"/>
    <x v="2"/>
    <x v="0"/>
    <x v="0"/>
    <x v="2"/>
    <x v="2"/>
    <x v="2"/>
    <x v="2"/>
    <x v="2"/>
    <x v="2"/>
    <x v="0"/>
    <x v="2"/>
    <x v="0"/>
    <x v="0"/>
    <x v="0"/>
    <x v="2"/>
    <x v="0"/>
    <x v="0"/>
    <x v="0"/>
    <x v="0"/>
  </r>
  <r>
    <x v="3"/>
    <x v="1"/>
    <x v="1"/>
    <x v="1"/>
    <x v="1"/>
    <x v="3"/>
    <x v="0"/>
    <x v="0"/>
    <x v="0"/>
    <x v="0"/>
    <x v="0"/>
    <x v="0"/>
    <x v="0"/>
    <x v="1"/>
    <x v="3"/>
    <x v="1"/>
    <x v="1"/>
    <x v="0"/>
    <x v="3"/>
    <x v="3"/>
    <x v="0"/>
    <x v="0"/>
    <x v="0"/>
    <x v="3"/>
    <x v="3"/>
    <x v="0"/>
    <x v="1"/>
    <x v="3"/>
    <x v="3"/>
    <x v="3"/>
    <x v="3"/>
    <x v="3"/>
    <x v="3"/>
    <x v="0"/>
    <x v="3"/>
    <x v="0"/>
    <x v="0"/>
    <x v="0"/>
    <x v="3"/>
    <x v="0"/>
    <x v="0"/>
    <x v="0"/>
    <x v="0"/>
  </r>
  <r>
    <x v="4"/>
    <x v="0"/>
    <x v="1"/>
    <x v="0"/>
    <x v="2"/>
    <x v="2"/>
    <x v="0"/>
    <x v="0"/>
    <x v="0"/>
    <x v="0"/>
    <x v="0"/>
    <x v="0"/>
    <x v="0"/>
    <x v="3"/>
    <x v="4"/>
    <x v="0"/>
    <x v="0"/>
    <x v="0"/>
    <x v="4"/>
    <x v="4"/>
    <x v="1"/>
    <x v="1"/>
    <x v="1"/>
    <x v="1"/>
    <x v="4"/>
    <x v="1"/>
    <x v="2"/>
    <x v="4"/>
    <x v="4"/>
    <x v="4"/>
    <x v="4"/>
    <x v="4"/>
    <x v="4"/>
    <x v="1"/>
    <x v="4"/>
    <x v="1"/>
    <x v="0"/>
    <x v="1"/>
    <x v="4"/>
    <x v="0"/>
    <x v="1"/>
    <x v="1"/>
    <x v="1"/>
  </r>
  <r>
    <x v="5"/>
    <x v="2"/>
    <x v="0"/>
    <x v="0"/>
    <x v="1"/>
    <x v="4"/>
    <x v="1"/>
    <x v="0"/>
    <x v="0"/>
    <x v="0"/>
    <x v="0"/>
    <x v="0"/>
    <x v="0"/>
    <x v="0"/>
    <x v="5"/>
    <x v="3"/>
    <x v="3"/>
    <x v="1"/>
    <x v="5"/>
    <x v="5"/>
    <x v="0"/>
    <x v="0"/>
    <x v="0"/>
    <x v="4"/>
    <x v="5"/>
    <x v="0"/>
    <x v="0"/>
    <x v="5"/>
    <x v="5"/>
    <x v="5"/>
    <x v="5"/>
    <x v="5"/>
    <x v="5"/>
    <x v="0"/>
    <x v="5"/>
    <x v="0"/>
    <x v="0"/>
    <x v="0"/>
    <x v="5"/>
    <x v="0"/>
    <x v="0"/>
    <x v="0"/>
    <x v="0"/>
  </r>
  <r>
    <x v="6"/>
    <x v="0"/>
    <x v="1"/>
    <x v="0"/>
    <x v="1"/>
    <x v="2"/>
    <x v="0"/>
    <x v="0"/>
    <x v="0"/>
    <x v="0"/>
    <x v="0"/>
    <x v="0"/>
    <x v="0"/>
    <x v="4"/>
    <x v="6"/>
    <x v="2"/>
    <x v="2"/>
    <x v="0"/>
    <x v="6"/>
    <x v="6"/>
    <x v="2"/>
    <x v="2"/>
    <x v="2"/>
    <x v="5"/>
    <x v="6"/>
    <x v="0"/>
    <x v="3"/>
    <x v="6"/>
    <x v="6"/>
    <x v="6"/>
    <x v="6"/>
    <x v="6"/>
    <x v="6"/>
    <x v="2"/>
    <x v="6"/>
    <x v="0"/>
    <x v="0"/>
    <x v="0"/>
    <x v="6"/>
    <x v="0"/>
    <x v="2"/>
    <x v="0"/>
    <x v="0"/>
  </r>
  <r>
    <x v="7"/>
    <x v="1"/>
    <x v="1"/>
    <x v="1"/>
    <x v="1"/>
    <x v="2"/>
    <x v="0"/>
    <x v="0"/>
    <x v="0"/>
    <x v="0"/>
    <x v="0"/>
    <x v="0"/>
    <x v="0"/>
    <x v="1"/>
    <x v="7"/>
    <x v="1"/>
    <x v="4"/>
    <x v="0"/>
    <x v="7"/>
    <x v="7"/>
    <x v="0"/>
    <x v="0"/>
    <x v="0"/>
    <x v="6"/>
    <x v="7"/>
    <x v="0"/>
    <x v="4"/>
    <x v="7"/>
    <x v="7"/>
    <x v="7"/>
    <x v="7"/>
    <x v="7"/>
    <x v="7"/>
    <x v="0"/>
    <x v="7"/>
    <x v="0"/>
    <x v="0"/>
    <x v="0"/>
    <x v="7"/>
    <x v="0"/>
    <x v="0"/>
    <x v="0"/>
    <x v="0"/>
  </r>
  <r>
    <x v="8"/>
    <x v="0"/>
    <x v="1"/>
    <x v="1"/>
    <x v="1"/>
    <x v="2"/>
    <x v="0"/>
    <x v="0"/>
    <x v="0"/>
    <x v="0"/>
    <x v="0"/>
    <x v="0"/>
    <x v="0"/>
    <x v="5"/>
    <x v="8"/>
    <x v="4"/>
    <x v="5"/>
    <x v="0"/>
    <x v="8"/>
    <x v="8"/>
    <x v="3"/>
    <x v="3"/>
    <x v="3"/>
    <x v="7"/>
    <x v="8"/>
    <x v="2"/>
    <x v="5"/>
    <x v="8"/>
    <x v="8"/>
    <x v="8"/>
    <x v="8"/>
    <x v="8"/>
    <x v="8"/>
    <x v="3"/>
    <x v="8"/>
    <x v="0"/>
    <x v="0"/>
    <x v="1"/>
    <x v="8"/>
    <x v="0"/>
    <x v="3"/>
    <x v="0"/>
    <x v="1"/>
  </r>
  <r>
    <x v="9"/>
    <x v="1"/>
    <x v="1"/>
    <x v="1"/>
    <x v="1"/>
    <x v="2"/>
    <x v="0"/>
    <x v="0"/>
    <x v="0"/>
    <x v="0"/>
    <x v="0"/>
    <x v="0"/>
    <x v="0"/>
    <x v="1"/>
    <x v="9"/>
    <x v="1"/>
    <x v="1"/>
    <x v="0"/>
    <x v="9"/>
    <x v="9"/>
    <x v="0"/>
    <x v="0"/>
    <x v="0"/>
    <x v="1"/>
    <x v="9"/>
    <x v="0"/>
    <x v="0"/>
    <x v="1"/>
    <x v="9"/>
    <x v="9"/>
    <x v="1"/>
    <x v="9"/>
    <x v="9"/>
    <x v="0"/>
    <x v="9"/>
    <x v="0"/>
    <x v="0"/>
    <x v="0"/>
    <x v="9"/>
    <x v="1"/>
    <x v="0"/>
    <x v="0"/>
    <x v="0"/>
  </r>
  <r>
    <x v="10"/>
    <x v="1"/>
    <x v="1"/>
    <x v="1"/>
    <x v="1"/>
    <x v="2"/>
    <x v="0"/>
    <x v="0"/>
    <x v="0"/>
    <x v="0"/>
    <x v="0"/>
    <x v="0"/>
    <x v="0"/>
    <x v="1"/>
    <x v="10"/>
    <x v="1"/>
    <x v="6"/>
    <x v="0"/>
    <x v="10"/>
    <x v="10"/>
    <x v="4"/>
    <x v="4"/>
    <x v="4"/>
    <x v="8"/>
    <x v="10"/>
    <x v="0"/>
    <x v="6"/>
    <x v="9"/>
    <x v="10"/>
    <x v="10"/>
    <x v="9"/>
    <x v="10"/>
    <x v="10"/>
    <x v="4"/>
    <x v="10"/>
    <x v="0"/>
    <x v="0"/>
    <x v="0"/>
    <x v="10"/>
    <x v="0"/>
    <x v="4"/>
    <x v="0"/>
    <x v="0"/>
  </r>
  <r>
    <x v="11"/>
    <x v="1"/>
    <x v="1"/>
    <x v="1"/>
    <x v="1"/>
    <x v="2"/>
    <x v="0"/>
    <x v="0"/>
    <x v="0"/>
    <x v="0"/>
    <x v="0"/>
    <x v="0"/>
    <x v="0"/>
    <x v="1"/>
    <x v="11"/>
    <x v="1"/>
    <x v="6"/>
    <x v="0"/>
    <x v="11"/>
    <x v="11"/>
    <x v="5"/>
    <x v="5"/>
    <x v="5"/>
    <x v="9"/>
    <x v="11"/>
    <x v="0"/>
    <x v="7"/>
    <x v="10"/>
    <x v="11"/>
    <x v="11"/>
    <x v="10"/>
    <x v="11"/>
    <x v="11"/>
    <x v="5"/>
    <x v="11"/>
    <x v="0"/>
    <x v="0"/>
    <x v="0"/>
    <x v="11"/>
    <x v="0"/>
    <x v="5"/>
    <x v="0"/>
    <x v="0"/>
  </r>
  <r>
    <x v="12"/>
    <x v="1"/>
    <x v="1"/>
    <x v="1"/>
    <x v="1"/>
    <x v="2"/>
    <x v="0"/>
    <x v="0"/>
    <x v="0"/>
    <x v="0"/>
    <x v="0"/>
    <x v="0"/>
    <x v="0"/>
    <x v="6"/>
    <x v="12"/>
    <x v="5"/>
    <x v="7"/>
    <x v="0"/>
    <x v="12"/>
    <x v="12"/>
    <x v="0"/>
    <x v="0"/>
    <x v="0"/>
    <x v="10"/>
    <x v="12"/>
    <x v="0"/>
    <x v="0"/>
    <x v="11"/>
    <x v="12"/>
    <x v="12"/>
    <x v="11"/>
    <x v="12"/>
    <x v="12"/>
    <x v="0"/>
    <x v="12"/>
    <x v="0"/>
    <x v="0"/>
    <x v="0"/>
    <x v="12"/>
    <x v="0"/>
    <x v="0"/>
    <x v="0"/>
    <x v="0"/>
  </r>
  <r>
    <x v="13"/>
    <x v="1"/>
    <x v="1"/>
    <x v="1"/>
    <x v="1"/>
    <x v="2"/>
    <x v="0"/>
    <x v="0"/>
    <x v="0"/>
    <x v="0"/>
    <x v="0"/>
    <x v="0"/>
    <x v="0"/>
    <x v="7"/>
    <x v="13"/>
    <x v="6"/>
    <x v="8"/>
    <x v="0"/>
    <x v="13"/>
    <x v="13"/>
    <x v="0"/>
    <x v="0"/>
    <x v="0"/>
    <x v="1"/>
    <x v="13"/>
    <x v="0"/>
    <x v="0"/>
    <x v="1"/>
    <x v="13"/>
    <x v="13"/>
    <x v="1"/>
    <x v="13"/>
    <x v="13"/>
    <x v="0"/>
    <x v="13"/>
    <x v="0"/>
    <x v="0"/>
    <x v="0"/>
    <x v="13"/>
    <x v="1"/>
    <x v="0"/>
    <x v="0"/>
    <x v="0"/>
  </r>
  <r>
    <x v="14"/>
    <x v="1"/>
    <x v="1"/>
    <x v="1"/>
    <x v="1"/>
    <x v="3"/>
    <x v="0"/>
    <x v="0"/>
    <x v="0"/>
    <x v="0"/>
    <x v="0"/>
    <x v="0"/>
    <x v="0"/>
    <x v="1"/>
    <x v="14"/>
    <x v="1"/>
    <x v="1"/>
    <x v="0"/>
    <x v="14"/>
    <x v="14"/>
    <x v="0"/>
    <x v="0"/>
    <x v="0"/>
    <x v="11"/>
    <x v="14"/>
    <x v="0"/>
    <x v="0"/>
    <x v="12"/>
    <x v="14"/>
    <x v="14"/>
    <x v="12"/>
    <x v="14"/>
    <x v="14"/>
    <x v="0"/>
    <x v="14"/>
    <x v="0"/>
    <x v="0"/>
    <x v="0"/>
    <x v="14"/>
    <x v="0"/>
    <x v="0"/>
    <x v="0"/>
    <x v="0"/>
  </r>
  <r>
    <x v="15"/>
    <x v="0"/>
    <x v="1"/>
    <x v="1"/>
    <x v="1"/>
    <x v="2"/>
    <x v="0"/>
    <x v="0"/>
    <x v="0"/>
    <x v="0"/>
    <x v="0"/>
    <x v="0"/>
    <x v="0"/>
    <x v="8"/>
    <x v="15"/>
    <x v="7"/>
    <x v="9"/>
    <x v="0"/>
    <x v="15"/>
    <x v="15"/>
    <x v="6"/>
    <x v="6"/>
    <x v="6"/>
    <x v="1"/>
    <x v="15"/>
    <x v="0"/>
    <x v="8"/>
    <x v="1"/>
    <x v="15"/>
    <x v="15"/>
    <x v="13"/>
    <x v="15"/>
    <x v="15"/>
    <x v="6"/>
    <x v="15"/>
    <x v="0"/>
    <x v="0"/>
    <x v="1"/>
    <x v="15"/>
    <x v="0"/>
    <x v="6"/>
    <x v="1"/>
    <x v="1"/>
  </r>
  <r>
    <x v="16"/>
    <x v="1"/>
    <x v="1"/>
    <x v="1"/>
    <x v="1"/>
    <x v="2"/>
    <x v="0"/>
    <x v="0"/>
    <x v="0"/>
    <x v="0"/>
    <x v="0"/>
    <x v="0"/>
    <x v="0"/>
    <x v="1"/>
    <x v="16"/>
    <x v="1"/>
    <x v="4"/>
    <x v="0"/>
    <x v="16"/>
    <x v="16"/>
    <x v="0"/>
    <x v="0"/>
    <x v="0"/>
    <x v="12"/>
    <x v="16"/>
    <x v="0"/>
    <x v="0"/>
    <x v="13"/>
    <x v="16"/>
    <x v="16"/>
    <x v="14"/>
    <x v="16"/>
    <x v="16"/>
    <x v="0"/>
    <x v="16"/>
    <x v="0"/>
    <x v="0"/>
    <x v="0"/>
    <x v="16"/>
    <x v="0"/>
    <x v="0"/>
    <x v="0"/>
    <x v="0"/>
  </r>
  <r>
    <x v="17"/>
    <x v="1"/>
    <x v="1"/>
    <x v="1"/>
    <x v="1"/>
    <x v="2"/>
    <x v="0"/>
    <x v="0"/>
    <x v="0"/>
    <x v="0"/>
    <x v="0"/>
    <x v="0"/>
    <x v="0"/>
    <x v="9"/>
    <x v="17"/>
    <x v="1"/>
    <x v="10"/>
    <x v="0"/>
    <x v="17"/>
    <x v="17"/>
    <x v="7"/>
    <x v="7"/>
    <x v="7"/>
    <x v="13"/>
    <x v="17"/>
    <x v="0"/>
    <x v="9"/>
    <x v="14"/>
    <x v="17"/>
    <x v="17"/>
    <x v="15"/>
    <x v="17"/>
    <x v="17"/>
    <x v="7"/>
    <x v="17"/>
    <x v="0"/>
    <x v="0"/>
    <x v="0"/>
    <x v="17"/>
    <x v="0"/>
    <x v="7"/>
    <x v="0"/>
    <x v="0"/>
  </r>
  <r>
    <x v="18"/>
    <x v="1"/>
    <x v="1"/>
    <x v="1"/>
    <x v="1"/>
    <x v="2"/>
    <x v="0"/>
    <x v="0"/>
    <x v="0"/>
    <x v="0"/>
    <x v="0"/>
    <x v="0"/>
    <x v="0"/>
    <x v="1"/>
    <x v="18"/>
    <x v="1"/>
    <x v="4"/>
    <x v="0"/>
    <x v="18"/>
    <x v="18"/>
    <x v="8"/>
    <x v="8"/>
    <x v="8"/>
    <x v="14"/>
    <x v="18"/>
    <x v="0"/>
    <x v="10"/>
    <x v="15"/>
    <x v="18"/>
    <x v="18"/>
    <x v="16"/>
    <x v="18"/>
    <x v="18"/>
    <x v="8"/>
    <x v="18"/>
    <x v="0"/>
    <x v="0"/>
    <x v="0"/>
    <x v="18"/>
    <x v="0"/>
    <x v="8"/>
    <x v="0"/>
    <x v="0"/>
  </r>
  <r>
    <x v="19"/>
    <x v="1"/>
    <x v="1"/>
    <x v="1"/>
    <x v="1"/>
    <x v="2"/>
    <x v="0"/>
    <x v="0"/>
    <x v="0"/>
    <x v="0"/>
    <x v="0"/>
    <x v="0"/>
    <x v="0"/>
    <x v="6"/>
    <x v="19"/>
    <x v="5"/>
    <x v="7"/>
    <x v="0"/>
    <x v="19"/>
    <x v="19"/>
    <x v="0"/>
    <x v="0"/>
    <x v="0"/>
    <x v="15"/>
    <x v="19"/>
    <x v="0"/>
    <x v="0"/>
    <x v="16"/>
    <x v="19"/>
    <x v="19"/>
    <x v="17"/>
    <x v="19"/>
    <x v="19"/>
    <x v="0"/>
    <x v="19"/>
    <x v="0"/>
    <x v="0"/>
    <x v="0"/>
    <x v="19"/>
    <x v="0"/>
    <x v="0"/>
    <x v="0"/>
    <x v="0"/>
  </r>
  <r>
    <x v="20"/>
    <x v="1"/>
    <x v="1"/>
    <x v="1"/>
    <x v="1"/>
    <x v="2"/>
    <x v="0"/>
    <x v="0"/>
    <x v="0"/>
    <x v="0"/>
    <x v="0"/>
    <x v="0"/>
    <x v="0"/>
    <x v="10"/>
    <x v="20"/>
    <x v="7"/>
    <x v="11"/>
    <x v="0"/>
    <x v="20"/>
    <x v="20"/>
    <x v="9"/>
    <x v="9"/>
    <x v="9"/>
    <x v="16"/>
    <x v="20"/>
    <x v="3"/>
    <x v="11"/>
    <x v="17"/>
    <x v="20"/>
    <x v="20"/>
    <x v="18"/>
    <x v="20"/>
    <x v="20"/>
    <x v="9"/>
    <x v="20"/>
    <x v="0"/>
    <x v="0"/>
    <x v="1"/>
    <x v="20"/>
    <x v="0"/>
    <x v="9"/>
    <x v="0"/>
    <x v="1"/>
  </r>
  <r>
    <x v="21"/>
    <x v="1"/>
    <x v="1"/>
    <x v="1"/>
    <x v="1"/>
    <x v="2"/>
    <x v="0"/>
    <x v="0"/>
    <x v="0"/>
    <x v="0"/>
    <x v="0"/>
    <x v="0"/>
    <x v="0"/>
    <x v="6"/>
    <x v="21"/>
    <x v="5"/>
    <x v="12"/>
    <x v="0"/>
    <x v="21"/>
    <x v="21"/>
    <x v="0"/>
    <x v="0"/>
    <x v="0"/>
    <x v="17"/>
    <x v="21"/>
    <x v="0"/>
    <x v="12"/>
    <x v="18"/>
    <x v="21"/>
    <x v="21"/>
    <x v="19"/>
    <x v="21"/>
    <x v="21"/>
    <x v="0"/>
    <x v="21"/>
    <x v="0"/>
    <x v="0"/>
    <x v="0"/>
    <x v="21"/>
    <x v="0"/>
    <x v="0"/>
    <x v="0"/>
    <x v="0"/>
  </r>
  <r>
    <x v="22"/>
    <x v="1"/>
    <x v="1"/>
    <x v="1"/>
    <x v="1"/>
    <x v="2"/>
    <x v="0"/>
    <x v="0"/>
    <x v="0"/>
    <x v="0"/>
    <x v="0"/>
    <x v="0"/>
    <x v="0"/>
    <x v="1"/>
    <x v="22"/>
    <x v="1"/>
    <x v="13"/>
    <x v="0"/>
    <x v="22"/>
    <x v="22"/>
    <x v="0"/>
    <x v="0"/>
    <x v="0"/>
    <x v="18"/>
    <x v="22"/>
    <x v="0"/>
    <x v="0"/>
    <x v="19"/>
    <x v="22"/>
    <x v="22"/>
    <x v="20"/>
    <x v="22"/>
    <x v="22"/>
    <x v="0"/>
    <x v="22"/>
    <x v="0"/>
    <x v="0"/>
    <x v="0"/>
    <x v="22"/>
    <x v="0"/>
    <x v="0"/>
    <x v="0"/>
    <x v="0"/>
  </r>
  <r>
    <x v="23"/>
    <x v="1"/>
    <x v="1"/>
    <x v="1"/>
    <x v="1"/>
    <x v="5"/>
    <x v="0"/>
    <x v="0"/>
    <x v="0"/>
    <x v="0"/>
    <x v="0"/>
    <x v="0"/>
    <x v="0"/>
    <x v="1"/>
    <x v="23"/>
    <x v="1"/>
    <x v="1"/>
    <x v="0"/>
    <x v="23"/>
    <x v="23"/>
    <x v="0"/>
    <x v="0"/>
    <x v="0"/>
    <x v="1"/>
    <x v="23"/>
    <x v="0"/>
    <x v="0"/>
    <x v="1"/>
    <x v="23"/>
    <x v="23"/>
    <x v="1"/>
    <x v="23"/>
    <x v="23"/>
    <x v="0"/>
    <x v="23"/>
    <x v="0"/>
    <x v="0"/>
    <x v="0"/>
    <x v="23"/>
    <x v="1"/>
    <x v="0"/>
    <x v="0"/>
    <x v="0"/>
  </r>
  <r>
    <x v="24"/>
    <x v="2"/>
    <x v="1"/>
    <x v="0"/>
    <x v="3"/>
    <x v="2"/>
    <x v="1"/>
    <x v="0"/>
    <x v="0"/>
    <x v="0"/>
    <x v="0"/>
    <x v="0"/>
    <x v="0"/>
    <x v="11"/>
    <x v="24"/>
    <x v="8"/>
    <x v="14"/>
    <x v="0"/>
    <x v="24"/>
    <x v="24"/>
    <x v="0"/>
    <x v="0"/>
    <x v="0"/>
    <x v="19"/>
    <x v="24"/>
    <x v="0"/>
    <x v="0"/>
    <x v="20"/>
    <x v="24"/>
    <x v="24"/>
    <x v="21"/>
    <x v="24"/>
    <x v="24"/>
    <x v="0"/>
    <x v="24"/>
    <x v="0"/>
    <x v="0"/>
    <x v="0"/>
    <x v="24"/>
    <x v="0"/>
    <x v="0"/>
    <x v="0"/>
    <x v="0"/>
  </r>
  <r>
    <x v="25"/>
    <x v="1"/>
    <x v="1"/>
    <x v="1"/>
    <x v="1"/>
    <x v="6"/>
    <x v="0"/>
    <x v="0"/>
    <x v="0"/>
    <x v="0"/>
    <x v="0"/>
    <x v="0"/>
    <x v="0"/>
    <x v="1"/>
    <x v="25"/>
    <x v="1"/>
    <x v="1"/>
    <x v="0"/>
    <x v="25"/>
    <x v="25"/>
    <x v="0"/>
    <x v="0"/>
    <x v="0"/>
    <x v="20"/>
    <x v="25"/>
    <x v="0"/>
    <x v="0"/>
    <x v="21"/>
    <x v="25"/>
    <x v="25"/>
    <x v="22"/>
    <x v="25"/>
    <x v="25"/>
    <x v="0"/>
    <x v="25"/>
    <x v="0"/>
    <x v="0"/>
    <x v="0"/>
    <x v="25"/>
    <x v="0"/>
    <x v="0"/>
    <x v="0"/>
    <x v="0"/>
  </r>
  <r>
    <x v="26"/>
    <x v="1"/>
    <x v="1"/>
    <x v="1"/>
    <x v="4"/>
    <x v="2"/>
    <x v="0"/>
    <x v="1"/>
    <x v="1"/>
    <x v="0"/>
    <x v="0"/>
    <x v="0"/>
    <x v="0"/>
    <x v="2"/>
    <x v="26"/>
    <x v="2"/>
    <x v="2"/>
    <x v="0"/>
    <x v="26"/>
    <x v="26"/>
    <x v="10"/>
    <x v="10"/>
    <x v="10"/>
    <x v="21"/>
    <x v="26"/>
    <x v="4"/>
    <x v="13"/>
    <x v="22"/>
    <x v="26"/>
    <x v="26"/>
    <x v="23"/>
    <x v="26"/>
    <x v="26"/>
    <x v="10"/>
    <x v="26"/>
    <x v="0"/>
    <x v="0"/>
    <x v="1"/>
    <x v="26"/>
    <x v="0"/>
    <x v="10"/>
    <x v="0"/>
    <x v="1"/>
  </r>
  <r>
    <x v="27"/>
    <x v="0"/>
    <x v="1"/>
    <x v="1"/>
    <x v="1"/>
    <x v="2"/>
    <x v="0"/>
    <x v="0"/>
    <x v="0"/>
    <x v="0"/>
    <x v="0"/>
    <x v="0"/>
    <x v="0"/>
    <x v="5"/>
    <x v="27"/>
    <x v="4"/>
    <x v="15"/>
    <x v="0"/>
    <x v="27"/>
    <x v="27"/>
    <x v="11"/>
    <x v="11"/>
    <x v="11"/>
    <x v="22"/>
    <x v="27"/>
    <x v="5"/>
    <x v="14"/>
    <x v="23"/>
    <x v="27"/>
    <x v="27"/>
    <x v="24"/>
    <x v="27"/>
    <x v="27"/>
    <x v="11"/>
    <x v="27"/>
    <x v="0"/>
    <x v="0"/>
    <x v="1"/>
    <x v="27"/>
    <x v="0"/>
    <x v="11"/>
    <x v="0"/>
    <x v="1"/>
  </r>
  <r>
    <x v="28"/>
    <x v="1"/>
    <x v="1"/>
    <x v="1"/>
    <x v="1"/>
    <x v="2"/>
    <x v="0"/>
    <x v="0"/>
    <x v="0"/>
    <x v="0"/>
    <x v="0"/>
    <x v="0"/>
    <x v="0"/>
    <x v="12"/>
    <x v="28"/>
    <x v="7"/>
    <x v="16"/>
    <x v="0"/>
    <x v="28"/>
    <x v="28"/>
    <x v="12"/>
    <x v="12"/>
    <x v="12"/>
    <x v="23"/>
    <x v="28"/>
    <x v="6"/>
    <x v="15"/>
    <x v="24"/>
    <x v="28"/>
    <x v="28"/>
    <x v="25"/>
    <x v="28"/>
    <x v="28"/>
    <x v="12"/>
    <x v="28"/>
    <x v="0"/>
    <x v="0"/>
    <x v="1"/>
    <x v="28"/>
    <x v="0"/>
    <x v="12"/>
    <x v="0"/>
    <x v="1"/>
  </r>
  <r>
    <x v="29"/>
    <x v="1"/>
    <x v="1"/>
    <x v="1"/>
    <x v="1"/>
    <x v="2"/>
    <x v="0"/>
    <x v="0"/>
    <x v="0"/>
    <x v="0"/>
    <x v="0"/>
    <x v="0"/>
    <x v="0"/>
    <x v="9"/>
    <x v="29"/>
    <x v="1"/>
    <x v="10"/>
    <x v="0"/>
    <x v="29"/>
    <x v="29"/>
    <x v="0"/>
    <x v="0"/>
    <x v="0"/>
    <x v="1"/>
    <x v="29"/>
    <x v="0"/>
    <x v="0"/>
    <x v="1"/>
    <x v="29"/>
    <x v="29"/>
    <x v="1"/>
    <x v="29"/>
    <x v="29"/>
    <x v="0"/>
    <x v="29"/>
    <x v="0"/>
    <x v="0"/>
    <x v="0"/>
    <x v="29"/>
    <x v="1"/>
    <x v="0"/>
    <x v="0"/>
    <x v="0"/>
  </r>
  <r>
    <x v="30"/>
    <x v="0"/>
    <x v="0"/>
    <x v="1"/>
    <x v="1"/>
    <x v="7"/>
    <x v="0"/>
    <x v="0"/>
    <x v="0"/>
    <x v="0"/>
    <x v="0"/>
    <x v="0"/>
    <x v="0"/>
    <x v="1"/>
    <x v="30"/>
    <x v="1"/>
    <x v="1"/>
    <x v="1"/>
    <x v="30"/>
    <x v="30"/>
    <x v="0"/>
    <x v="0"/>
    <x v="0"/>
    <x v="24"/>
    <x v="30"/>
    <x v="0"/>
    <x v="0"/>
    <x v="25"/>
    <x v="30"/>
    <x v="30"/>
    <x v="26"/>
    <x v="30"/>
    <x v="30"/>
    <x v="0"/>
    <x v="30"/>
    <x v="0"/>
    <x v="0"/>
    <x v="0"/>
    <x v="30"/>
    <x v="0"/>
    <x v="0"/>
    <x v="0"/>
    <x v="0"/>
  </r>
  <r>
    <x v="31"/>
    <x v="1"/>
    <x v="1"/>
    <x v="1"/>
    <x v="1"/>
    <x v="2"/>
    <x v="0"/>
    <x v="0"/>
    <x v="0"/>
    <x v="0"/>
    <x v="0"/>
    <x v="0"/>
    <x v="0"/>
    <x v="1"/>
    <x v="31"/>
    <x v="1"/>
    <x v="1"/>
    <x v="0"/>
    <x v="31"/>
    <x v="31"/>
    <x v="13"/>
    <x v="13"/>
    <x v="13"/>
    <x v="25"/>
    <x v="31"/>
    <x v="0"/>
    <x v="16"/>
    <x v="26"/>
    <x v="31"/>
    <x v="31"/>
    <x v="27"/>
    <x v="31"/>
    <x v="31"/>
    <x v="13"/>
    <x v="31"/>
    <x v="0"/>
    <x v="0"/>
    <x v="0"/>
    <x v="31"/>
    <x v="0"/>
    <x v="13"/>
    <x v="0"/>
    <x v="0"/>
  </r>
  <r>
    <x v="32"/>
    <x v="0"/>
    <x v="1"/>
    <x v="0"/>
    <x v="1"/>
    <x v="8"/>
    <x v="0"/>
    <x v="0"/>
    <x v="0"/>
    <x v="0"/>
    <x v="0"/>
    <x v="0"/>
    <x v="0"/>
    <x v="11"/>
    <x v="32"/>
    <x v="8"/>
    <x v="17"/>
    <x v="0"/>
    <x v="32"/>
    <x v="32"/>
    <x v="0"/>
    <x v="14"/>
    <x v="14"/>
    <x v="1"/>
    <x v="32"/>
    <x v="0"/>
    <x v="17"/>
    <x v="1"/>
    <x v="32"/>
    <x v="32"/>
    <x v="1"/>
    <x v="32"/>
    <x v="32"/>
    <x v="14"/>
    <x v="32"/>
    <x v="0"/>
    <x v="0"/>
    <x v="1"/>
    <x v="32"/>
    <x v="1"/>
    <x v="14"/>
    <x v="0"/>
    <x v="1"/>
  </r>
  <r>
    <x v="33"/>
    <x v="1"/>
    <x v="1"/>
    <x v="1"/>
    <x v="1"/>
    <x v="3"/>
    <x v="0"/>
    <x v="0"/>
    <x v="0"/>
    <x v="0"/>
    <x v="0"/>
    <x v="0"/>
    <x v="0"/>
    <x v="1"/>
    <x v="33"/>
    <x v="1"/>
    <x v="1"/>
    <x v="0"/>
    <x v="33"/>
    <x v="33"/>
    <x v="0"/>
    <x v="0"/>
    <x v="0"/>
    <x v="26"/>
    <x v="33"/>
    <x v="0"/>
    <x v="0"/>
    <x v="27"/>
    <x v="33"/>
    <x v="33"/>
    <x v="28"/>
    <x v="33"/>
    <x v="33"/>
    <x v="0"/>
    <x v="33"/>
    <x v="0"/>
    <x v="0"/>
    <x v="0"/>
    <x v="33"/>
    <x v="0"/>
    <x v="0"/>
    <x v="0"/>
    <x v="0"/>
  </r>
  <r>
    <x v="34"/>
    <x v="1"/>
    <x v="1"/>
    <x v="1"/>
    <x v="1"/>
    <x v="2"/>
    <x v="0"/>
    <x v="0"/>
    <x v="0"/>
    <x v="0"/>
    <x v="0"/>
    <x v="0"/>
    <x v="0"/>
    <x v="6"/>
    <x v="34"/>
    <x v="5"/>
    <x v="12"/>
    <x v="0"/>
    <x v="34"/>
    <x v="34"/>
    <x v="14"/>
    <x v="15"/>
    <x v="15"/>
    <x v="27"/>
    <x v="34"/>
    <x v="7"/>
    <x v="18"/>
    <x v="28"/>
    <x v="34"/>
    <x v="34"/>
    <x v="29"/>
    <x v="34"/>
    <x v="34"/>
    <x v="15"/>
    <x v="34"/>
    <x v="0"/>
    <x v="0"/>
    <x v="0"/>
    <x v="34"/>
    <x v="0"/>
    <x v="15"/>
    <x v="0"/>
    <x v="0"/>
  </r>
  <r>
    <x v="35"/>
    <x v="1"/>
    <x v="1"/>
    <x v="1"/>
    <x v="1"/>
    <x v="3"/>
    <x v="0"/>
    <x v="0"/>
    <x v="0"/>
    <x v="0"/>
    <x v="0"/>
    <x v="0"/>
    <x v="0"/>
    <x v="1"/>
    <x v="35"/>
    <x v="1"/>
    <x v="6"/>
    <x v="0"/>
    <x v="35"/>
    <x v="35"/>
    <x v="0"/>
    <x v="0"/>
    <x v="0"/>
    <x v="28"/>
    <x v="35"/>
    <x v="0"/>
    <x v="0"/>
    <x v="29"/>
    <x v="35"/>
    <x v="35"/>
    <x v="30"/>
    <x v="35"/>
    <x v="35"/>
    <x v="0"/>
    <x v="35"/>
    <x v="0"/>
    <x v="0"/>
    <x v="0"/>
    <x v="35"/>
    <x v="0"/>
    <x v="0"/>
    <x v="0"/>
    <x v="0"/>
  </r>
  <r>
    <x v="36"/>
    <x v="2"/>
    <x v="1"/>
    <x v="0"/>
    <x v="1"/>
    <x v="2"/>
    <x v="1"/>
    <x v="0"/>
    <x v="0"/>
    <x v="0"/>
    <x v="0"/>
    <x v="0"/>
    <x v="0"/>
    <x v="13"/>
    <x v="36"/>
    <x v="2"/>
    <x v="2"/>
    <x v="0"/>
    <x v="36"/>
    <x v="36"/>
    <x v="0"/>
    <x v="0"/>
    <x v="0"/>
    <x v="29"/>
    <x v="36"/>
    <x v="0"/>
    <x v="0"/>
    <x v="30"/>
    <x v="36"/>
    <x v="36"/>
    <x v="31"/>
    <x v="36"/>
    <x v="36"/>
    <x v="0"/>
    <x v="36"/>
    <x v="0"/>
    <x v="0"/>
    <x v="0"/>
    <x v="36"/>
    <x v="0"/>
    <x v="0"/>
    <x v="0"/>
    <x v="0"/>
  </r>
  <r>
    <x v="37"/>
    <x v="0"/>
    <x v="1"/>
    <x v="0"/>
    <x v="1"/>
    <x v="2"/>
    <x v="0"/>
    <x v="0"/>
    <x v="0"/>
    <x v="0"/>
    <x v="0"/>
    <x v="0"/>
    <x v="0"/>
    <x v="2"/>
    <x v="37"/>
    <x v="2"/>
    <x v="2"/>
    <x v="0"/>
    <x v="37"/>
    <x v="37"/>
    <x v="15"/>
    <x v="16"/>
    <x v="16"/>
    <x v="30"/>
    <x v="37"/>
    <x v="0"/>
    <x v="19"/>
    <x v="31"/>
    <x v="37"/>
    <x v="37"/>
    <x v="32"/>
    <x v="37"/>
    <x v="37"/>
    <x v="16"/>
    <x v="37"/>
    <x v="0"/>
    <x v="0"/>
    <x v="0"/>
    <x v="37"/>
    <x v="0"/>
    <x v="16"/>
    <x v="0"/>
    <x v="0"/>
  </r>
  <r>
    <x v="38"/>
    <x v="1"/>
    <x v="1"/>
    <x v="1"/>
    <x v="1"/>
    <x v="2"/>
    <x v="0"/>
    <x v="0"/>
    <x v="0"/>
    <x v="0"/>
    <x v="0"/>
    <x v="0"/>
    <x v="0"/>
    <x v="14"/>
    <x v="38"/>
    <x v="6"/>
    <x v="8"/>
    <x v="0"/>
    <x v="38"/>
    <x v="38"/>
    <x v="16"/>
    <x v="17"/>
    <x v="17"/>
    <x v="31"/>
    <x v="38"/>
    <x v="8"/>
    <x v="20"/>
    <x v="32"/>
    <x v="38"/>
    <x v="38"/>
    <x v="33"/>
    <x v="38"/>
    <x v="38"/>
    <x v="17"/>
    <x v="38"/>
    <x v="0"/>
    <x v="0"/>
    <x v="0"/>
    <x v="38"/>
    <x v="0"/>
    <x v="17"/>
    <x v="0"/>
    <x v="0"/>
  </r>
  <r>
    <x v="39"/>
    <x v="1"/>
    <x v="1"/>
    <x v="1"/>
    <x v="1"/>
    <x v="2"/>
    <x v="0"/>
    <x v="0"/>
    <x v="0"/>
    <x v="0"/>
    <x v="0"/>
    <x v="0"/>
    <x v="0"/>
    <x v="14"/>
    <x v="39"/>
    <x v="6"/>
    <x v="8"/>
    <x v="0"/>
    <x v="39"/>
    <x v="39"/>
    <x v="0"/>
    <x v="0"/>
    <x v="0"/>
    <x v="32"/>
    <x v="39"/>
    <x v="0"/>
    <x v="0"/>
    <x v="33"/>
    <x v="39"/>
    <x v="39"/>
    <x v="34"/>
    <x v="39"/>
    <x v="39"/>
    <x v="0"/>
    <x v="39"/>
    <x v="0"/>
    <x v="0"/>
    <x v="0"/>
    <x v="39"/>
    <x v="0"/>
    <x v="0"/>
    <x v="0"/>
    <x v="0"/>
  </r>
  <r>
    <x v="40"/>
    <x v="0"/>
    <x v="1"/>
    <x v="1"/>
    <x v="1"/>
    <x v="2"/>
    <x v="0"/>
    <x v="0"/>
    <x v="0"/>
    <x v="0"/>
    <x v="0"/>
    <x v="0"/>
    <x v="0"/>
    <x v="12"/>
    <x v="40"/>
    <x v="7"/>
    <x v="16"/>
    <x v="0"/>
    <x v="40"/>
    <x v="40"/>
    <x v="17"/>
    <x v="18"/>
    <x v="18"/>
    <x v="33"/>
    <x v="40"/>
    <x v="9"/>
    <x v="21"/>
    <x v="34"/>
    <x v="40"/>
    <x v="40"/>
    <x v="35"/>
    <x v="40"/>
    <x v="40"/>
    <x v="18"/>
    <x v="40"/>
    <x v="0"/>
    <x v="0"/>
    <x v="1"/>
    <x v="40"/>
    <x v="0"/>
    <x v="18"/>
    <x v="0"/>
    <x v="1"/>
  </r>
  <r>
    <x v="41"/>
    <x v="1"/>
    <x v="1"/>
    <x v="1"/>
    <x v="1"/>
    <x v="9"/>
    <x v="0"/>
    <x v="0"/>
    <x v="0"/>
    <x v="0"/>
    <x v="0"/>
    <x v="0"/>
    <x v="0"/>
    <x v="1"/>
    <x v="41"/>
    <x v="1"/>
    <x v="1"/>
    <x v="0"/>
    <x v="41"/>
    <x v="41"/>
    <x v="0"/>
    <x v="0"/>
    <x v="0"/>
    <x v="34"/>
    <x v="41"/>
    <x v="0"/>
    <x v="0"/>
    <x v="35"/>
    <x v="41"/>
    <x v="41"/>
    <x v="36"/>
    <x v="41"/>
    <x v="41"/>
    <x v="0"/>
    <x v="41"/>
    <x v="0"/>
    <x v="0"/>
    <x v="0"/>
    <x v="41"/>
    <x v="0"/>
    <x v="0"/>
    <x v="0"/>
    <x v="0"/>
  </r>
  <r>
    <x v="42"/>
    <x v="1"/>
    <x v="1"/>
    <x v="1"/>
    <x v="1"/>
    <x v="2"/>
    <x v="0"/>
    <x v="0"/>
    <x v="0"/>
    <x v="0"/>
    <x v="0"/>
    <x v="0"/>
    <x v="0"/>
    <x v="6"/>
    <x v="42"/>
    <x v="5"/>
    <x v="7"/>
    <x v="0"/>
    <x v="42"/>
    <x v="42"/>
    <x v="0"/>
    <x v="0"/>
    <x v="0"/>
    <x v="35"/>
    <x v="42"/>
    <x v="0"/>
    <x v="0"/>
    <x v="36"/>
    <x v="42"/>
    <x v="42"/>
    <x v="37"/>
    <x v="42"/>
    <x v="42"/>
    <x v="0"/>
    <x v="42"/>
    <x v="0"/>
    <x v="0"/>
    <x v="0"/>
    <x v="42"/>
    <x v="0"/>
    <x v="0"/>
    <x v="0"/>
    <x v="0"/>
  </r>
  <r>
    <x v="43"/>
    <x v="0"/>
    <x v="1"/>
    <x v="1"/>
    <x v="1"/>
    <x v="2"/>
    <x v="0"/>
    <x v="0"/>
    <x v="0"/>
    <x v="0"/>
    <x v="0"/>
    <x v="0"/>
    <x v="0"/>
    <x v="8"/>
    <x v="43"/>
    <x v="7"/>
    <x v="9"/>
    <x v="0"/>
    <x v="43"/>
    <x v="43"/>
    <x v="18"/>
    <x v="19"/>
    <x v="19"/>
    <x v="36"/>
    <x v="43"/>
    <x v="10"/>
    <x v="22"/>
    <x v="37"/>
    <x v="43"/>
    <x v="43"/>
    <x v="38"/>
    <x v="43"/>
    <x v="43"/>
    <x v="19"/>
    <x v="43"/>
    <x v="0"/>
    <x v="0"/>
    <x v="1"/>
    <x v="43"/>
    <x v="0"/>
    <x v="19"/>
    <x v="0"/>
    <x v="1"/>
  </r>
  <r>
    <x v="44"/>
    <x v="1"/>
    <x v="1"/>
    <x v="1"/>
    <x v="5"/>
    <x v="2"/>
    <x v="0"/>
    <x v="0"/>
    <x v="0"/>
    <x v="0"/>
    <x v="0"/>
    <x v="0"/>
    <x v="0"/>
    <x v="15"/>
    <x v="44"/>
    <x v="0"/>
    <x v="18"/>
    <x v="0"/>
    <x v="44"/>
    <x v="44"/>
    <x v="19"/>
    <x v="20"/>
    <x v="20"/>
    <x v="37"/>
    <x v="44"/>
    <x v="11"/>
    <x v="23"/>
    <x v="38"/>
    <x v="44"/>
    <x v="44"/>
    <x v="39"/>
    <x v="44"/>
    <x v="44"/>
    <x v="20"/>
    <x v="44"/>
    <x v="0"/>
    <x v="0"/>
    <x v="1"/>
    <x v="44"/>
    <x v="0"/>
    <x v="20"/>
    <x v="0"/>
    <x v="1"/>
  </r>
  <r>
    <x v="45"/>
    <x v="1"/>
    <x v="1"/>
    <x v="1"/>
    <x v="1"/>
    <x v="2"/>
    <x v="0"/>
    <x v="0"/>
    <x v="0"/>
    <x v="0"/>
    <x v="0"/>
    <x v="0"/>
    <x v="0"/>
    <x v="8"/>
    <x v="45"/>
    <x v="7"/>
    <x v="9"/>
    <x v="0"/>
    <x v="45"/>
    <x v="45"/>
    <x v="20"/>
    <x v="21"/>
    <x v="21"/>
    <x v="1"/>
    <x v="45"/>
    <x v="0"/>
    <x v="24"/>
    <x v="1"/>
    <x v="45"/>
    <x v="45"/>
    <x v="40"/>
    <x v="45"/>
    <x v="45"/>
    <x v="21"/>
    <x v="45"/>
    <x v="0"/>
    <x v="0"/>
    <x v="1"/>
    <x v="45"/>
    <x v="0"/>
    <x v="21"/>
    <x v="0"/>
    <x v="1"/>
  </r>
  <r>
    <x v="46"/>
    <x v="1"/>
    <x v="1"/>
    <x v="1"/>
    <x v="1"/>
    <x v="2"/>
    <x v="0"/>
    <x v="0"/>
    <x v="0"/>
    <x v="0"/>
    <x v="0"/>
    <x v="0"/>
    <x v="0"/>
    <x v="9"/>
    <x v="46"/>
    <x v="1"/>
    <x v="10"/>
    <x v="1"/>
    <x v="46"/>
    <x v="46"/>
    <x v="21"/>
    <x v="22"/>
    <x v="22"/>
    <x v="1"/>
    <x v="46"/>
    <x v="0"/>
    <x v="25"/>
    <x v="1"/>
    <x v="46"/>
    <x v="46"/>
    <x v="41"/>
    <x v="46"/>
    <x v="46"/>
    <x v="22"/>
    <x v="46"/>
    <x v="0"/>
    <x v="0"/>
    <x v="0"/>
    <x v="46"/>
    <x v="1"/>
    <x v="22"/>
    <x v="0"/>
    <x v="0"/>
  </r>
  <r>
    <x v="47"/>
    <x v="0"/>
    <x v="1"/>
    <x v="0"/>
    <x v="1"/>
    <x v="2"/>
    <x v="0"/>
    <x v="0"/>
    <x v="0"/>
    <x v="0"/>
    <x v="0"/>
    <x v="0"/>
    <x v="0"/>
    <x v="3"/>
    <x v="47"/>
    <x v="0"/>
    <x v="0"/>
    <x v="0"/>
    <x v="47"/>
    <x v="47"/>
    <x v="22"/>
    <x v="23"/>
    <x v="23"/>
    <x v="38"/>
    <x v="47"/>
    <x v="12"/>
    <x v="26"/>
    <x v="39"/>
    <x v="47"/>
    <x v="47"/>
    <x v="42"/>
    <x v="47"/>
    <x v="47"/>
    <x v="23"/>
    <x v="47"/>
    <x v="1"/>
    <x v="0"/>
    <x v="1"/>
    <x v="47"/>
    <x v="0"/>
    <x v="23"/>
    <x v="0"/>
    <x v="1"/>
  </r>
  <r>
    <x v="48"/>
    <x v="0"/>
    <x v="1"/>
    <x v="1"/>
    <x v="1"/>
    <x v="2"/>
    <x v="0"/>
    <x v="0"/>
    <x v="0"/>
    <x v="0"/>
    <x v="0"/>
    <x v="0"/>
    <x v="0"/>
    <x v="6"/>
    <x v="48"/>
    <x v="5"/>
    <x v="19"/>
    <x v="0"/>
    <x v="48"/>
    <x v="48"/>
    <x v="23"/>
    <x v="24"/>
    <x v="24"/>
    <x v="39"/>
    <x v="48"/>
    <x v="13"/>
    <x v="27"/>
    <x v="40"/>
    <x v="48"/>
    <x v="48"/>
    <x v="43"/>
    <x v="48"/>
    <x v="48"/>
    <x v="24"/>
    <x v="48"/>
    <x v="0"/>
    <x v="0"/>
    <x v="1"/>
    <x v="48"/>
    <x v="0"/>
    <x v="24"/>
    <x v="0"/>
    <x v="1"/>
  </r>
  <r>
    <x v="49"/>
    <x v="0"/>
    <x v="1"/>
    <x v="1"/>
    <x v="1"/>
    <x v="2"/>
    <x v="0"/>
    <x v="0"/>
    <x v="0"/>
    <x v="0"/>
    <x v="0"/>
    <x v="0"/>
    <x v="0"/>
    <x v="8"/>
    <x v="49"/>
    <x v="9"/>
    <x v="20"/>
    <x v="0"/>
    <x v="49"/>
    <x v="49"/>
    <x v="24"/>
    <x v="25"/>
    <x v="25"/>
    <x v="1"/>
    <x v="49"/>
    <x v="0"/>
    <x v="28"/>
    <x v="1"/>
    <x v="49"/>
    <x v="49"/>
    <x v="44"/>
    <x v="49"/>
    <x v="49"/>
    <x v="25"/>
    <x v="49"/>
    <x v="0"/>
    <x v="0"/>
    <x v="1"/>
    <x v="49"/>
    <x v="0"/>
    <x v="25"/>
    <x v="0"/>
    <x v="1"/>
  </r>
  <r>
    <x v="50"/>
    <x v="1"/>
    <x v="1"/>
    <x v="1"/>
    <x v="6"/>
    <x v="2"/>
    <x v="0"/>
    <x v="0"/>
    <x v="0"/>
    <x v="0"/>
    <x v="0"/>
    <x v="0"/>
    <x v="0"/>
    <x v="8"/>
    <x v="50"/>
    <x v="7"/>
    <x v="9"/>
    <x v="0"/>
    <x v="50"/>
    <x v="50"/>
    <x v="25"/>
    <x v="26"/>
    <x v="26"/>
    <x v="40"/>
    <x v="50"/>
    <x v="14"/>
    <x v="29"/>
    <x v="41"/>
    <x v="50"/>
    <x v="50"/>
    <x v="45"/>
    <x v="50"/>
    <x v="50"/>
    <x v="26"/>
    <x v="50"/>
    <x v="0"/>
    <x v="0"/>
    <x v="1"/>
    <x v="50"/>
    <x v="0"/>
    <x v="26"/>
    <x v="0"/>
    <x v="1"/>
  </r>
  <r>
    <x v="51"/>
    <x v="1"/>
    <x v="1"/>
    <x v="1"/>
    <x v="1"/>
    <x v="2"/>
    <x v="0"/>
    <x v="0"/>
    <x v="0"/>
    <x v="0"/>
    <x v="0"/>
    <x v="0"/>
    <x v="0"/>
    <x v="16"/>
    <x v="51"/>
    <x v="10"/>
    <x v="21"/>
    <x v="0"/>
    <x v="51"/>
    <x v="51"/>
    <x v="26"/>
    <x v="27"/>
    <x v="27"/>
    <x v="41"/>
    <x v="51"/>
    <x v="15"/>
    <x v="30"/>
    <x v="42"/>
    <x v="51"/>
    <x v="51"/>
    <x v="46"/>
    <x v="51"/>
    <x v="51"/>
    <x v="27"/>
    <x v="51"/>
    <x v="0"/>
    <x v="0"/>
    <x v="0"/>
    <x v="51"/>
    <x v="0"/>
    <x v="27"/>
    <x v="0"/>
    <x v="0"/>
  </r>
  <r>
    <x v="52"/>
    <x v="0"/>
    <x v="1"/>
    <x v="0"/>
    <x v="1"/>
    <x v="10"/>
    <x v="1"/>
    <x v="0"/>
    <x v="0"/>
    <x v="0"/>
    <x v="1"/>
    <x v="0"/>
    <x v="0"/>
    <x v="0"/>
    <x v="52"/>
    <x v="0"/>
    <x v="0"/>
    <x v="0"/>
    <x v="52"/>
    <x v="52"/>
    <x v="0"/>
    <x v="0"/>
    <x v="0"/>
    <x v="42"/>
    <x v="52"/>
    <x v="0"/>
    <x v="0"/>
    <x v="43"/>
    <x v="52"/>
    <x v="52"/>
    <x v="47"/>
    <x v="52"/>
    <x v="52"/>
    <x v="0"/>
    <x v="52"/>
    <x v="0"/>
    <x v="0"/>
    <x v="0"/>
    <x v="52"/>
    <x v="0"/>
    <x v="0"/>
    <x v="0"/>
    <x v="0"/>
  </r>
  <r>
    <x v="53"/>
    <x v="1"/>
    <x v="1"/>
    <x v="1"/>
    <x v="1"/>
    <x v="11"/>
    <x v="0"/>
    <x v="0"/>
    <x v="0"/>
    <x v="0"/>
    <x v="0"/>
    <x v="0"/>
    <x v="0"/>
    <x v="1"/>
    <x v="53"/>
    <x v="1"/>
    <x v="1"/>
    <x v="0"/>
    <x v="53"/>
    <x v="53"/>
    <x v="0"/>
    <x v="0"/>
    <x v="0"/>
    <x v="43"/>
    <x v="53"/>
    <x v="0"/>
    <x v="0"/>
    <x v="44"/>
    <x v="53"/>
    <x v="53"/>
    <x v="48"/>
    <x v="53"/>
    <x v="53"/>
    <x v="0"/>
    <x v="53"/>
    <x v="0"/>
    <x v="0"/>
    <x v="0"/>
    <x v="53"/>
    <x v="0"/>
    <x v="0"/>
    <x v="0"/>
    <x v="0"/>
  </r>
  <r>
    <x v="54"/>
    <x v="0"/>
    <x v="1"/>
    <x v="0"/>
    <x v="1"/>
    <x v="2"/>
    <x v="0"/>
    <x v="0"/>
    <x v="0"/>
    <x v="0"/>
    <x v="0"/>
    <x v="0"/>
    <x v="0"/>
    <x v="2"/>
    <x v="54"/>
    <x v="2"/>
    <x v="2"/>
    <x v="0"/>
    <x v="54"/>
    <x v="54"/>
    <x v="27"/>
    <x v="28"/>
    <x v="28"/>
    <x v="1"/>
    <x v="54"/>
    <x v="0"/>
    <x v="31"/>
    <x v="1"/>
    <x v="54"/>
    <x v="54"/>
    <x v="49"/>
    <x v="54"/>
    <x v="54"/>
    <x v="28"/>
    <x v="54"/>
    <x v="0"/>
    <x v="0"/>
    <x v="0"/>
    <x v="54"/>
    <x v="1"/>
    <x v="28"/>
    <x v="0"/>
    <x v="0"/>
  </r>
  <r>
    <x v="55"/>
    <x v="1"/>
    <x v="1"/>
    <x v="1"/>
    <x v="1"/>
    <x v="2"/>
    <x v="0"/>
    <x v="0"/>
    <x v="0"/>
    <x v="0"/>
    <x v="0"/>
    <x v="0"/>
    <x v="0"/>
    <x v="17"/>
    <x v="55"/>
    <x v="9"/>
    <x v="22"/>
    <x v="0"/>
    <x v="55"/>
    <x v="55"/>
    <x v="28"/>
    <x v="29"/>
    <x v="29"/>
    <x v="44"/>
    <x v="55"/>
    <x v="16"/>
    <x v="32"/>
    <x v="45"/>
    <x v="55"/>
    <x v="55"/>
    <x v="50"/>
    <x v="55"/>
    <x v="55"/>
    <x v="29"/>
    <x v="55"/>
    <x v="0"/>
    <x v="0"/>
    <x v="1"/>
    <x v="55"/>
    <x v="0"/>
    <x v="29"/>
    <x v="0"/>
    <x v="1"/>
  </r>
  <r>
    <x v="56"/>
    <x v="0"/>
    <x v="1"/>
    <x v="1"/>
    <x v="1"/>
    <x v="2"/>
    <x v="0"/>
    <x v="0"/>
    <x v="0"/>
    <x v="0"/>
    <x v="0"/>
    <x v="0"/>
    <x v="0"/>
    <x v="18"/>
    <x v="56"/>
    <x v="5"/>
    <x v="12"/>
    <x v="0"/>
    <x v="56"/>
    <x v="56"/>
    <x v="29"/>
    <x v="30"/>
    <x v="30"/>
    <x v="45"/>
    <x v="56"/>
    <x v="0"/>
    <x v="33"/>
    <x v="46"/>
    <x v="56"/>
    <x v="56"/>
    <x v="51"/>
    <x v="56"/>
    <x v="56"/>
    <x v="30"/>
    <x v="56"/>
    <x v="0"/>
    <x v="0"/>
    <x v="1"/>
    <x v="56"/>
    <x v="0"/>
    <x v="30"/>
    <x v="0"/>
    <x v="1"/>
  </r>
  <r>
    <x v="57"/>
    <x v="1"/>
    <x v="1"/>
    <x v="1"/>
    <x v="1"/>
    <x v="2"/>
    <x v="0"/>
    <x v="0"/>
    <x v="0"/>
    <x v="0"/>
    <x v="0"/>
    <x v="0"/>
    <x v="0"/>
    <x v="9"/>
    <x v="57"/>
    <x v="1"/>
    <x v="10"/>
    <x v="0"/>
    <x v="57"/>
    <x v="57"/>
    <x v="0"/>
    <x v="0"/>
    <x v="0"/>
    <x v="46"/>
    <x v="57"/>
    <x v="0"/>
    <x v="0"/>
    <x v="47"/>
    <x v="57"/>
    <x v="57"/>
    <x v="52"/>
    <x v="57"/>
    <x v="57"/>
    <x v="0"/>
    <x v="57"/>
    <x v="0"/>
    <x v="0"/>
    <x v="0"/>
    <x v="57"/>
    <x v="0"/>
    <x v="0"/>
    <x v="0"/>
    <x v="0"/>
  </r>
  <r>
    <x v="58"/>
    <x v="1"/>
    <x v="2"/>
    <x v="1"/>
    <x v="7"/>
    <x v="2"/>
    <x v="0"/>
    <x v="0"/>
    <x v="0"/>
    <x v="0"/>
    <x v="0"/>
    <x v="0"/>
    <x v="0"/>
    <x v="6"/>
    <x v="58"/>
    <x v="5"/>
    <x v="23"/>
    <x v="0"/>
    <x v="58"/>
    <x v="58"/>
    <x v="0"/>
    <x v="0"/>
    <x v="0"/>
    <x v="47"/>
    <x v="58"/>
    <x v="0"/>
    <x v="0"/>
    <x v="48"/>
    <x v="58"/>
    <x v="58"/>
    <x v="53"/>
    <x v="58"/>
    <x v="58"/>
    <x v="0"/>
    <x v="58"/>
    <x v="0"/>
    <x v="0"/>
    <x v="0"/>
    <x v="58"/>
    <x v="0"/>
    <x v="0"/>
    <x v="0"/>
    <x v="0"/>
  </r>
  <r>
    <x v="59"/>
    <x v="1"/>
    <x v="1"/>
    <x v="1"/>
    <x v="1"/>
    <x v="11"/>
    <x v="0"/>
    <x v="0"/>
    <x v="0"/>
    <x v="0"/>
    <x v="0"/>
    <x v="0"/>
    <x v="0"/>
    <x v="1"/>
    <x v="59"/>
    <x v="1"/>
    <x v="1"/>
    <x v="0"/>
    <x v="59"/>
    <x v="59"/>
    <x v="0"/>
    <x v="0"/>
    <x v="0"/>
    <x v="1"/>
    <x v="59"/>
    <x v="0"/>
    <x v="0"/>
    <x v="1"/>
    <x v="59"/>
    <x v="59"/>
    <x v="1"/>
    <x v="59"/>
    <x v="59"/>
    <x v="0"/>
    <x v="59"/>
    <x v="0"/>
    <x v="0"/>
    <x v="0"/>
    <x v="59"/>
    <x v="1"/>
    <x v="0"/>
    <x v="0"/>
    <x v="0"/>
  </r>
  <r>
    <x v="60"/>
    <x v="1"/>
    <x v="1"/>
    <x v="1"/>
    <x v="1"/>
    <x v="2"/>
    <x v="0"/>
    <x v="0"/>
    <x v="0"/>
    <x v="0"/>
    <x v="0"/>
    <x v="0"/>
    <x v="0"/>
    <x v="6"/>
    <x v="60"/>
    <x v="5"/>
    <x v="24"/>
    <x v="0"/>
    <x v="60"/>
    <x v="60"/>
    <x v="30"/>
    <x v="31"/>
    <x v="31"/>
    <x v="1"/>
    <x v="60"/>
    <x v="0"/>
    <x v="34"/>
    <x v="1"/>
    <x v="60"/>
    <x v="60"/>
    <x v="54"/>
    <x v="60"/>
    <x v="60"/>
    <x v="31"/>
    <x v="60"/>
    <x v="0"/>
    <x v="0"/>
    <x v="0"/>
    <x v="60"/>
    <x v="1"/>
    <x v="31"/>
    <x v="0"/>
    <x v="0"/>
  </r>
  <r>
    <x v="61"/>
    <x v="1"/>
    <x v="1"/>
    <x v="1"/>
    <x v="8"/>
    <x v="2"/>
    <x v="0"/>
    <x v="0"/>
    <x v="0"/>
    <x v="0"/>
    <x v="0"/>
    <x v="0"/>
    <x v="0"/>
    <x v="1"/>
    <x v="61"/>
    <x v="1"/>
    <x v="13"/>
    <x v="0"/>
    <x v="61"/>
    <x v="61"/>
    <x v="0"/>
    <x v="0"/>
    <x v="0"/>
    <x v="48"/>
    <x v="61"/>
    <x v="0"/>
    <x v="0"/>
    <x v="49"/>
    <x v="61"/>
    <x v="61"/>
    <x v="55"/>
    <x v="61"/>
    <x v="61"/>
    <x v="0"/>
    <x v="61"/>
    <x v="0"/>
    <x v="0"/>
    <x v="0"/>
    <x v="61"/>
    <x v="0"/>
    <x v="0"/>
    <x v="0"/>
    <x v="0"/>
  </r>
  <r>
    <x v="62"/>
    <x v="1"/>
    <x v="1"/>
    <x v="1"/>
    <x v="1"/>
    <x v="2"/>
    <x v="0"/>
    <x v="0"/>
    <x v="0"/>
    <x v="0"/>
    <x v="0"/>
    <x v="0"/>
    <x v="0"/>
    <x v="6"/>
    <x v="62"/>
    <x v="5"/>
    <x v="7"/>
    <x v="0"/>
    <x v="62"/>
    <x v="62"/>
    <x v="0"/>
    <x v="0"/>
    <x v="0"/>
    <x v="49"/>
    <x v="62"/>
    <x v="0"/>
    <x v="0"/>
    <x v="50"/>
    <x v="62"/>
    <x v="62"/>
    <x v="56"/>
    <x v="62"/>
    <x v="62"/>
    <x v="0"/>
    <x v="62"/>
    <x v="0"/>
    <x v="0"/>
    <x v="0"/>
    <x v="62"/>
    <x v="0"/>
    <x v="0"/>
    <x v="0"/>
    <x v="0"/>
  </r>
  <r>
    <x v="63"/>
    <x v="1"/>
    <x v="1"/>
    <x v="1"/>
    <x v="9"/>
    <x v="2"/>
    <x v="0"/>
    <x v="0"/>
    <x v="0"/>
    <x v="0"/>
    <x v="0"/>
    <x v="0"/>
    <x v="0"/>
    <x v="1"/>
    <x v="63"/>
    <x v="1"/>
    <x v="25"/>
    <x v="2"/>
    <x v="63"/>
    <x v="63"/>
    <x v="0"/>
    <x v="0"/>
    <x v="0"/>
    <x v="50"/>
    <x v="63"/>
    <x v="0"/>
    <x v="0"/>
    <x v="51"/>
    <x v="63"/>
    <x v="63"/>
    <x v="57"/>
    <x v="63"/>
    <x v="63"/>
    <x v="0"/>
    <x v="63"/>
    <x v="0"/>
    <x v="0"/>
    <x v="0"/>
    <x v="63"/>
    <x v="0"/>
    <x v="0"/>
    <x v="0"/>
    <x v="0"/>
  </r>
  <r>
    <x v="64"/>
    <x v="1"/>
    <x v="1"/>
    <x v="1"/>
    <x v="1"/>
    <x v="2"/>
    <x v="0"/>
    <x v="0"/>
    <x v="0"/>
    <x v="0"/>
    <x v="0"/>
    <x v="0"/>
    <x v="0"/>
    <x v="8"/>
    <x v="64"/>
    <x v="7"/>
    <x v="9"/>
    <x v="0"/>
    <x v="64"/>
    <x v="64"/>
    <x v="31"/>
    <x v="32"/>
    <x v="32"/>
    <x v="1"/>
    <x v="64"/>
    <x v="0"/>
    <x v="35"/>
    <x v="1"/>
    <x v="64"/>
    <x v="64"/>
    <x v="58"/>
    <x v="64"/>
    <x v="64"/>
    <x v="32"/>
    <x v="64"/>
    <x v="0"/>
    <x v="0"/>
    <x v="1"/>
    <x v="64"/>
    <x v="0"/>
    <x v="32"/>
    <x v="0"/>
    <x v="1"/>
  </r>
  <r>
    <x v="65"/>
    <x v="0"/>
    <x v="1"/>
    <x v="1"/>
    <x v="1"/>
    <x v="2"/>
    <x v="0"/>
    <x v="0"/>
    <x v="0"/>
    <x v="0"/>
    <x v="0"/>
    <x v="0"/>
    <x v="0"/>
    <x v="8"/>
    <x v="65"/>
    <x v="7"/>
    <x v="9"/>
    <x v="0"/>
    <x v="65"/>
    <x v="65"/>
    <x v="32"/>
    <x v="33"/>
    <x v="33"/>
    <x v="1"/>
    <x v="65"/>
    <x v="0"/>
    <x v="36"/>
    <x v="1"/>
    <x v="65"/>
    <x v="65"/>
    <x v="59"/>
    <x v="65"/>
    <x v="65"/>
    <x v="33"/>
    <x v="65"/>
    <x v="0"/>
    <x v="0"/>
    <x v="1"/>
    <x v="65"/>
    <x v="0"/>
    <x v="33"/>
    <x v="0"/>
    <x v="1"/>
  </r>
  <r>
    <x v="66"/>
    <x v="1"/>
    <x v="1"/>
    <x v="1"/>
    <x v="1"/>
    <x v="2"/>
    <x v="0"/>
    <x v="0"/>
    <x v="0"/>
    <x v="0"/>
    <x v="0"/>
    <x v="0"/>
    <x v="0"/>
    <x v="14"/>
    <x v="66"/>
    <x v="6"/>
    <x v="26"/>
    <x v="0"/>
    <x v="66"/>
    <x v="66"/>
    <x v="33"/>
    <x v="34"/>
    <x v="34"/>
    <x v="51"/>
    <x v="66"/>
    <x v="17"/>
    <x v="37"/>
    <x v="52"/>
    <x v="66"/>
    <x v="66"/>
    <x v="60"/>
    <x v="66"/>
    <x v="66"/>
    <x v="34"/>
    <x v="66"/>
    <x v="0"/>
    <x v="0"/>
    <x v="0"/>
    <x v="66"/>
    <x v="0"/>
    <x v="34"/>
    <x v="0"/>
    <x v="0"/>
  </r>
  <r>
    <x v="67"/>
    <x v="0"/>
    <x v="1"/>
    <x v="1"/>
    <x v="10"/>
    <x v="12"/>
    <x v="0"/>
    <x v="1"/>
    <x v="0"/>
    <x v="0"/>
    <x v="0"/>
    <x v="0"/>
    <x v="0"/>
    <x v="19"/>
    <x v="67"/>
    <x v="7"/>
    <x v="27"/>
    <x v="0"/>
    <x v="67"/>
    <x v="67"/>
    <x v="0"/>
    <x v="0"/>
    <x v="0"/>
    <x v="52"/>
    <x v="67"/>
    <x v="0"/>
    <x v="0"/>
    <x v="53"/>
    <x v="67"/>
    <x v="67"/>
    <x v="61"/>
    <x v="67"/>
    <x v="67"/>
    <x v="0"/>
    <x v="67"/>
    <x v="0"/>
    <x v="0"/>
    <x v="0"/>
    <x v="67"/>
    <x v="0"/>
    <x v="0"/>
    <x v="0"/>
    <x v="0"/>
  </r>
  <r>
    <x v="68"/>
    <x v="0"/>
    <x v="1"/>
    <x v="1"/>
    <x v="1"/>
    <x v="2"/>
    <x v="0"/>
    <x v="0"/>
    <x v="0"/>
    <x v="0"/>
    <x v="0"/>
    <x v="0"/>
    <x v="0"/>
    <x v="2"/>
    <x v="68"/>
    <x v="2"/>
    <x v="2"/>
    <x v="0"/>
    <x v="68"/>
    <x v="68"/>
    <x v="34"/>
    <x v="35"/>
    <x v="35"/>
    <x v="53"/>
    <x v="68"/>
    <x v="0"/>
    <x v="38"/>
    <x v="54"/>
    <x v="68"/>
    <x v="68"/>
    <x v="62"/>
    <x v="68"/>
    <x v="68"/>
    <x v="35"/>
    <x v="68"/>
    <x v="0"/>
    <x v="0"/>
    <x v="0"/>
    <x v="68"/>
    <x v="0"/>
    <x v="35"/>
    <x v="0"/>
    <x v="0"/>
  </r>
  <r>
    <x v="69"/>
    <x v="1"/>
    <x v="1"/>
    <x v="1"/>
    <x v="1"/>
    <x v="2"/>
    <x v="0"/>
    <x v="0"/>
    <x v="0"/>
    <x v="0"/>
    <x v="0"/>
    <x v="0"/>
    <x v="0"/>
    <x v="14"/>
    <x v="69"/>
    <x v="6"/>
    <x v="8"/>
    <x v="0"/>
    <x v="69"/>
    <x v="69"/>
    <x v="35"/>
    <x v="36"/>
    <x v="36"/>
    <x v="54"/>
    <x v="69"/>
    <x v="18"/>
    <x v="39"/>
    <x v="55"/>
    <x v="69"/>
    <x v="69"/>
    <x v="63"/>
    <x v="69"/>
    <x v="69"/>
    <x v="36"/>
    <x v="69"/>
    <x v="0"/>
    <x v="0"/>
    <x v="0"/>
    <x v="69"/>
    <x v="0"/>
    <x v="36"/>
    <x v="0"/>
    <x v="0"/>
  </r>
  <r>
    <x v="70"/>
    <x v="1"/>
    <x v="1"/>
    <x v="1"/>
    <x v="1"/>
    <x v="2"/>
    <x v="0"/>
    <x v="0"/>
    <x v="0"/>
    <x v="0"/>
    <x v="0"/>
    <x v="0"/>
    <x v="0"/>
    <x v="20"/>
    <x v="70"/>
    <x v="5"/>
    <x v="12"/>
    <x v="0"/>
    <x v="70"/>
    <x v="70"/>
    <x v="36"/>
    <x v="37"/>
    <x v="37"/>
    <x v="55"/>
    <x v="70"/>
    <x v="19"/>
    <x v="40"/>
    <x v="56"/>
    <x v="70"/>
    <x v="70"/>
    <x v="64"/>
    <x v="70"/>
    <x v="70"/>
    <x v="37"/>
    <x v="70"/>
    <x v="0"/>
    <x v="0"/>
    <x v="1"/>
    <x v="70"/>
    <x v="0"/>
    <x v="37"/>
    <x v="0"/>
    <x v="1"/>
  </r>
  <r>
    <x v="71"/>
    <x v="1"/>
    <x v="1"/>
    <x v="1"/>
    <x v="1"/>
    <x v="2"/>
    <x v="0"/>
    <x v="0"/>
    <x v="0"/>
    <x v="0"/>
    <x v="0"/>
    <x v="0"/>
    <x v="0"/>
    <x v="16"/>
    <x v="71"/>
    <x v="10"/>
    <x v="28"/>
    <x v="0"/>
    <x v="71"/>
    <x v="71"/>
    <x v="37"/>
    <x v="38"/>
    <x v="38"/>
    <x v="1"/>
    <x v="71"/>
    <x v="20"/>
    <x v="41"/>
    <x v="57"/>
    <x v="71"/>
    <x v="71"/>
    <x v="65"/>
    <x v="71"/>
    <x v="71"/>
    <x v="38"/>
    <x v="71"/>
    <x v="0"/>
    <x v="0"/>
    <x v="0"/>
    <x v="71"/>
    <x v="0"/>
    <x v="38"/>
    <x v="0"/>
    <x v="0"/>
  </r>
  <r>
    <x v="72"/>
    <x v="1"/>
    <x v="1"/>
    <x v="1"/>
    <x v="1"/>
    <x v="2"/>
    <x v="0"/>
    <x v="0"/>
    <x v="0"/>
    <x v="0"/>
    <x v="0"/>
    <x v="0"/>
    <x v="0"/>
    <x v="7"/>
    <x v="72"/>
    <x v="6"/>
    <x v="29"/>
    <x v="1"/>
    <x v="72"/>
    <x v="72"/>
    <x v="0"/>
    <x v="0"/>
    <x v="0"/>
    <x v="56"/>
    <x v="72"/>
    <x v="0"/>
    <x v="0"/>
    <x v="58"/>
    <x v="72"/>
    <x v="72"/>
    <x v="66"/>
    <x v="72"/>
    <x v="72"/>
    <x v="0"/>
    <x v="72"/>
    <x v="0"/>
    <x v="0"/>
    <x v="0"/>
    <x v="72"/>
    <x v="0"/>
    <x v="0"/>
    <x v="0"/>
    <x v="0"/>
  </r>
  <r>
    <x v="73"/>
    <x v="2"/>
    <x v="1"/>
    <x v="0"/>
    <x v="11"/>
    <x v="2"/>
    <x v="1"/>
    <x v="0"/>
    <x v="0"/>
    <x v="0"/>
    <x v="0"/>
    <x v="0"/>
    <x v="0"/>
    <x v="1"/>
    <x v="73"/>
    <x v="2"/>
    <x v="2"/>
    <x v="0"/>
    <x v="73"/>
    <x v="73"/>
    <x v="0"/>
    <x v="0"/>
    <x v="0"/>
    <x v="57"/>
    <x v="73"/>
    <x v="0"/>
    <x v="0"/>
    <x v="59"/>
    <x v="73"/>
    <x v="73"/>
    <x v="67"/>
    <x v="73"/>
    <x v="73"/>
    <x v="0"/>
    <x v="73"/>
    <x v="0"/>
    <x v="0"/>
    <x v="0"/>
    <x v="73"/>
    <x v="0"/>
    <x v="0"/>
    <x v="0"/>
    <x v="0"/>
  </r>
  <r>
    <x v="74"/>
    <x v="1"/>
    <x v="1"/>
    <x v="1"/>
    <x v="12"/>
    <x v="2"/>
    <x v="0"/>
    <x v="0"/>
    <x v="0"/>
    <x v="0"/>
    <x v="0"/>
    <x v="0"/>
    <x v="0"/>
    <x v="1"/>
    <x v="74"/>
    <x v="1"/>
    <x v="13"/>
    <x v="1"/>
    <x v="74"/>
    <x v="74"/>
    <x v="0"/>
    <x v="0"/>
    <x v="0"/>
    <x v="58"/>
    <x v="74"/>
    <x v="0"/>
    <x v="0"/>
    <x v="60"/>
    <x v="74"/>
    <x v="74"/>
    <x v="68"/>
    <x v="74"/>
    <x v="74"/>
    <x v="0"/>
    <x v="74"/>
    <x v="0"/>
    <x v="0"/>
    <x v="0"/>
    <x v="74"/>
    <x v="0"/>
    <x v="0"/>
    <x v="0"/>
    <x v="0"/>
  </r>
  <r>
    <x v="75"/>
    <x v="0"/>
    <x v="1"/>
    <x v="2"/>
    <x v="13"/>
    <x v="13"/>
    <x v="0"/>
    <x v="0"/>
    <x v="0"/>
    <x v="0"/>
    <x v="0"/>
    <x v="0"/>
    <x v="0"/>
    <x v="21"/>
    <x v="75"/>
    <x v="11"/>
    <x v="30"/>
    <x v="0"/>
    <x v="75"/>
    <x v="75"/>
    <x v="38"/>
    <x v="39"/>
    <x v="39"/>
    <x v="1"/>
    <x v="75"/>
    <x v="0"/>
    <x v="42"/>
    <x v="1"/>
    <x v="75"/>
    <x v="75"/>
    <x v="69"/>
    <x v="75"/>
    <x v="75"/>
    <x v="39"/>
    <x v="75"/>
    <x v="0"/>
    <x v="0"/>
    <x v="0"/>
    <x v="75"/>
    <x v="1"/>
    <x v="39"/>
    <x v="0"/>
    <x v="0"/>
  </r>
  <r>
    <x v="76"/>
    <x v="2"/>
    <x v="1"/>
    <x v="3"/>
    <x v="1"/>
    <x v="14"/>
    <x v="1"/>
    <x v="0"/>
    <x v="0"/>
    <x v="0"/>
    <x v="0"/>
    <x v="0"/>
    <x v="0"/>
    <x v="2"/>
    <x v="76"/>
    <x v="2"/>
    <x v="2"/>
    <x v="0"/>
    <x v="76"/>
    <x v="76"/>
    <x v="39"/>
    <x v="40"/>
    <x v="40"/>
    <x v="59"/>
    <x v="76"/>
    <x v="21"/>
    <x v="43"/>
    <x v="61"/>
    <x v="76"/>
    <x v="76"/>
    <x v="70"/>
    <x v="76"/>
    <x v="76"/>
    <x v="40"/>
    <x v="76"/>
    <x v="0"/>
    <x v="0"/>
    <x v="0"/>
    <x v="76"/>
    <x v="0"/>
    <x v="40"/>
    <x v="0"/>
    <x v="0"/>
  </r>
  <r>
    <x v="77"/>
    <x v="1"/>
    <x v="1"/>
    <x v="1"/>
    <x v="1"/>
    <x v="2"/>
    <x v="0"/>
    <x v="0"/>
    <x v="0"/>
    <x v="0"/>
    <x v="0"/>
    <x v="0"/>
    <x v="0"/>
    <x v="18"/>
    <x v="77"/>
    <x v="5"/>
    <x v="12"/>
    <x v="0"/>
    <x v="77"/>
    <x v="77"/>
    <x v="40"/>
    <x v="41"/>
    <x v="41"/>
    <x v="60"/>
    <x v="77"/>
    <x v="22"/>
    <x v="44"/>
    <x v="62"/>
    <x v="77"/>
    <x v="77"/>
    <x v="71"/>
    <x v="77"/>
    <x v="77"/>
    <x v="41"/>
    <x v="77"/>
    <x v="0"/>
    <x v="0"/>
    <x v="1"/>
    <x v="77"/>
    <x v="0"/>
    <x v="41"/>
    <x v="0"/>
    <x v="1"/>
  </r>
  <r>
    <x v="78"/>
    <x v="1"/>
    <x v="1"/>
    <x v="1"/>
    <x v="1"/>
    <x v="2"/>
    <x v="0"/>
    <x v="0"/>
    <x v="0"/>
    <x v="0"/>
    <x v="0"/>
    <x v="0"/>
    <x v="0"/>
    <x v="1"/>
    <x v="78"/>
    <x v="1"/>
    <x v="13"/>
    <x v="1"/>
    <x v="78"/>
    <x v="78"/>
    <x v="0"/>
    <x v="0"/>
    <x v="0"/>
    <x v="61"/>
    <x v="78"/>
    <x v="0"/>
    <x v="0"/>
    <x v="63"/>
    <x v="78"/>
    <x v="78"/>
    <x v="72"/>
    <x v="78"/>
    <x v="78"/>
    <x v="0"/>
    <x v="78"/>
    <x v="0"/>
    <x v="0"/>
    <x v="0"/>
    <x v="78"/>
    <x v="0"/>
    <x v="0"/>
    <x v="0"/>
    <x v="0"/>
  </r>
  <r>
    <x v="79"/>
    <x v="1"/>
    <x v="1"/>
    <x v="1"/>
    <x v="1"/>
    <x v="2"/>
    <x v="0"/>
    <x v="0"/>
    <x v="0"/>
    <x v="0"/>
    <x v="0"/>
    <x v="0"/>
    <x v="0"/>
    <x v="1"/>
    <x v="79"/>
    <x v="1"/>
    <x v="4"/>
    <x v="0"/>
    <x v="79"/>
    <x v="79"/>
    <x v="0"/>
    <x v="0"/>
    <x v="0"/>
    <x v="62"/>
    <x v="79"/>
    <x v="0"/>
    <x v="0"/>
    <x v="64"/>
    <x v="79"/>
    <x v="79"/>
    <x v="73"/>
    <x v="79"/>
    <x v="79"/>
    <x v="0"/>
    <x v="79"/>
    <x v="0"/>
    <x v="0"/>
    <x v="0"/>
    <x v="79"/>
    <x v="0"/>
    <x v="0"/>
    <x v="0"/>
    <x v="0"/>
  </r>
  <r>
    <x v="80"/>
    <x v="1"/>
    <x v="1"/>
    <x v="1"/>
    <x v="1"/>
    <x v="2"/>
    <x v="0"/>
    <x v="0"/>
    <x v="0"/>
    <x v="0"/>
    <x v="0"/>
    <x v="0"/>
    <x v="0"/>
    <x v="14"/>
    <x v="80"/>
    <x v="6"/>
    <x v="29"/>
    <x v="0"/>
    <x v="80"/>
    <x v="80"/>
    <x v="0"/>
    <x v="0"/>
    <x v="0"/>
    <x v="63"/>
    <x v="80"/>
    <x v="0"/>
    <x v="0"/>
    <x v="65"/>
    <x v="80"/>
    <x v="80"/>
    <x v="74"/>
    <x v="80"/>
    <x v="80"/>
    <x v="0"/>
    <x v="80"/>
    <x v="0"/>
    <x v="0"/>
    <x v="0"/>
    <x v="80"/>
    <x v="0"/>
    <x v="0"/>
    <x v="0"/>
    <x v="0"/>
  </r>
  <r>
    <x v="81"/>
    <x v="1"/>
    <x v="1"/>
    <x v="1"/>
    <x v="14"/>
    <x v="2"/>
    <x v="0"/>
    <x v="0"/>
    <x v="0"/>
    <x v="0"/>
    <x v="0"/>
    <x v="0"/>
    <x v="0"/>
    <x v="6"/>
    <x v="81"/>
    <x v="5"/>
    <x v="31"/>
    <x v="0"/>
    <x v="81"/>
    <x v="81"/>
    <x v="41"/>
    <x v="42"/>
    <x v="42"/>
    <x v="64"/>
    <x v="81"/>
    <x v="0"/>
    <x v="45"/>
    <x v="66"/>
    <x v="81"/>
    <x v="81"/>
    <x v="75"/>
    <x v="81"/>
    <x v="81"/>
    <x v="42"/>
    <x v="81"/>
    <x v="0"/>
    <x v="0"/>
    <x v="0"/>
    <x v="81"/>
    <x v="0"/>
    <x v="42"/>
    <x v="0"/>
    <x v="0"/>
  </r>
  <r>
    <x v="82"/>
    <x v="1"/>
    <x v="1"/>
    <x v="1"/>
    <x v="1"/>
    <x v="15"/>
    <x v="0"/>
    <x v="0"/>
    <x v="0"/>
    <x v="0"/>
    <x v="0"/>
    <x v="0"/>
    <x v="0"/>
    <x v="6"/>
    <x v="82"/>
    <x v="5"/>
    <x v="12"/>
    <x v="0"/>
    <x v="82"/>
    <x v="82"/>
    <x v="0"/>
    <x v="0"/>
    <x v="0"/>
    <x v="65"/>
    <x v="82"/>
    <x v="0"/>
    <x v="0"/>
    <x v="67"/>
    <x v="82"/>
    <x v="82"/>
    <x v="76"/>
    <x v="82"/>
    <x v="82"/>
    <x v="0"/>
    <x v="82"/>
    <x v="0"/>
    <x v="0"/>
    <x v="0"/>
    <x v="82"/>
    <x v="0"/>
    <x v="0"/>
    <x v="0"/>
    <x v="0"/>
  </r>
  <r>
    <x v="83"/>
    <x v="1"/>
    <x v="1"/>
    <x v="1"/>
    <x v="1"/>
    <x v="2"/>
    <x v="0"/>
    <x v="0"/>
    <x v="0"/>
    <x v="0"/>
    <x v="0"/>
    <x v="0"/>
    <x v="0"/>
    <x v="1"/>
    <x v="83"/>
    <x v="1"/>
    <x v="1"/>
    <x v="0"/>
    <x v="83"/>
    <x v="83"/>
    <x v="0"/>
    <x v="0"/>
    <x v="0"/>
    <x v="1"/>
    <x v="83"/>
    <x v="0"/>
    <x v="0"/>
    <x v="1"/>
    <x v="83"/>
    <x v="83"/>
    <x v="1"/>
    <x v="83"/>
    <x v="83"/>
    <x v="0"/>
    <x v="83"/>
    <x v="0"/>
    <x v="0"/>
    <x v="0"/>
    <x v="83"/>
    <x v="1"/>
    <x v="0"/>
    <x v="0"/>
    <x v="0"/>
  </r>
  <r>
    <x v="84"/>
    <x v="0"/>
    <x v="1"/>
    <x v="1"/>
    <x v="15"/>
    <x v="12"/>
    <x v="0"/>
    <x v="1"/>
    <x v="0"/>
    <x v="0"/>
    <x v="0"/>
    <x v="0"/>
    <x v="0"/>
    <x v="2"/>
    <x v="84"/>
    <x v="2"/>
    <x v="2"/>
    <x v="0"/>
    <x v="84"/>
    <x v="84"/>
    <x v="42"/>
    <x v="43"/>
    <x v="43"/>
    <x v="1"/>
    <x v="84"/>
    <x v="0"/>
    <x v="46"/>
    <x v="1"/>
    <x v="84"/>
    <x v="84"/>
    <x v="77"/>
    <x v="84"/>
    <x v="84"/>
    <x v="43"/>
    <x v="84"/>
    <x v="0"/>
    <x v="0"/>
    <x v="0"/>
    <x v="84"/>
    <x v="1"/>
    <x v="43"/>
    <x v="0"/>
    <x v="0"/>
  </r>
  <r>
    <x v="85"/>
    <x v="1"/>
    <x v="1"/>
    <x v="1"/>
    <x v="1"/>
    <x v="2"/>
    <x v="0"/>
    <x v="0"/>
    <x v="0"/>
    <x v="0"/>
    <x v="0"/>
    <x v="0"/>
    <x v="0"/>
    <x v="6"/>
    <x v="85"/>
    <x v="5"/>
    <x v="19"/>
    <x v="0"/>
    <x v="85"/>
    <x v="85"/>
    <x v="43"/>
    <x v="44"/>
    <x v="44"/>
    <x v="66"/>
    <x v="85"/>
    <x v="23"/>
    <x v="47"/>
    <x v="68"/>
    <x v="85"/>
    <x v="85"/>
    <x v="78"/>
    <x v="85"/>
    <x v="85"/>
    <x v="44"/>
    <x v="85"/>
    <x v="0"/>
    <x v="0"/>
    <x v="1"/>
    <x v="85"/>
    <x v="0"/>
    <x v="44"/>
    <x v="0"/>
    <x v="1"/>
  </r>
  <r>
    <x v="86"/>
    <x v="1"/>
    <x v="1"/>
    <x v="1"/>
    <x v="1"/>
    <x v="2"/>
    <x v="0"/>
    <x v="0"/>
    <x v="0"/>
    <x v="0"/>
    <x v="0"/>
    <x v="0"/>
    <x v="0"/>
    <x v="0"/>
    <x v="86"/>
    <x v="5"/>
    <x v="24"/>
    <x v="0"/>
    <x v="86"/>
    <x v="86"/>
    <x v="44"/>
    <x v="45"/>
    <x v="45"/>
    <x v="67"/>
    <x v="86"/>
    <x v="24"/>
    <x v="48"/>
    <x v="69"/>
    <x v="86"/>
    <x v="86"/>
    <x v="79"/>
    <x v="86"/>
    <x v="86"/>
    <x v="45"/>
    <x v="86"/>
    <x v="1"/>
    <x v="0"/>
    <x v="0"/>
    <x v="86"/>
    <x v="0"/>
    <x v="45"/>
    <x v="0"/>
    <x v="0"/>
  </r>
  <r>
    <x v="87"/>
    <x v="0"/>
    <x v="1"/>
    <x v="1"/>
    <x v="1"/>
    <x v="2"/>
    <x v="0"/>
    <x v="0"/>
    <x v="0"/>
    <x v="0"/>
    <x v="0"/>
    <x v="0"/>
    <x v="0"/>
    <x v="22"/>
    <x v="87"/>
    <x v="7"/>
    <x v="27"/>
    <x v="0"/>
    <x v="87"/>
    <x v="87"/>
    <x v="45"/>
    <x v="46"/>
    <x v="46"/>
    <x v="68"/>
    <x v="87"/>
    <x v="25"/>
    <x v="49"/>
    <x v="70"/>
    <x v="87"/>
    <x v="87"/>
    <x v="80"/>
    <x v="87"/>
    <x v="87"/>
    <x v="46"/>
    <x v="87"/>
    <x v="0"/>
    <x v="0"/>
    <x v="1"/>
    <x v="87"/>
    <x v="0"/>
    <x v="46"/>
    <x v="0"/>
    <x v="1"/>
  </r>
  <r>
    <x v="88"/>
    <x v="1"/>
    <x v="1"/>
    <x v="1"/>
    <x v="1"/>
    <x v="2"/>
    <x v="0"/>
    <x v="0"/>
    <x v="0"/>
    <x v="0"/>
    <x v="0"/>
    <x v="0"/>
    <x v="0"/>
    <x v="1"/>
    <x v="88"/>
    <x v="1"/>
    <x v="1"/>
    <x v="1"/>
    <x v="88"/>
    <x v="88"/>
    <x v="46"/>
    <x v="47"/>
    <x v="47"/>
    <x v="1"/>
    <x v="71"/>
    <x v="26"/>
    <x v="50"/>
    <x v="71"/>
    <x v="88"/>
    <x v="88"/>
    <x v="81"/>
    <x v="88"/>
    <x v="88"/>
    <x v="47"/>
    <x v="88"/>
    <x v="0"/>
    <x v="0"/>
    <x v="0"/>
    <x v="88"/>
    <x v="0"/>
    <x v="47"/>
    <x v="0"/>
    <x v="0"/>
  </r>
  <r>
    <x v="89"/>
    <x v="2"/>
    <x v="1"/>
    <x v="0"/>
    <x v="1"/>
    <x v="2"/>
    <x v="1"/>
    <x v="0"/>
    <x v="0"/>
    <x v="0"/>
    <x v="0"/>
    <x v="0"/>
    <x v="0"/>
    <x v="23"/>
    <x v="89"/>
    <x v="12"/>
    <x v="32"/>
    <x v="1"/>
    <x v="89"/>
    <x v="89"/>
    <x v="0"/>
    <x v="0"/>
    <x v="0"/>
    <x v="69"/>
    <x v="88"/>
    <x v="0"/>
    <x v="0"/>
    <x v="72"/>
    <x v="89"/>
    <x v="89"/>
    <x v="82"/>
    <x v="89"/>
    <x v="89"/>
    <x v="0"/>
    <x v="89"/>
    <x v="0"/>
    <x v="0"/>
    <x v="0"/>
    <x v="89"/>
    <x v="0"/>
    <x v="0"/>
    <x v="0"/>
    <x v="0"/>
  </r>
  <r>
    <x v="90"/>
    <x v="2"/>
    <x v="0"/>
    <x v="0"/>
    <x v="1"/>
    <x v="16"/>
    <x v="1"/>
    <x v="0"/>
    <x v="0"/>
    <x v="0"/>
    <x v="0"/>
    <x v="0"/>
    <x v="0"/>
    <x v="0"/>
    <x v="90"/>
    <x v="3"/>
    <x v="3"/>
    <x v="1"/>
    <x v="90"/>
    <x v="90"/>
    <x v="0"/>
    <x v="0"/>
    <x v="0"/>
    <x v="70"/>
    <x v="89"/>
    <x v="0"/>
    <x v="0"/>
    <x v="73"/>
    <x v="90"/>
    <x v="90"/>
    <x v="83"/>
    <x v="90"/>
    <x v="90"/>
    <x v="0"/>
    <x v="90"/>
    <x v="0"/>
    <x v="0"/>
    <x v="0"/>
    <x v="90"/>
    <x v="0"/>
    <x v="0"/>
    <x v="0"/>
    <x v="0"/>
  </r>
  <r>
    <x v="91"/>
    <x v="0"/>
    <x v="1"/>
    <x v="1"/>
    <x v="1"/>
    <x v="2"/>
    <x v="0"/>
    <x v="0"/>
    <x v="0"/>
    <x v="0"/>
    <x v="0"/>
    <x v="0"/>
    <x v="0"/>
    <x v="6"/>
    <x v="91"/>
    <x v="5"/>
    <x v="19"/>
    <x v="0"/>
    <x v="91"/>
    <x v="91"/>
    <x v="47"/>
    <x v="48"/>
    <x v="48"/>
    <x v="71"/>
    <x v="90"/>
    <x v="27"/>
    <x v="51"/>
    <x v="74"/>
    <x v="91"/>
    <x v="91"/>
    <x v="84"/>
    <x v="91"/>
    <x v="91"/>
    <x v="48"/>
    <x v="91"/>
    <x v="0"/>
    <x v="0"/>
    <x v="1"/>
    <x v="91"/>
    <x v="0"/>
    <x v="48"/>
    <x v="0"/>
    <x v="1"/>
  </r>
  <r>
    <x v="92"/>
    <x v="1"/>
    <x v="1"/>
    <x v="1"/>
    <x v="1"/>
    <x v="2"/>
    <x v="0"/>
    <x v="0"/>
    <x v="0"/>
    <x v="0"/>
    <x v="0"/>
    <x v="0"/>
    <x v="0"/>
    <x v="1"/>
    <x v="92"/>
    <x v="1"/>
    <x v="4"/>
    <x v="2"/>
    <x v="92"/>
    <x v="92"/>
    <x v="0"/>
    <x v="0"/>
    <x v="0"/>
    <x v="72"/>
    <x v="91"/>
    <x v="0"/>
    <x v="0"/>
    <x v="75"/>
    <x v="92"/>
    <x v="92"/>
    <x v="85"/>
    <x v="92"/>
    <x v="92"/>
    <x v="0"/>
    <x v="92"/>
    <x v="0"/>
    <x v="0"/>
    <x v="0"/>
    <x v="92"/>
    <x v="0"/>
    <x v="0"/>
    <x v="0"/>
    <x v="0"/>
  </r>
  <r>
    <x v="93"/>
    <x v="1"/>
    <x v="1"/>
    <x v="1"/>
    <x v="16"/>
    <x v="2"/>
    <x v="0"/>
    <x v="0"/>
    <x v="0"/>
    <x v="0"/>
    <x v="0"/>
    <x v="0"/>
    <x v="0"/>
    <x v="1"/>
    <x v="93"/>
    <x v="1"/>
    <x v="25"/>
    <x v="0"/>
    <x v="93"/>
    <x v="93"/>
    <x v="0"/>
    <x v="0"/>
    <x v="0"/>
    <x v="73"/>
    <x v="92"/>
    <x v="0"/>
    <x v="0"/>
    <x v="76"/>
    <x v="93"/>
    <x v="93"/>
    <x v="86"/>
    <x v="93"/>
    <x v="93"/>
    <x v="0"/>
    <x v="93"/>
    <x v="0"/>
    <x v="0"/>
    <x v="0"/>
    <x v="93"/>
    <x v="0"/>
    <x v="0"/>
    <x v="0"/>
    <x v="0"/>
  </r>
  <r>
    <x v="94"/>
    <x v="1"/>
    <x v="1"/>
    <x v="1"/>
    <x v="1"/>
    <x v="2"/>
    <x v="0"/>
    <x v="0"/>
    <x v="0"/>
    <x v="0"/>
    <x v="0"/>
    <x v="0"/>
    <x v="0"/>
    <x v="6"/>
    <x v="94"/>
    <x v="5"/>
    <x v="7"/>
    <x v="0"/>
    <x v="94"/>
    <x v="94"/>
    <x v="0"/>
    <x v="0"/>
    <x v="0"/>
    <x v="74"/>
    <x v="93"/>
    <x v="0"/>
    <x v="0"/>
    <x v="77"/>
    <x v="94"/>
    <x v="94"/>
    <x v="87"/>
    <x v="94"/>
    <x v="94"/>
    <x v="0"/>
    <x v="94"/>
    <x v="0"/>
    <x v="0"/>
    <x v="0"/>
    <x v="94"/>
    <x v="0"/>
    <x v="0"/>
    <x v="0"/>
    <x v="0"/>
  </r>
  <r>
    <x v="95"/>
    <x v="1"/>
    <x v="0"/>
    <x v="1"/>
    <x v="17"/>
    <x v="2"/>
    <x v="0"/>
    <x v="0"/>
    <x v="0"/>
    <x v="0"/>
    <x v="0"/>
    <x v="0"/>
    <x v="0"/>
    <x v="6"/>
    <x v="95"/>
    <x v="5"/>
    <x v="7"/>
    <x v="0"/>
    <x v="95"/>
    <x v="95"/>
    <x v="48"/>
    <x v="49"/>
    <x v="49"/>
    <x v="75"/>
    <x v="94"/>
    <x v="28"/>
    <x v="52"/>
    <x v="78"/>
    <x v="95"/>
    <x v="95"/>
    <x v="88"/>
    <x v="95"/>
    <x v="95"/>
    <x v="49"/>
    <x v="95"/>
    <x v="0"/>
    <x v="0"/>
    <x v="0"/>
    <x v="95"/>
    <x v="0"/>
    <x v="49"/>
    <x v="0"/>
    <x v="0"/>
  </r>
  <r>
    <x v="96"/>
    <x v="1"/>
    <x v="1"/>
    <x v="1"/>
    <x v="1"/>
    <x v="2"/>
    <x v="0"/>
    <x v="0"/>
    <x v="0"/>
    <x v="0"/>
    <x v="0"/>
    <x v="0"/>
    <x v="0"/>
    <x v="6"/>
    <x v="96"/>
    <x v="5"/>
    <x v="7"/>
    <x v="0"/>
    <x v="96"/>
    <x v="96"/>
    <x v="0"/>
    <x v="0"/>
    <x v="0"/>
    <x v="76"/>
    <x v="95"/>
    <x v="0"/>
    <x v="0"/>
    <x v="79"/>
    <x v="96"/>
    <x v="96"/>
    <x v="89"/>
    <x v="96"/>
    <x v="96"/>
    <x v="0"/>
    <x v="96"/>
    <x v="0"/>
    <x v="0"/>
    <x v="0"/>
    <x v="96"/>
    <x v="0"/>
    <x v="0"/>
    <x v="0"/>
    <x v="0"/>
  </r>
  <r>
    <x v="97"/>
    <x v="0"/>
    <x v="1"/>
    <x v="1"/>
    <x v="1"/>
    <x v="17"/>
    <x v="0"/>
    <x v="0"/>
    <x v="0"/>
    <x v="0"/>
    <x v="0"/>
    <x v="0"/>
    <x v="0"/>
    <x v="24"/>
    <x v="97"/>
    <x v="12"/>
    <x v="32"/>
    <x v="0"/>
    <x v="97"/>
    <x v="97"/>
    <x v="49"/>
    <x v="49"/>
    <x v="50"/>
    <x v="77"/>
    <x v="96"/>
    <x v="29"/>
    <x v="53"/>
    <x v="80"/>
    <x v="97"/>
    <x v="97"/>
    <x v="90"/>
    <x v="97"/>
    <x v="97"/>
    <x v="50"/>
    <x v="97"/>
    <x v="0"/>
    <x v="0"/>
    <x v="0"/>
    <x v="97"/>
    <x v="0"/>
    <x v="50"/>
    <x v="0"/>
    <x v="0"/>
  </r>
  <r>
    <x v="98"/>
    <x v="0"/>
    <x v="1"/>
    <x v="2"/>
    <x v="13"/>
    <x v="13"/>
    <x v="1"/>
    <x v="0"/>
    <x v="0"/>
    <x v="0"/>
    <x v="0"/>
    <x v="0"/>
    <x v="0"/>
    <x v="21"/>
    <x v="98"/>
    <x v="11"/>
    <x v="33"/>
    <x v="0"/>
    <x v="98"/>
    <x v="98"/>
    <x v="50"/>
    <x v="50"/>
    <x v="51"/>
    <x v="1"/>
    <x v="71"/>
    <x v="30"/>
    <x v="54"/>
    <x v="81"/>
    <x v="98"/>
    <x v="98"/>
    <x v="91"/>
    <x v="98"/>
    <x v="98"/>
    <x v="51"/>
    <x v="98"/>
    <x v="0"/>
    <x v="0"/>
    <x v="0"/>
    <x v="98"/>
    <x v="0"/>
    <x v="51"/>
    <x v="0"/>
    <x v="0"/>
  </r>
  <r>
    <x v="99"/>
    <x v="1"/>
    <x v="1"/>
    <x v="1"/>
    <x v="18"/>
    <x v="2"/>
    <x v="0"/>
    <x v="0"/>
    <x v="0"/>
    <x v="0"/>
    <x v="0"/>
    <x v="0"/>
    <x v="0"/>
    <x v="25"/>
    <x v="99"/>
    <x v="1"/>
    <x v="4"/>
    <x v="0"/>
    <x v="99"/>
    <x v="99"/>
    <x v="51"/>
    <x v="51"/>
    <x v="52"/>
    <x v="78"/>
    <x v="97"/>
    <x v="0"/>
    <x v="55"/>
    <x v="82"/>
    <x v="99"/>
    <x v="99"/>
    <x v="92"/>
    <x v="99"/>
    <x v="99"/>
    <x v="52"/>
    <x v="99"/>
    <x v="0"/>
    <x v="0"/>
    <x v="0"/>
    <x v="99"/>
    <x v="0"/>
    <x v="52"/>
    <x v="0"/>
    <x v="0"/>
  </r>
  <r>
    <x v="100"/>
    <x v="1"/>
    <x v="1"/>
    <x v="1"/>
    <x v="1"/>
    <x v="2"/>
    <x v="0"/>
    <x v="0"/>
    <x v="0"/>
    <x v="0"/>
    <x v="0"/>
    <x v="0"/>
    <x v="0"/>
    <x v="1"/>
    <x v="100"/>
    <x v="1"/>
    <x v="25"/>
    <x v="2"/>
    <x v="100"/>
    <x v="100"/>
    <x v="52"/>
    <x v="52"/>
    <x v="53"/>
    <x v="1"/>
    <x v="98"/>
    <x v="0"/>
    <x v="56"/>
    <x v="1"/>
    <x v="100"/>
    <x v="100"/>
    <x v="93"/>
    <x v="100"/>
    <x v="100"/>
    <x v="53"/>
    <x v="100"/>
    <x v="0"/>
    <x v="0"/>
    <x v="0"/>
    <x v="100"/>
    <x v="1"/>
    <x v="53"/>
    <x v="0"/>
    <x v="0"/>
  </r>
  <r>
    <x v="101"/>
    <x v="1"/>
    <x v="1"/>
    <x v="1"/>
    <x v="1"/>
    <x v="2"/>
    <x v="0"/>
    <x v="0"/>
    <x v="0"/>
    <x v="0"/>
    <x v="0"/>
    <x v="0"/>
    <x v="0"/>
    <x v="6"/>
    <x v="101"/>
    <x v="5"/>
    <x v="7"/>
    <x v="0"/>
    <x v="101"/>
    <x v="101"/>
    <x v="0"/>
    <x v="0"/>
    <x v="0"/>
    <x v="79"/>
    <x v="99"/>
    <x v="0"/>
    <x v="0"/>
    <x v="83"/>
    <x v="101"/>
    <x v="101"/>
    <x v="94"/>
    <x v="101"/>
    <x v="101"/>
    <x v="0"/>
    <x v="101"/>
    <x v="0"/>
    <x v="0"/>
    <x v="0"/>
    <x v="101"/>
    <x v="0"/>
    <x v="0"/>
    <x v="0"/>
    <x v="0"/>
  </r>
  <r>
    <x v="102"/>
    <x v="1"/>
    <x v="1"/>
    <x v="1"/>
    <x v="19"/>
    <x v="2"/>
    <x v="0"/>
    <x v="0"/>
    <x v="0"/>
    <x v="0"/>
    <x v="0"/>
    <x v="0"/>
    <x v="0"/>
    <x v="1"/>
    <x v="102"/>
    <x v="1"/>
    <x v="4"/>
    <x v="2"/>
    <x v="102"/>
    <x v="102"/>
    <x v="0"/>
    <x v="0"/>
    <x v="0"/>
    <x v="80"/>
    <x v="100"/>
    <x v="0"/>
    <x v="0"/>
    <x v="84"/>
    <x v="102"/>
    <x v="102"/>
    <x v="95"/>
    <x v="102"/>
    <x v="102"/>
    <x v="0"/>
    <x v="102"/>
    <x v="0"/>
    <x v="0"/>
    <x v="0"/>
    <x v="102"/>
    <x v="0"/>
    <x v="0"/>
    <x v="0"/>
    <x v="0"/>
  </r>
  <r>
    <x v="103"/>
    <x v="1"/>
    <x v="1"/>
    <x v="1"/>
    <x v="20"/>
    <x v="2"/>
    <x v="0"/>
    <x v="0"/>
    <x v="0"/>
    <x v="0"/>
    <x v="0"/>
    <x v="0"/>
    <x v="0"/>
    <x v="1"/>
    <x v="103"/>
    <x v="1"/>
    <x v="13"/>
    <x v="0"/>
    <x v="103"/>
    <x v="103"/>
    <x v="0"/>
    <x v="0"/>
    <x v="0"/>
    <x v="1"/>
    <x v="62"/>
    <x v="0"/>
    <x v="0"/>
    <x v="1"/>
    <x v="62"/>
    <x v="103"/>
    <x v="1"/>
    <x v="62"/>
    <x v="103"/>
    <x v="0"/>
    <x v="103"/>
    <x v="0"/>
    <x v="0"/>
    <x v="0"/>
    <x v="103"/>
    <x v="1"/>
    <x v="0"/>
    <x v="0"/>
    <x v="0"/>
  </r>
  <r>
    <x v="104"/>
    <x v="1"/>
    <x v="1"/>
    <x v="1"/>
    <x v="21"/>
    <x v="2"/>
    <x v="0"/>
    <x v="0"/>
    <x v="0"/>
    <x v="0"/>
    <x v="0"/>
    <x v="0"/>
    <x v="0"/>
    <x v="1"/>
    <x v="104"/>
    <x v="1"/>
    <x v="4"/>
    <x v="0"/>
    <x v="104"/>
    <x v="104"/>
    <x v="0"/>
    <x v="0"/>
    <x v="0"/>
    <x v="81"/>
    <x v="101"/>
    <x v="0"/>
    <x v="0"/>
    <x v="85"/>
    <x v="103"/>
    <x v="104"/>
    <x v="96"/>
    <x v="103"/>
    <x v="104"/>
    <x v="0"/>
    <x v="104"/>
    <x v="0"/>
    <x v="0"/>
    <x v="0"/>
    <x v="104"/>
    <x v="0"/>
    <x v="0"/>
    <x v="0"/>
    <x v="0"/>
  </r>
  <r>
    <x v="105"/>
    <x v="2"/>
    <x v="1"/>
    <x v="0"/>
    <x v="1"/>
    <x v="2"/>
    <x v="1"/>
    <x v="0"/>
    <x v="0"/>
    <x v="0"/>
    <x v="0"/>
    <x v="0"/>
    <x v="0"/>
    <x v="2"/>
    <x v="105"/>
    <x v="2"/>
    <x v="2"/>
    <x v="0"/>
    <x v="105"/>
    <x v="105"/>
    <x v="0"/>
    <x v="0"/>
    <x v="0"/>
    <x v="82"/>
    <x v="102"/>
    <x v="0"/>
    <x v="0"/>
    <x v="86"/>
    <x v="104"/>
    <x v="105"/>
    <x v="97"/>
    <x v="104"/>
    <x v="105"/>
    <x v="0"/>
    <x v="105"/>
    <x v="0"/>
    <x v="0"/>
    <x v="0"/>
    <x v="105"/>
    <x v="0"/>
    <x v="0"/>
    <x v="0"/>
    <x v="0"/>
  </r>
  <r>
    <x v="106"/>
    <x v="0"/>
    <x v="1"/>
    <x v="0"/>
    <x v="1"/>
    <x v="18"/>
    <x v="0"/>
    <x v="0"/>
    <x v="0"/>
    <x v="0"/>
    <x v="0"/>
    <x v="0"/>
    <x v="0"/>
    <x v="11"/>
    <x v="106"/>
    <x v="8"/>
    <x v="14"/>
    <x v="0"/>
    <x v="106"/>
    <x v="106"/>
    <x v="53"/>
    <x v="53"/>
    <x v="54"/>
    <x v="1"/>
    <x v="71"/>
    <x v="31"/>
    <x v="57"/>
    <x v="87"/>
    <x v="105"/>
    <x v="106"/>
    <x v="98"/>
    <x v="105"/>
    <x v="106"/>
    <x v="54"/>
    <x v="106"/>
    <x v="0"/>
    <x v="0"/>
    <x v="0"/>
    <x v="106"/>
    <x v="0"/>
    <x v="54"/>
    <x v="0"/>
    <x v="0"/>
  </r>
  <r>
    <x v="107"/>
    <x v="1"/>
    <x v="2"/>
    <x v="1"/>
    <x v="1"/>
    <x v="9"/>
    <x v="0"/>
    <x v="0"/>
    <x v="0"/>
    <x v="0"/>
    <x v="0"/>
    <x v="0"/>
    <x v="0"/>
    <x v="1"/>
    <x v="107"/>
    <x v="1"/>
    <x v="13"/>
    <x v="0"/>
    <x v="107"/>
    <x v="107"/>
    <x v="0"/>
    <x v="0"/>
    <x v="0"/>
    <x v="83"/>
    <x v="103"/>
    <x v="0"/>
    <x v="0"/>
    <x v="88"/>
    <x v="70"/>
    <x v="107"/>
    <x v="99"/>
    <x v="106"/>
    <x v="107"/>
    <x v="0"/>
    <x v="107"/>
    <x v="0"/>
    <x v="0"/>
    <x v="0"/>
    <x v="107"/>
    <x v="0"/>
    <x v="0"/>
    <x v="0"/>
    <x v="0"/>
  </r>
  <r>
    <x v="108"/>
    <x v="0"/>
    <x v="2"/>
    <x v="1"/>
    <x v="1"/>
    <x v="2"/>
    <x v="0"/>
    <x v="0"/>
    <x v="0"/>
    <x v="0"/>
    <x v="0"/>
    <x v="0"/>
    <x v="0"/>
    <x v="12"/>
    <x v="108"/>
    <x v="7"/>
    <x v="16"/>
    <x v="0"/>
    <x v="108"/>
    <x v="108"/>
    <x v="54"/>
    <x v="54"/>
    <x v="55"/>
    <x v="84"/>
    <x v="104"/>
    <x v="32"/>
    <x v="58"/>
    <x v="89"/>
    <x v="106"/>
    <x v="108"/>
    <x v="100"/>
    <x v="107"/>
    <x v="108"/>
    <x v="55"/>
    <x v="108"/>
    <x v="0"/>
    <x v="0"/>
    <x v="1"/>
    <x v="108"/>
    <x v="0"/>
    <x v="55"/>
    <x v="0"/>
    <x v="1"/>
  </r>
  <r>
    <x v="109"/>
    <x v="1"/>
    <x v="2"/>
    <x v="1"/>
    <x v="1"/>
    <x v="2"/>
    <x v="0"/>
    <x v="0"/>
    <x v="0"/>
    <x v="0"/>
    <x v="0"/>
    <x v="0"/>
    <x v="0"/>
    <x v="1"/>
    <x v="109"/>
    <x v="1"/>
    <x v="1"/>
    <x v="1"/>
    <x v="109"/>
    <x v="109"/>
    <x v="55"/>
    <x v="55"/>
    <x v="56"/>
    <x v="1"/>
    <x v="71"/>
    <x v="33"/>
    <x v="59"/>
    <x v="90"/>
    <x v="107"/>
    <x v="109"/>
    <x v="101"/>
    <x v="108"/>
    <x v="109"/>
    <x v="56"/>
    <x v="109"/>
    <x v="0"/>
    <x v="0"/>
    <x v="0"/>
    <x v="109"/>
    <x v="0"/>
    <x v="56"/>
    <x v="0"/>
    <x v="0"/>
  </r>
  <r>
    <x v="110"/>
    <x v="0"/>
    <x v="2"/>
    <x v="0"/>
    <x v="1"/>
    <x v="19"/>
    <x v="0"/>
    <x v="0"/>
    <x v="0"/>
    <x v="0"/>
    <x v="0"/>
    <x v="0"/>
    <x v="0"/>
    <x v="2"/>
    <x v="110"/>
    <x v="2"/>
    <x v="2"/>
    <x v="0"/>
    <x v="110"/>
    <x v="110"/>
    <x v="56"/>
    <x v="56"/>
    <x v="57"/>
    <x v="85"/>
    <x v="105"/>
    <x v="0"/>
    <x v="60"/>
    <x v="91"/>
    <x v="108"/>
    <x v="110"/>
    <x v="102"/>
    <x v="109"/>
    <x v="110"/>
    <x v="57"/>
    <x v="110"/>
    <x v="0"/>
    <x v="0"/>
    <x v="0"/>
    <x v="110"/>
    <x v="0"/>
    <x v="57"/>
    <x v="0"/>
    <x v="0"/>
  </r>
  <r>
    <x v="111"/>
    <x v="1"/>
    <x v="2"/>
    <x v="1"/>
    <x v="1"/>
    <x v="2"/>
    <x v="0"/>
    <x v="0"/>
    <x v="0"/>
    <x v="0"/>
    <x v="0"/>
    <x v="0"/>
    <x v="0"/>
    <x v="1"/>
    <x v="111"/>
    <x v="1"/>
    <x v="4"/>
    <x v="2"/>
    <x v="111"/>
    <x v="111"/>
    <x v="0"/>
    <x v="0"/>
    <x v="0"/>
    <x v="86"/>
    <x v="106"/>
    <x v="0"/>
    <x v="0"/>
    <x v="92"/>
    <x v="109"/>
    <x v="111"/>
    <x v="103"/>
    <x v="110"/>
    <x v="111"/>
    <x v="0"/>
    <x v="111"/>
    <x v="0"/>
    <x v="0"/>
    <x v="0"/>
    <x v="111"/>
    <x v="0"/>
    <x v="0"/>
    <x v="0"/>
    <x v="0"/>
  </r>
  <r>
    <x v="112"/>
    <x v="1"/>
    <x v="2"/>
    <x v="1"/>
    <x v="1"/>
    <x v="2"/>
    <x v="0"/>
    <x v="0"/>
    <x v="0"/>
    <x v="0"/>
    <x v="0"/>
    <x v="0"/>
    <x v="0"/>
    <x v="12"/>
    <x v="112"/>
    <x v="7"/>
    <x v="16"/>
    <x v="0"/>
    <x v="112"/>
    <x v="112"/>
    <x v="57"/>
    <x v="57"/>
    <x v="58"/>
    <x v="87"/>
    <x v="107"/>
    <x v="0"/>
    <x v="0"/>
    <x v="93"/>
    <x v="110"/>
    <x v="112"/>
    <x v="104"/>
    <x v="111"/>
    <x v="112"/>
    <x v="58"/>
    <x v="112"/>
    <x v="0"/>
    <x v="0"/>
    <x v="1"/>
    <x v="112"/>
    <x v="0"/>
    <x v="58"/>
    <x v="0"/>
    <x v="1"/>
  </r>
  <r>
    <x v="113"/>
    <x v="1"/>
    <x v="2"/>
    <x v="1"/>
    <x v="1"/>
    <x v="20"/>
    <x v="0"/>
    <x v="0"/>
    <x v="0"/>
    <x v="0"/>
    <x v="0"/>
    <x v="0"/>
    <x v="0"/>
    <x v="16"/>
    <x v="113"/>
    <x v="10"/>
    <x v="34"/>
    <x v="0"/>
    <x v="113"/>
    <x v="113"/>
    <x v="58"/>
    <x v="58"/>
    <x v="59"/>
    <x v="88"/>
    <x v="108"/>
    <x v="34"/>
    <x v="61"/>
    <x v="94"/>
    <x v="111"/>
    <x v="113"/>
    <x v="105"/>
    <x v="112"/>
    <x v="113"/>
    <x v="59"/>
    <x v="113"/>
    <x v="0"/>
    <x v="0"/>
    <x v="1"/>
    <x v="113"/>
    <x v="0"/>
    <x v="59"/>
    <x v="0"/>
    <x v="1"/>
  </r>
  <r>
    <x v="114"/>
    <x v="0"/>
    <x v="2"/>
    <x v="0"/>
    <x v="1"/>
    <x v="2"/>
    <x v="0"/>
    <x v="0"/>
    <x v="0"/>
    <x v="0"/>
    <x v="0"/>
    <x v="0"/>
    <x v="0"/>
    <x v="21"/>
    <x v="114"/>
    <x v="11"/>
    <x v="30"/>
    <x v="0"/>
    <x v="114"/>
    <x v="114"/>
    <x v="59"/>
    <x v="59"/>
    <x v="60"/>
    <x v="1"/>
    <x v="109"/>
    <x v="0"/>
    <x v="62"/>
    <x v="1"/>
    <x v="112"/>
    <x v="114"/>
    <x v="106"/>
    <x v="113"/>
    <x v="114"/>
    <x v="60"/>
    <x v="114"/>
    <x v="0"/>
    <x v="0"/>
    <x v="0"/>
    <x v="114"/>
    <x v="1"/>
    <x v="60"/>
    <x v="0"/>
    <x v="0"/>
  </r>
  <r>
    <x v="115"/>
    <x v="1"/>
    <x v="2"/>
    <x v="1"/>
    <x v="1"/>
    <x v="21"/>
    <x v="0"/>
    <x v="0"/>
    <x v="0"/>
    <x v="0"/>
    <x v="0"/>
    <x v="0"/>
    <x v="0"/>
    <x v="6"/>
    <x v="115"/>
    <x v="5"/>
    <x v="7"/>
    <x v="0"/>
    <x v="115"/>
    <x v="115"/>
    <x v="0"/>
    <x v="0"/>
    <x v="0"/>
    <x v="89"/>
    <x v="110"/>
    <x v="0"/>
    <x v="0"/>
    <x v="95"/>
    <x v="113"/>
    <x v="115"/>
    <x v="107"/>
    <x v="114"/>
    <x v="115"/>
    <x v="0"/>
    <x v="115"/>
    <x v="0"/>
    <x v="0"/>
    <x v="0"/>
    <x v="115"/>
    <x v="0"/>
    <x v="0"/>
    <x v="0"/>
    <x v="0"/>
  </r>
  <r>
    <x v="116"/>
    <x v="1"/>
    <x v="2"/>
    <x v="1"/>
    <x v="1"/>
    <x v="22"/>
    <x v="0"/>
    <x v="0"/>
    <x v="0"/>
    <x v="0"/>
    <x v="0"/>
    <x v="0"/>
    <x v="0"/>
    <x v="8"/>
    <x v="116"/>
    <x v="7"/>
    <x v="9"/>
    <x v="0"/>
    <x v="116"/>
    <x v="116"/>
    <x v="60"/>
    <x v="60"/>
    <x v="61"/>
    <x v="90"/>
    <x v="111"/>
    <x v="35"/>
    <x v="63"/>
    <x v="96"/>
    <x v="114"/>
    <x v="116"/>
    <x v="108"/>
    <x v="115"/>
    <x v="116"/>
    <x v="61"/>
    <x v="116"/>
    <x v="0"/>
    <x v="0"/>
    <x v="1"/>
    <x v="116"/>
    <x v="0"/>
    <x v="61"/>
    <x v="0"/>
    <x v="1"/>
  </r>
  <r>
    <x v="117"/>
    <x v="0"/>
    <x v="2"/>
    <x v="0"/>
    <x v="1"/>
    <x v="2"/>
    <x v="0"/>
    <x v="0"/>
    <x v="0"/>
    <x v="0"/>
    <x v="0"/>
    <x v="0"/>
    <x v="0"/>
    <x v="26"/>
    <x v="117"/>
    <x v="13"/>
    <x v="35"/>
    <x v="0"/>
    <x v="117"/>
    <x v="117"/>
    <x v="61"/>
    <x v="61"/>
    <x v="62"/>
    <x v="1"/>
    <x v="112"/>
    <x v="36"/>
    <x v="64"/>
    <x v="97"/>
    <x v="115"/>
    <x v="117"/>
    <x v="109"/>
    <x v="116"/>
    <x v="117"/>
    <x v="62"/>
    <x v="117"/>
    <x v="0"/>
    <x v="0"/>
    <x v="0"/>
    <x v="117"/>
    <x v="0"/>
    <x v="62"/>
    <x v="0"/>
    <x v="0"/>
  </r>
  <r>
    <x v="118"/>
    <x v="0"/>
    <x v="1"/>
    <x v="0"/>
    <x v="22"/>
    <x v="23"/>
    <x v="0"/>
    <x v="0"/>
    <x v="0"/>
    <x v="0"/>
    <x v="0"/>
    <x v="0"/>
    <x v="0"/>
    <x v="26"/>
    <x v="118"/>
    <x v="14"/>
    <x v="36"/>
    <x v="0"/>
    <x v="118"/>
    <x v="118"/>
    <x v="62"/>
    <x v="62"/>
    <x v="63"/>
    <x v="1"/>
    <x v="113"/>
    <x v="0"/>
    <x v="65"/>
    <x v="1"/>
    <x v="116"/>
    <x v="118"/>
    <x v="110"/>
    <x v="117"/>
    <x v="118"/>
    <x v="63"/>
    <x v="118"/>
    <x v="0"/>
    <x v="1"/>
    <x v="1"/>
    <x v="118"/>
    <x v="0"/>
    <x v="63"/>
    <x v="0"/>
    <x v="2"/>
  </r>
  <r>
    <x v="119"/>
    <x v="1"/>
    <x v="2"/>
    <x v="1"/>
    <x v="1"/>
    <x v="2"/>
    <x v="0"/>
    <x v="0"/>
    <x v="0"/>
    <x v="0"/>
    <x v="0"/>
    <x v="0"/>
    <x v="0"/>
    <x v="1"/>
    <x v="119"/>
    <x v="1"/>
    <x v="1"/>
    <x v="0"/>
    <x v="119"/>
    <x v="119"/>
    <x v="0"/>
    <x v="0"/>
    <x v="0"/>
    <x v="1"/>
    <x v="114"/>
    <x v="0"/>
    <x v="0"/>
    <x v="1"/>
    <x v="117"/>
    <x v="119"/>
    <x v="1"/>
    <x v="118"/>
    <x v="119"/>
    <x v="0"/>
    <x v="119"/>
    <x v="0"/>
    <x v="1"/>
    <x v="0"/>
    <x v="119"/>
    <x v="1"/>
    <x v="0"/>
    <x v="0"/>
    <x v="3"/>
  </r>
  <r>
    <x v="120"/>
    <x v="0"/>
    <x v="2"/>
    <x v="1"/>
    <x v="1"/>
    <x v="2"/>
    <x v="0"/>
    <x v="0"/>
    <x v="0"/>
    <x v="0"/>
    <x v="0"/>
    <x v="0"/>
    <x v="0"/>
    <x v="22"/>
    <x v="120"/>
    <x v="7"/>
    <x v="27"/>
    <x v="0"/>
    <x v="120"/>
    <x v="120"/>
    <x v="0"/>
    <x v="0"/>
    <x v="0"/>
    <x v="91"/>
    <x v="115"/>
    <x v="0"/>
    <x v="0"/>
    <x v="98"/>
    <x v="118"/>
    <x v="120"/>
    <x v="111"/>
    <x v="119"/>
    <x v="120"/>
    <x v="0"/>
    <x v="120"/>
    <x v="0"/>
    <x v="1"/>
    <x v="0"/>
    <x v="120"/>
    <x v="0"/>
    <x v="0"/>
    <x v="0"/>
    <x v="3"/>
  </r>
  <r>
    <x v="121"/>
    <x v="1"/>
    <x v="2"/>
    <x v="1"/>
    <x v="1"/>
    <x v="2"/>
    <x v="0"/>
    <x v="0"/>
    <x v="0"/>
    <x v="0"/>
    <x v="0"/>
    <x v="0"/>
    <x v="0"/>
    <x v="27"/>
    <x v="121"/>
    <x v="10"/>
    <x v="37"/>
    <x v="0"/>
    <x v="121"/>
    <x v="121"/>
    <x v="63"/>
    <x v="63"/>
    <x v="64"/>
    <x v="92"/>
    <x v="116"/>
    <x v="37"/>
    <x v="66"/>
    <x v="99"/>
    <x v="119"/>
    <x v="121"/>
    <x v="112"/>
    <x v="120"/>
    <x v="121"/>
    <x v="64"/>
    <x v="121"/>
    <x v="0"/>
    <x v="1"/>
    <x v="0"/>
    <x v="121"/>
    <x v="0"/>
    <x v="64"/>
    <x v="0"/>
    <x v="3"/>
  </r>
  <r>
    <x v="122"/>
    <x v="1"/>
    <x v="2"/>
    <x v="1"/>
    <x v="1"/>
    <x v="2"/>
    <x v="0"/>
    <x v="0"/>
    <x v="0"/>
    <x v="0"/>
    <x v="0"/>
    <x v="0"/>
    <x v="0"/>
    <x v="1"/>
    <x v="122"/>
    <x v="1"/>
    <x v="1"/>
    <x v="0"/>
    <x v="122"/>
    <x v="122"/>
    <x v="0"/>
    <x v="0"/>
    <x v="0"/>
    <x v="93"/>
    <x v="117"/>
    <x v="0"/>
    <x v="0"/>
    <x v="100"/>
    <x v="120"/>
    <x v="122"/>
    <x v="113"/>
    <x v="121"/>
    <x v="122"/>
    <x v="0"/>
    <x v="122"/>
    <x v="0"/>
    <x v="1"/>
    <x v="0"/>
    <x v="122"/>
    <x v="0"/>
    <x v="0"/>
    <x v="0"/>
    <x v="3"/>
  </r>
  <r>
    <x v="123"/>
    <x v="1"/>
    <x v="2"/>
    <x v="1"/>
    <x v="1"/>
    <x v="2"/>
    <x v="0"/>
    <x v="0"/>
    <x v="0"/>
    <x v="0"/>
    <x v="0"/>
    <x v="0"/>
    <x v="0"/>
    <x v="1"/>
    <x v="123"/>
    <x v="1"/>
    <x v="6"/>
    <x v="1"/>
    <x v="123"/>
    <x v="123"/>
    <x v="0"/>
    <x v="0"/>
    <x v="0"/>
    <x v="94"/>
    <x v="118"/>
    <x v="0"/>
    <x v="0"/>
    <x v="101"/>
    <x v="121"/>
    <x v="123"/>
    <x v="114"/>
    <x v="122"/>
    <x v="123"/>
    <x v="0"/>
    <x v="123"/>
    <x v="0"/>
    <x v="1"/>
    <x v="0"/>
    <x v="123"/>
    <x v="0"/>
    <x v="0"/>
    <x v="0"/>
    <x v="3"/>
  </r>
  <r>
    <x v="124"/>
    <x v="1"/>
    <x v="2"/>
    <x v="1"/>
    <x v="1"/>
    <x v="2"/>
    <x v="0"/>
    <x v="0"/>
    <x v="0"/>
    <x v="0"/>
    <x v="0"/>
    <x v="0"/>
    <x v="0"/>
    <x v="14"/>
    <x v="124"/>
    <x v="6"/>
    <x v="29"/>
    <x v="0"/>
    <x v="124"/>
    <x v="124"/>
    <x v="64"/>
    <x v="64"/>
    <x v="65"/>
    <x v="95"/>
    <x v="119"/>
    <x v="38"/>
    <x v="67"/>
    <x v="102"/>
    <x v="122"/>
    <x v="124"/>
    <x v="115"/>
    <x v="123"/>
    <x v="124"/>
    <x v="65"/>
    <x v="124"/>
    <x v="0"/>
    <x v="1"/>
    <x v="0"/>
    <x v="124"/>
    <x v="0"/>
    <x v="65"/>
    <x v="0"/>
    <x v="3"/>
  </r>
  <r>
    <x v="125"/>
    <x v="1"/>
    <x v="2"/>
    <x v="1"/>
    <x v="1"/>
    <x v="2"/>
    <x v="0"/>
    <x v="0"/>
    <x v="0"/>
    <x v="0"/>
    <x v="0"/>
    <x v="0"/>
    <x v="0"/>
    <x v="1"/>
    <x v="125"/>
    <x v="1"/>
    <x v="1"/>
    <x v="0"/>
    <x v="125"/>
    <x v="125"/>
    <x v="0"/>
    <x v="0"/>
    <x v="0"/>
    <x v="96"/>
    <x v="120"/>
    <x v="0"/>
    <x v="0"/>
    <x v="103"/>
    <x v="123"/>
    <x v="125"/>
    <x v="116"/>
    <x v="124"/>
    <x v="125"/>
    <x v="0"/>
    <x v="125"/>
    <x v="0"/>
    <x v="1"/>
    <x v="0"/>
    <x v="125"/>
    <x v="0"/>
    <x v="0"/>
    <x v="0"/>
    <x v="3"/>
  </r>
  <r>
    <x v="126"/>
    <x v="0"/>
    <x v="2"/>
    <x v="0"/>
    <x v="1"/>
    <x v="2"/>
    <x v="0"/>
    <x v="0"/>
    <x v="0"/>
    <x v="0"/>
    <x v="0"/>
    <x v="0"/>
    <x v="0"/>
    <x v="28"/>
    <x v="126"/>
    <x v="7"/>
    <x v="27"/>
    <x v="0"/>
    <x v="126"/>
    <x v="126"/>
    <x v="65"/>
    <x v="65"/>
    <x v="66"/>
    <x v="1"/>
    <x v="121"/>
    <x v="0"/>
    <x v="68"/>
    <x v="1"/>
    <x v="124"/>
    <x v="126"/>
    <x v="117"/>
    <x v="125"/>
    <x v="126"/>
    <x v="66"/>
    <x v="126"/>
    <x v="0"/>
    <x v="1"/>
    <x v="0"/>
    <x v="126"/>
    <x v="1"/>
    <x v="66"/>
    <x v="0"/>
    <x v="3"/>
  </r>
  <r>
    <x v="127"/>
    <x v="0"/>
    <x v="2"/>
    <x v="1"/>
    <x v="1"/>
    <x v="2"/>
    <x v="0"/>
    <x v="0"/>
    <x v="0"/>
    <x v="0"/>
    <x v="0"/>
    <x v="0"/>
    <x v="0"/>
    <x v="29"/>
    <x v="127"/>
    <x v="0"/>
    <x v="0"/>
    <x v="0"/>
    <x v="127"/>
    <x v="127"/>
    <x v="66"/>
    <x v="66"/>
    <x v="67"/>
    <x v="97"/>
    <x v="122"/>
    <x v="0"/>
    <x v="69"/>
    <x v="104"/>
    <x v="125"/>
    <x v="127"/>
    <x v="118"/>
    <x v="126"/>
    <x v="127"/>
    <x v="67"/>
    <x v="127"/>
    <x v="0"/>
    <x v="1"/>
    <x v="0"/>
    <x v="127"/>
    <x v="0"/>
    <x v="67"/>
    <x v="0"/>
    <x v="3"/>
  </r>
  <r>
    <x v="128"/>
    <x v="1"/>
    <x v="2"/>
    <x v="1"/>
    <x v="1"/>
    <x v="2"/>
    <x v="0"/>
    <x v="0"/>
    <x v="0"/>
    <x v="0"/>
    <x v="0"/>
    <x v="0"/>
    <x v="0"/>
    <x v="1"/>
    <x v="128"/>
    <x v="1"/>
    <x v="6"/>
    <x v="1"/>
    <x v="128"/>
    <x v="128"/>
    <x v="67"/>
    <x v="67"/>
    <x v="68"/>
    <x v="1"/>
    <x v="71"/>
    <x v="39"/>
    <x v="70"/>
    <x v="105"/>
    <x v="126"/>
    <x v="128"/>
    <x v="119"/>
    <x v="127"/>
    <x v="128"/>
    <x v="68"/>
    <x v="128"/>
    <x v="0"/>
    <x v="1"/>
    <x v="0"/>
    <x v="128"/>
    <x v="0"/>
    <x v="68"/>
    <x v="0"/>
    <x v="3"/>
  </r>
  <r>
    <x v="129"/>
    <x v="0"/>
    <x v="1"/>
    <x v="2"/>
    <x v="23"/>
    <x v="24"/>
    <x v="2"/>
    <x v="0"/>
    <x v="0"/>
    <x v="0"/>
    <x v="0"/>
    <x v="0"/>
    <x v="0"/>
    <x v="0"/>
    <x v="129"/>
    <x v="3"/>
    <x v="3"/>
    <x v="1"/>
    <x v="129"/>
    <x v="129"/>
    <x v="68"/>
    <x v="68"/>
    <x v="69"/>
    <x v="98"/>
    <x v="123"/>
    <x v="40"/>
    <x v="71"/>
    <x v="106"/>
    <x v="127"/>
    <x v="129"/>
    <x v="120"/>
    <x v="128"/>
    <x v="129"/>
    <x v="69"/>
    <x v="129"/>
    <x v="0"/>
    <x v="1"/>
    <x v="0"/>
    <x v="129"/>
    <x v="0"/>
    <x v="69"/>
    <x v="0"/>
    <x v="3"/>
  </r>
  <r>
    <x v="130"/>
    <x v="0"/>
    <x v="2"/>
    <x v="0"/>
    <x v="1"/>
    <x v="2"/>
    <x v="0"/>
    <x v="0"/>
    <x v="0"/>
    <x v="0"/>
    <x v="0"/>
    <x v="0"/>
    <x v="0"/>
    <x v="12"/>
    <x v="130"/>
    <x v="7"/>
    <x v="16"/>
    <x v="0"/>
    <x v="130"/>
    <x v="130"/>
    <x v="69"/>
    <x v="69"/>
    <x v="70"/>
    <x v="1"/>
    <x v="124"/>
    <x v="41"/>
    <x v="72"/>
    <x v="107"/>
    <x v="128"/>
    <x v="130"/>
    <x v="121"/>
    <x v="129"/>
    <x v="130"/>
    <x v="70"/>
    <x v="130"/>
    <x v="0"/>
    <x v="1"/>
    <x v="1"/>
    <x v="130"/>
    <x v="0"/>
    <x v="70"/>
    <x v="0"/>
    <x v="2"/>
  </r>
  <r>
    <x v="131"/>
    <x v="0"/>
    <x v="1"/>
    <x v="0"/>
    <x v="1"/>
    <x v="2"/>
    <x v="0"/>
    <x v="0"/>
    <x v="0"/>
    <x v="0"/>
    <x v="0"/>
    <x v="0"/>
    <x v="0"/>
    <x v="2"/>
    <x v="131"/>
    <x v="2"/>
    <x v="2"/>
    <x v="0"/>
    <x v="131"/>
    <x v="131"/>
    <x v="70"/>
    <x v="70"/>
    <x v="71"/>
    <x v="99"/>
    <x v="125"/>
    <x v="42"/>
    <x v="73"/>
    <x v="108"/>
    <x v="129"/>
    <x v="131"/>
    <x v="122"/>
    <x v="130"/>
    <x v="131"/>
    <x v="71"/>
    <x v="131"/>
    <x v="0"/>
    <x v="1"/>
    <x v="1"/>
    <x v="131"/>
    <x v="0"/>
    <x v="71"/>
    <x v="0"/>
    <x v="2"/>
  </r>
  <r>
    <x v="132"/>
    <x v="1"/>
    <x v="2"/>
    <x v="1"/>
    <x v="1"/>
    <x v="2"/>
    <x v="0"/>
    <x v="0"/>
    <x v="0"/>
    <x v="0"/>
    <x v="0"/>
    <x v="0"/>
    <x v="0"/>
    <x v="1"/>
    <x v="132"/>
    <x v="1"/>
    <x v="6"/>
    <x v="0"/>
    <x v="132"/>
    <x v="132"/>
    <x v="0"/>
    <x v="0"/>
    <x v="0"/>
    <x v="100"/>
    <x v="126"/>
    <x v="0"/>
    <x v="0"/>
    <x v="109"/>
    <x v="130"/>
    <x v="132"/>
    <x v="123"/>
    <x v="131"/>
    <x v="132"/>
    <x v="0"/>
    <x v="132"/>
    <x v="0"/>
    <x v="1"/>
    <x v="0"/>
    <x v="132"/>
    <x v="0"/>
    <x v="0"/>
    <x v="0"/>
    <x v="3"/>
  </r>
  <r>
    <x v="133"/>
    <x v="0"/>
    <x v="2"/>
    <x v="0"/>
    <x v="1"/>
    <x v="2"/>
    <x v="0"/>
    <x v="0"/>
    <x v="0"/>
    <x v="0"/>
    <x v="0"/>
    <x v="0"/>
    <x v="0"/>
    <x v="8"/>
    <x v="133"/>
    <x v="7"/>
    <x v="9"/>
    <x v="0"/>
    <x v="133"/>
    <x v="133"/>
    <x v="71"/>
    <x v="71"/>
    <x v="72"/>
    <x v="101"/>
    <x v="127"/>
    <x v="43"/>
    <x v="74"/>
    <x v="110"/>
    <x v="131"/>
    <x v="133"/>
    <x v="124"/>
    <x v="132"/>
    <x v="133"/>
    <x v="72"/>
    <x v="133"/>
    <x v="0"/>
    <x v="1"/>
    <x v="1"/>
    <x v="133"/>
    <x v="0"/>
    <x v="72"/>
    <x v="0"/>
    <x v="2"/>
  </r>
  <r>
    <x v="134"/>
    <x v="0"/>
    <x v="2"/>
    <x v="0"/>
    <x v="1"/>
    <x v="2"/>
    <x v="0"/>
    <x v="0"/>
    <x v="0"/>
    <x v="0"/>
    <x v="0"/>
    <x v="0"/>
    <x v="0"/>
    <x v="8"/>
    <x v="134"/>
    <x v="7"/>
    <x v="38"/>
    <x v="0"/>
    <x v="134"/>
    <x v="134"/>
    <x v="72"/>
    <x v="72"/>
    <x v="73"/>
    <x v="102"/>
    <x v="128"/>
    <x v="44"/>
    <x v="72"/>
    <x v="111"/>
    <x v="132"/>
    <x v="134"/>
    <x v="125"/>
    <x v="133"/>
    <x v="134"/>
    <x v="73"/>
    <x v="134"/>
    <x v="0"/>
    <x v="1"/>
    <x v="1"/>
    <x v="134"/>
    <x v="0"/>
    <x v="73"/>
    <x v="0"/>
    <x v="2"/>
  </r>
  <r>
    <x v="135"/>
    <x v="1"/>
    <x v="2"/>
    <x v="1"/>
    <x v="1"/>
    <x v="2"/>
    <x v="0"/>
    <x v="0"/>
    <x v="0"/>
    <x v="0"/>
    <x v="0"/>
    <x v="0"/>
    <x v="0"/>
    <x v="1"/>
    <x v="135"/>
    <x v="1"/>
    <x v="1"/>
    <x v="1"/>
    <x v="135"/>
    <x v="135"/>
    <x v="73"/>
    <x v="73"/>
    <x v="74"/>
    <x v="1"/>
    <x v="71"/>
    <x v="45"/>
    <x v="75"/>
    <x v="112"/>
    <x v="133"/>
    <x v="135"/>
    <x v="126"/>
    <x v="134"/>
    <x v="135"/>
    <x v="74"/>
    <x v="135"/>
    <x v="0"/>
    <x v="1"/>
    <x v="1"/>
    <x v="135"/>
    <x v="0"/>
    <x v="74"/>
    <x v="0"/>
    <x v="2"/>
  </r>
  <r>
    <x v="136"/>
    <x v="1"/>
    <x v="2"/>
    <x v="1"/>
    <x v="1"/>
    <x v="2"/>
    <x v="0"/>
    <x v="0"/>
    <x v="0"/>
    <x v="0"/>
    <x v="0"/>
    <x v="0"/>
    <x v="0"/>
    <x v="18"/>
    <x v="136"/>
    <x v="5"/>
    <x v="12"/>
    <x v="0"/>
    <x v="136"/>
    <x v="136"/>
    <x v="74"/>
    <x v="50"/>
    <x v="75"/>
    <x v="103"/>
    <x v="129"/>
    <x v="46"/>
    <x v="76"/>
    <x v="113"/>
    <x v="134"/>
    <x v="136"/>
    <x v="127"/>
    <x v="135"/>
    <x v="136"/>
    <x v="75"/>
    <x v="136"/>
    <x v="0"/>
    <x v="1"/>
    <x v="0"/>
    <x v="136"/>
    <x v="0"/>
    <x v="75"/>
    <x v="0"/>
    <x v="3"/>
  </r>
  <r>
    <x v="137"/>
    <x v="1"/>
    <x v="2"/>
    <x v="1"/>
    <x v="1"/>
    <x v="2"/>
    <x v="0"/>
    <x v="0"/>
    <x v="0"/>
    <x v="0"/>
    <x v="0"/>
    <x v="0"/>
    <x v="0"/>
    <x v="5"/>
    <x v="137"/>
    <x v="5"/>
    <x v="12"/>
    <x v="0"/>
    <x v="137"/>
    <x v="137"/>
    <x v="0"/>
    <x v="0"/>
    <x v="0"/>
    <x v="104"/>
    <x v="130"/>
    <x v="0"/>
    <x v="0"/>
    <x v="114"/>
    <x v="135"/>
    <x v="137"/>
    <x v="128"/>
    <x v="136"/>
    <x v="137"/>
    <x v="0"/>
    <x v="137"/>
    <x v="0"/>
    <x v="1"/>
    <x v="0"/>
    <x v="137"/>
    <x v="0"/>
    <x v="0"/>
    <x v="0"/>
    <x v="3"/>
  </r>
  <r>
    <x v="138"/>
    <x v="0"/>
    <x v="2"/>
    <x v="0"/>
    <x v="1"/>
    <x v="2"/>
    <x v="0"/>
    <x v="0"/>
    <x v="0"/>
    <x v="0"/>
    <x v="0"/>
    <x v="0"/>
    <x v="0"/>
    <x v="0"/>
    <x v="138"/>
    <x v="0"/>
    <x v="0"/>
    <x v="0"/>
    <x v="138"/>
    <x v="138"/>
    <x v="0"/>
    <x v="0"/>
    <x v="0"/>
    <x v="105"/>
    <x v="131"/>
    <x v="0"/>
    <x v="0"/>
    <x v="115"/>
    <x v="136"/>
    <x v="138"/>
    <x v="129"/>
    <x v="137"/>
    <x v="138"/>
    <x v="0"/>
    <x v="138"/>
    <x v="0"/>
    <x v="1"/>
    <x v="0"/>
    <x v="138"/>
    <x v="0"/>
    <x v="0"/>
    <x v="0"/>
    <x v="3"/>
  </r>
  <r>
    <x v="139"/>
    <x v="1"/>
    <x v="2"/>
    <x v="1"/>
    <x v="1"/>
    <x v="2"/>
    <x v="0"/>
    <x v="0"/>
    <x v="0"/>
    <x v="0"/>
    <x v="0"/>
    <x v="0"/>
    <x v="0"/>
    <x v="1"/>
    <x v="139"/>
    <x v="1"/>
    <x v="13"/>
    <x v="2"/>
    <x v="139"/>
    <x v="139"/>
    <x v="0"/>
    <x v="0"/>
    <x v="0"/>
    <x v="106"/>
    <x v="132"/>
    <x v="0"/>
    <x v="0"/>
    <x v="116"/>
    <x v="137"/>
    <x v="139"/>
    <x v="130"/>
    <x v="138"/>
    <x v="139"/>
    <x v="0"/>
    <x v="139"/>
    <x v="0"/>
    <x v="1"/>
    <x v="0"/>
    <x v="139"/>
    <x v="0"/>
    <x v="0"/>
    <x v="0"/>
    <x v="3"/>
  </r>
  <r>
    <x v="140"/>
    <x v="1"/>
    <x v="2"/>
    <x v="1"/>
    <x v="1"/>
    <x v="2"/>
    <x v="0"/>
    <x v="0"/>
    <x v="0"/>
    <x v="0"/>
    <x v="0"/>
    <x v="0"/>
    <x v="0"/>
    <x v="4"/>
    <x v="140"/>
    <x v="10"/>
    <x v="39"/>
    <x v="0"/>
    <x v="140"/>
    <x v="140"/>
    <x v="75"/>
    <x v="74"/>
    <x v="76"/>
    <x v="1"/>
    <x v="133"/>
    <x v="0"/>
    <x v="77"/>
    <x v="1"/>
    <x v="138"/>
    <x v="140"/>
    <x v="131"/>
    <x v="139"/>
    <x v="140"/>
    <x v="76"/>
    <x v="140"/>
    <x v="0"/>
    <x v="1"/>
    <x v="1"/>
    <x v="140"/>
    <x v="0"/>
    <x v="76"/>
    <x v="0"/>
    <x v="2"/>
  </r>
  <r>
    <x v="141"/>
    <x v="0"/>
    <x v="2"/>
    <x v="1"/>
    <x v="1"/>
    <x v="2"/>
    <x v="0"/>
    <x v="0"/>
    <x v="0"/>
    <x v="0"/>
    <x v="0"/>
    <x v="0"/>
    <x v="0"/>
    <x v="22"/>
    <x v="141"/>
    <x v="7"/>
    <x v="27"/>
    <x v="0"/>
    <x v="141"/>
    <x v="141"/>
    <x v="0"/>
    <x v="0"/>
    <x v="0"/>
    <x v="107"/>
    <x v="134"/>
    <x v="0"/>
    <x v="0"/>
    <x v="117"/>
    <x v="139"/>
    <x v="141"/>
    <x v="132"/>
    <x v="140"/>
    <x v="141"/>
    <x v="0"/>
    <x v="141"/>
    <x v="0"/>
    <x v="1"/>
    <x v="0"/>
    <x v="141"/>
    <x v="0"/>
    <x v="0"/>
    <x v="0"/>
    <x v="3"/>
  </r>
  <r>
    <x v="142"/>
    <x v="0"/>
    <x v="1"/>
    <x v="0"/>
    <x v="1"/>
    <x v="25"/>
    <x v="0"/>
    <x v="0"/>
    <x v="0"/>
    <x v="0"/>
    <x v="0"/>
    <x v="0"/>
    <x v="0"/>
    <x v="17"/>
    <x v="142"/>
    <x v="0"/>
    <x v="0"/>
    <x v="0"/>
    <x v="142"/>
    <x v="142"/>
    <x v="76"/>
    <x v="42"/>
    <x v="77"/>
    <x v="108"/>
    <x v="135"/>
    <x v="47"/>
    <x v="78"/>
    <x v="118"/>
    <x v="140"/>
    <x v="142"/>
    <x v="133"/>
    <x v="141"/>
    <x v="142"/>
    <x v="77"/>
    <x v="142"/>
    <x v="0"/>
    <x v="1"/>
    <x v="0"/>
    <x v="142"/>
    <x v="0"/>
    <x v="77"/>
    <x v="0"/>
    <x v="3"/>
  </r>
  <r>
    <x v="143"/>
    <x v="0"/>
    <x v="2"/>
    <x v="1"/>
    <x v="1"/>
    <x v="2"/>
    <x v="0"/>
    <x v="0"/>
    <x v="0"/>
    <x v="0"/>
    <x v="0"/>
    <x v="0"/>
    <x v="0"/>
    <x v="2"/>
    <x v="143"/>
    <x v="2"/>
    <x v="2"/>
    <x v="0"/>
    <x v="143"/>
    <x v="143"/>
    <x v="77"/>
    <x v="75"/>
    <x v="78"/>
    <x v="109"/>
    <x v="136"/>
    <x v="0"/>
    <x v="79"/>
    <x v="119"/>
    <x v="141"/>
    <x v="143"/>
    <x v="134"/>
    <x v="142"/>
    <x v="143"/>
    <x v="78"/>
    <x v="143"/>
    <x v="0"/>
    <x v="1"/>
    <x v="0"/>
    <x v="143"/>
    <x v="0"/>
    <x v="78"/>
    <x v="0"/>
    <x v="3"/>
  </r>
  <r>
    <x v="144"/>
    <x v="0"/>
    <x v="2"/>
    <x v="0"/>
    <x v="1"/>
    <x v="2"/>
    <x v="0"/>
    <x v="0"/>
    <x v="0"/>
    <x v="0"/>
    <x v="0"/>
    <x v="0"/>
    <x v="0"/>
    <x v="8"/>
    <x v="144"/>
    <x v="7"/>
    <x v="16"/>
    <x v="0"/>
    <x v="144"/>
    <x v="144"/>
    <x v="78"/>
    <x v="76"/>
    <x v="79"/>
    <x v="110"/>
    <x v="137"/>
    <x v="48"/>
    <x v="80"/>
    <x v="120"/>
    <x v="142"/>
    <x v="144"/>
    <x v="135"/>
    <x v="143"/>
    <x v="144"/>
    <x v="79"/>
    <x v="144"/>
    <x v="0"/>
    <x v="1"/>
    <x v="1"/>
    <x v="144"/>
    <x v="0"/>
    <x v="79"/>
    <x v="0"/>
    <x v="2"/>
  </r>
  <r>
    <x v="145"/>
    <x v="1"/>
    <x v="2"/>
    <x v="1"/>
    <x v="1"/>
    <x v="2"/>
    <x v="0"/>
    <x v="0"/>
    <x v="0"/>
    <x v="0"/>
    <x v="0"/>
    <x v="0"/>
    <x v="0"/>
    <x v="6"/>
    <x v="145"/>
    <x v="5"/>
    <x v="31"/>
    <x v="0"/>
    <x v="145"/>
    <x v="145"/>
    <x v="0"/>
    <x v="0"/>
    <x v="0"/>
    <x v="111"/>
    <x v="138"/>
    <x v="0"/>
    <x v="0"/>
    <x v="121"/>
    <x v="143"/>
    <x v="145"/>
    <x v="136"/>
    <x v="144"/>
    <x v="145"/>
    <x v="0"/>
    <x v="145"/>
    <x v="0"/>
    <x v="1"/>
    <x v="0"/>
    <x v="145"/>
    <x v="0"/>
    <x v="0"/>
    <x v="0"/>
    <x v="3"/>
  </r>
  <r>
    <x v="146"/>
    <x v="0"/>
    <x v="2"/>
    <x v="1"/>
    <x v="1"/>
    <x v="2"/>
    <x v="0"/>
    <x v="0"/>
    <x v="0"/>
    <x v="0"/>
    <x v="0"/>
    <x v="0"/>
    <x v="0"/>
    <x v="30"/>
    <x v="146"/>
    <x v="0"/>
    <x v="0"/>
    <x v="0"/>
    <x v="146"/>
    <x v="146"/>
    <x v="79"/>
    <x v="77"/>
    <x v="80"/>
    <x v="112"/>
    <x v="139"/>
    <x v="49"/>
    <x v="81"/>
    <x v="122"/>
    <x v="144"/>
    <x v="146"/>
    <x v="137"/>
    <x v="145"/>
    <x v="146"/>
    <x v="80"/>
    <x v="146"/>
    <x v="0"/>
    <x v="1"/>
    <x v="0"/>
    <x v="146"/>
    <x v="0"/>
    <x v="80"/>
    <x v="0"/>
    <x v="3"/>
  </r>
  <r>
    <x v="147"/>
    <x v="0"/>
    <x v="2"/>
    <x v="1"/>
    <x v="1"/>
    <x v="2"/>
    <x v="0"/>
    <x v="0"/>
    <x v="0"/>
    <x v="0"/>
    <x v="0"/>
    <x v="0"/>
    <x v="0"/>
    <x v="31"/>
    <x v="147"/>
    <x v="0"/>
    <x v="40"/>
    <x v="0"/>
    <x v="147"/>
    <x v="147"/>
    <x v="80"/>
    <x v="78"/>
    <x v="81"/>
    <x v="1"/>
    <x v="140"/>
    <x v="0"/>
    <x v="82"/>
    <x v="1"/>
    <x v="145"/>
    <x v="147"/>
    <x v="138"/>
    <x v="146"/>
    <x v="147"/>
    <x v="81"/>
    <x v="147"/>
    <x v="0"/>
    <x v="1"/>
    <x v="0"/>
    <x v="147"/>
    <x v="1"/>
    <x v="81"/>
    <x v="0"/>
    <x v="3"/>
  </r>
  <r>
    <x v="148"/>
    <x v="1"/>
    <x v="2"/>
    <x v="1"/>
    <x v="1"/>
    <x v="2"/>
    <x v="0"/>
    <x v="0"/>
    <x v="0"/>
    <x v="0"/>
    <x v="0"/>
    <x v="0"/>
    <x v="0"/>
    <x v="6"/>
    <x v="148"/>
    <x v="5"/>
    <x v="31"/>
    <x v="0"/>
    <x v="148"/>
    <x v="148"/>
    <x v="81"/>
    <x v="79"/>
    <x v="82"/>
    <x v="113"/>
    <x v="141"/>
    <x v="0"/>
    <x v="83"/>
    <x v="123"/>
    <x v="146"/>
    <x v="148"/>
    <x v="139"/>
    <x v="147"/>
    <x v="148"/>
    <x v="82"/>
    <x v="148"/>
    <x v="0"/>
    <x v="1"/>
    <x v="0"/>
    <x v="148"/>
    <x v="0"/>
    <x v="82"/>
    <x v="0"/>
    <x v="3"/>
  </r>
  <r>
    <x v="149"/>
    <x v="1"/>
    <x v="2"/>
    <x v="1"/>
    <x v="1"/>
    <x v="2"/>
    <x v="0"/>
    <x v="0"/>
    <x v="0"/>
    <x v="0"/>
    <x v="0"/>
    <x v="0"/>
    <x v="0"/>
    <x v="16"/>
    <x v="149"/>
    <x v="10"/>
    <x v="41"/>
    <x v="0"/>
    <x v="149"/>
    <x v="149"/>
    <x v="82"/>
    <x v="80"/>
    <x v="83"/>
    <x v="114"/>
    <x v="142"/>
    <x v="50"/>
    <x v="84"/>
    <x v="124"/>
    <x v="147"/>
    <x v="149"/>
    <x v="140"/>
    <x v="148"/>
    <x v="149"/>
    <x v="83"/>
    <x v="149"/>
    <x v="0"/>
    <x v="1"/>
    <x v="0"/>
    <x v="149"/>
    <x v="0"/>
    <x v="83"/>
    <x v="0"/>
    <x v="3"/>
  </r>
  <r>
    <x v="150"/>
    <x v="1"/>
    <x v="2"/>
    <x v="1"/>
    <x v="1"/>
    <x v="2"/>
    <x v="0"/>
    <x v="0"/>
    <x v="0"/>
    <x v="0"/>
    <x v="0"/>
    <x v="0"/>
    <x v="0"/>
    <x v="1"/>
    <x v="150"/>
    <x v="1"/>
    <x v="1"/>
    <x v="0"/>
    <x v="150"/>
    <x v="150"/>
    <x v="21"/>
    <x v="81"/>
    <x v="84"/>
    <x v="115"/>
    <x v="143"/>
    <x v="0"/>
    <x v="85"/>
    <x v="125"/>
    <x v="148"/>
    <x v="150"/>
    <x v="141"/>
    <x v="149"/>
    <x v="150"/>
    <x v="84"/>
    <x v="150"/>
    <x v="0"/>
    <x v="1"/>
    <x v="0"/>
    <x v="150"/>
    <x v="0"/>
    <x v="84"/>
    <x v="0"/>
    <x v="3"/>
  </r>
  <r>
    <x v="151"/>
    <x v="0"/>
    <x v="2"/>
    <x v="0"/>
    <x v="1"/>
    <x v="2"/>
    <x v="0"/>
    <x v="0"/>
    <x v="0"/>
    <x v="0"/>
    <x v="0"/>
    <x v="0"/>
    <x v="0"/>
    <x v="32"/>
    <x v="151"/>
    <x v="7"/>
    <x v="27"/>
    <x v="0"/>
    <x v="151"/>
    <x v="151"/>
    <x v="83"/>
    <x v="82"/>
    <x v="85"/>
    <x v="1"/>
    <x v="144"/>
    <x v="51"/>
    <x v="86"/>
    <x v="126"/>
    <x v="149"/>
    <x v="151"/>
    <x v="142"/>
    <x v="150"/>
    <x v="151"/>
    <x v="85"/>
    <x v="151"/>
    <x v="0"/>
    <x v="1"/>
    <x v="1"/>
    <x v="151"/>
    <x v="0"/>
    <x v="85"/>
    <x v="0"/>
    <x v="2"/>
  </r>
  <r>
    <x v="152"/>
    <x v="0"/>
    <x v="2"/>
    <x v="1"/>
    <x v="1"/>
    <x v="2"/>
    <x v="0"/>
    <x v="0"/>
    <x v="0"/>
    <x v="0"/>
    <x v="0"/>
    <x v="0"/>
    <x v="0"/>
    <x v="22"/>
    <x v="152"/>
    <x v="7"/>
    <x v="27"/>
    <x v="0"/>
    <x v="152"/>
    <x v="152"/>
    <x v="84"/>
    <x v="2"/>
    <x v="86"/>
    <x v="1"/>
    <x v="145"/>
    <x v="0"/>
    <x v="87"/>
    <x v="1"/>
    <x v="150"/>
    <x v="152"/>
    <x v="143"/>
    <x v="151"/>
    <x v="152"/>
    <x v="86"/>
    <x v="152"/>
    <x v="0"/>
    <x v="1"/>
    <x v="0"/>
    <x v="152"/>
    <x v="1"/>
    <x v="86"/>
    <x v="0"/>
    <x v="3"/>
  </r>
  <r>
    <x v="153"/>
    <x v="0"/>
    <x v="2"/>
    <x v="1"/>
    <x v="1"/>
    <x v="26"/>
    <x v="0"/>
    <x v="0"/>
    <x v="0"/>
    <x v="0"/>
    <x v="0"/>
    <x v="0"/>
    <x v="0"/>
    <x v="1"/>
    <x v="153"/>
    <x v="1"/>
    <x v="4"/>
    <x v="0"/>
    <x v="153"/>
    <x v="153"/>
    <x v="0"/>
    <x v="0"/>
    <x v="0"/>
    <x v="1"/>
    <x v="146"/>
    <x v="0"/>
    <x v="0"/>
    <x v="1"/>
    <x v="151"/>
    <x v="153"/>
    <x v="1"/>
    <x v="152"/>
    <x v="153"/>
    <x v="0"/>
    <x v="153"/>
    <x v="0"/>
    <x v="1"/>
    <x v="0"/>
    <x v="153"/>
    <x v="1"/>
    <x v="0"/>
    <x v="0"/>
    <x v="3"/>
  </r>
  <r>
    <x v="154"/>
    <x v="0"/>
    <x v="2"/>
    <x v="0"/>
    <x v="1"/>
    <x v="2"/>
    <x v="0"/>
    <x v="0"/>
    <x v="0"/>
    <x v="0"/>
    <x v="0"/>
    <x v="0"/>
    <x v="0"/>
    <x v="16"/>
    <x v="154"/>
    <x v="10"/>
    <x v="42"/>
    <x v="0"/>
    <x v="154"/>
    <x v="154"/>
    <x v="85"/>
    <x v="83"/>
    <x v="79"/>
    <x v="116"/>
    <x v="147"/>
    <x v="52"/>
    <x v="88"/>
    <x v="127"/>
    <x v="152"/>
    <x v="154"/>
    <x v="144"/>
    <x v="153"/>
    <x v="154"/>
    <x v="79"/>
    <x v="154"/>
    <x v="0"/>
    <x v="1"/>
    <x v="1"/>
    <x v="154"/>
    <x v="0"/>
    <x v="87"/>
    <x v="0"/>
    <x v="2"/>
  </r>
  <r>
    <x v="155"/>
    <x v="0"/>
    <x v="2"/>
    <x v="1"/>
    <x v="1"/>
    <x v="2"/>
    <x v="0"/>
    <x v="0"/>
    <x v="0"/>
    <x v="0"/>
    <x v="0"/>
    <x v="0"/>
    <x v="0"/>
    <x v="33"/>
    <x v="155"/>
    <x v="9"/>
    <x v="20"/>
    <x v="0"/>
    <x v="155"/>
    <x v="155"/>
    <x v="86"/>
    <x v="84"/>
    <x v="87"/>
    <x v="117"/>
    <x v="148"/>
    <x v="0"/>
    <x v="89"/>
    <x v="128"/>
    <x v="153"/>
    <x v="155"/>
    <x v="145"/>
    <x v="154"/>
    <x v="155"/>
    <x v="87"/>
    <x v="155"/>
    <x v="0"/>
    <x v="1"/>
    <x v="0"/>
    <x v="155"/>
    <x v="0"/>
    <x v="88"/>
    <x v="0"/>
    <x v="3"/>
  </r>
  <r>
    <x v="156"/>
    <x v="0"/>
    <x v="2"/>
    <x v="1"/>
    <x v="1"/>
    <x v="2"/>
    <x v="0"/>
    <x v="0"/>
    <x v="0"/>
    <x v="0"/>
    <x v="0"/>
    <x v="0"/>
    <x v="0"/>
    <x v="22"/>
    <x v="156"/>
    <x v="7"/>
    <x v="27"/>
    <x v="0"/>
    <x v="156"/>
    <x v="156"/>
    <x v="87"/>
    <x v="36"/>
    <x v="88"/>
    <x v="1"/>
    <x v="149"/>
    <x v="0"/>
    <x v="90"/>
    <x v="1"/>
    <x v="154"/>
    <x v="156"/>
    <x v="146"/>
    <x v="155"/>
    <x v="156"/>
    <x v="88"/>
    <x v="156"/>
    <x v="0"/>
    <x v="1"/>
    <x v="0"/>
    <x v="156"/>
    <x v="1"/>
    <x v="89"/>
    <x v="0"/>
    <x v="3"/>
  </r>
  <r>
    <x v="157"/>
    <x v="1"/>
    <x v="2"/>
    <x v="1"/>
    <x v="1"/>
    <x v="2"/>
    <x v="0"/>
    <x v="0"/>
    <x v="0"/>
    <x v="0"/>
    <x v="0"/>
    <x v="0"/>
    <x v="0"/>
    <x v="7"/>
    <x v="157"/>
    <x v="6"/>
    <x v="8"/>
    <x v="0"/>
    <x v="157"/>
    <x v="157"/>
    <x v="88"/>
    <x v="85"/>
    <x v="89"/>
    <x v="118"/>
    <x v="150"/>
    <x v="0"/>
    <x v="91"/>
    <x v="129"/>
    <x v="155"/>
    <x v="157"/>
    <x v="147"/>
    <x v="156"/>
    <x v="157"/>
    <x v="89"/>
    <x v="157"/>
    <x v="0"/>
    <x v="1"/>
    <x v="0"/>
    <x v="157"/>
    <x v="0"/>
    <x v="90"/>
    <x v="0"/>
    <x v="3"/>
  </r>
  <r>
    <x v="158"/>
    <x v="0"/>
    <x v="2"/>
    <x v="0"/>
    <x v="1"/>
    <x v="2"/>
    <x v="0"/>
    <x v="0"/>
    <x v="0"/>
    <x v="0"/>
    <x v="0"/>
    <x v="0"/>
    <x v="0"/>
    <x v="0"/>
    <x v="158"/>
    <x v="0"/>
    <x v="0"/>
    <x v="0"/>
    <x v="158"/>
    <x v="158"/>
    <x v="89"/>
    <x v="86"/>
    <x v="90"/>
    <x v="1"/>
    <x v="151"/>
    <x v="53"/>
    <x v="92"/>
    <x v="130"/>
    <x v="156"/>
    <x v="158"/>
    <x v="148"/>
    <x v="157"/>
    <x v="158"/>
    <x v="90"/>
    <x v="158"/>
    <x v="0"/>
    <x v="1"/>
    <x v="0"/>
    <x v="158"/>
    <x v="0"/>
    <x v="91"/>
    <x v="0"/>
    <x v="3"/>
  </r>
  <r>
    <x v="159"/>
    <x v="1"/>
    <x v="2"/>
    <x v="1"/>
    <x v="1"/>
    <x v="2"/>
    <x v="0"/>
    <x v="0"/>
    <x v="0"/>
    <x v="0"/>
    <x v="0"/>
    <x v="0"/>
    <x v="0"/>
    <x v="14"/>
    <x v="159"/>
    <x v="6"/>
    <x v="29"/>
    <x v="0"/>
    <x v="159"/>
    <x v="159"/>
    <x v="90"/>
    <x v="87"/>
    <x v="91"/>
    <x v="119"/>
    <x v="152"/>
    <x v="54"/>
    <x v="93"/>
    <x v="131"/>
    <x v="157"/>
    <x v="159"/>
    <x v="149"/>
    <x v="158"/>
    <x v="159"/>
    <x v="91"/>
    <x v="159"/>
    <x v="0"/>
    <x v="1"/>
    <x v="0"/>
    <x v="159"/>
    <x v="0"/>
    <x v="92"/>
    <x v="0"/>
    <x v="3"/>
  </r>
  <r>
    <x v="160"/>
    <x v="1"/>
    <x v="2"/>
    <x v="1"/>
    <x v="1"/>
    <x v="2"/>
    <x v="0"/>
    <x v="0"/>
    <x v="0"/>
    <x v="0"/>
    <x v="0"/>
    <x v="0"/>
    <x v="0"/>
    <x v="7"/>
    <x v="160"/>
    <x v="6"/>
    <x v="29"/>
    <x v="0"/>
    <x v="160"/>
    <x v="160"/>
    <x v="91"/>
    <x v="88"/>
    <x v="92"/>
    <x v="120"/>
    <x v="153"/>
    <x v="55"/>
    <x v="94"/>
    <x v="132"/>
    <x v="158"/>
    <x v="160"/>
    <x v="150"/>
    <x v="159"/>
    <x v="160"/>
    <x v="92"/>
    <x v="160"/>
    <x v="0"/>
    <x v="1"/>
    <x v="0"/>
    <x v="160"/>
    <x v="0"/>
    <x v="93"/>
    <x v="0"/>
    <x v="3"/>
  </r>
  <r>
    <x v="161"/>
    <x v="1"/>
    <x v="2"/>
    <x v="1"/>
    <x v="1"/>
    <x v="2"/>
    <x v="0"/>
    <x v="0"/>
    <x v="0"/>
    <x v="0"/>
    <x v="0"/>
    <x v="0"/>
    <x v="0"/>
    <x v="14"/>
    <x v="161"/>
    <x v="6"/>
    <x v="29"/>
    <x v="0"/>
    <x v="161"/>
    <x v="161"/>
    <x v="92"/>
    <x v="89"/>
    <x v="93"/>
    <x v="121"/>
    <x v="154"/>
    <x v="0"/>
    <x v="95"/>
    <x v="133"/>
    <x v="159"/>
    <x v="161"/>
    <x v="151"/>
    <x v="160"/>
    <x v="161"/>
    <x v="93"/>
    <x v="161"/>
    <x v="0"/>
    <x v="1"/>
    <x v="0"/>
    <x v="161"/>
    <x v="0"/>
    <x v="94"/>
    <x v="0"/>
    <x v="3"/>
  </r>
  <r>
    <x v="162"/>
    <x v="0"/>
    <x v="1"/>
    <x v="0"/>
    <x v="1"/>
    <x v="27"/>
    <x v="0"/>
    <x v="0"/>
    <x v="0"/>
    <x v="0"/>
    <x v="0"/>
    <x v="0"/>
    <x v="0"/>
    <x v="22"/>
    <x v="162"/>
    <x v="7"/>
    <x v="27"/>
    <x v="2"/>
    <x v="162"/>
    <x v="162"/>
    <x v="0"/>
    <x v="0"/>
    <x v="0"/>
    <x v="122"/>
    <x v="155"/>
    <x v="0"/>
    <x v="0"/>
    <x v="134"/>
    <x v="160"/>
    <x v="162"/>
    <x v="152"/>
    <x v="161"/>
    <x v="162"/>
    <x v="0"/>
    <x v="162"/>
    <x v="0"/>
    <x v="1"/>
    <x v="0"/>
    <x v="162"/>
    <x v="0"/>
    <x v="0"/>
    <x v="0"/>
    <x v="3"/>
  </r>
  <r>
    <x v="163"/>
    <x v="0"/>
    <x v="2"/>
    <x v="0"/>
    <x v="1"/>
    <x v="2"/>
    <x v="0"/>
    <x v="0"/>
    <x v="0"/>
    <x v="0"/>
    <x v="0"/>
    <x v="0"/>
    <x v="0"/>
    <x v="10"/>
    <x v="163"/>
    <x v="7"/>
    <x v="11"/>
    <x v="0"/>
    <x v="163"/>
    <x v="163"/>
    <x v="93"/>
    <x v="90"/>
    <x v="94"/>
    <x v="123"/>
    <x v="156"/>
    <x v="56"/>
    <x v="96"/>
    <x v="135"/>
    <x v="161"/>
    <x v="163"/>
    <x v="153"/>
    <x v="162"/>
    <x v="163"/>
    <x v="94"/>
    <x v="163"/>
    <x v="0"/>
    <x v="1"/>
    <x v="1"/>
    <x v="163"/>
    <x v="0"/>
    <x v="95"/>
    <x v="0"/>
    <x v="2"/>
  </r>
  <r>
    <x v="164"/>
    <x v="0"/>
    <x v="2"/>
    <x v="1"/>
    <x v="1"/>
    <x v="2"/>
    <x v="0"/>
    <x v="0"/>
    <x v="0"/>
    <x v="0"/>
    <x v="0"/>
    <x v="0"/>
    <x v="0"/>
    <x v="29"/>
    <x v="164"/>
    <x v="0"/>
    <x v="0"/>
    <x v="0"/>
    <x v="164"/>
    <x v="164"/>
    <x v="66"/>
    <x v="66"/>
    <x v="67"/>
    <x v="124"/>
    <x v="157"/>
    <x v="0"/>
    <x v="0"/>
    <x v="136"/>
    <x v="162"/>
    <x v="164"/>
    <x v="154"/>
    <x v="163"/>
    <x v="164"/>
    <x v="67"/>
    <x v="164"/>
    <x v="0"/>
    <x v="1"/>
    <x v="0"/>
    <x v="164"/>
    <x v="0"/>
    <x v="96"/>
    <x v="0"/>
    <x v="3"/>
  </r>
  <r>
    <x v="165"/>
    <x v="0"/>
    <x v="1"/>
    <x v="0"/>
    <x v="1"/>
    <x v="2"/>
    <x v="0"/>
    <x v="0"/>
    <x v="0"/>
    <x v="0"/>
    <x v="0"/>
    <x v="0"/>
    <x v="0"/>
    <x v="2"/>
    <x v="165"/>
    <x v="7"/>
    <x v="16"/>
    <x v="0"/>
    <x v="165"/>
    <x v="165"/>
    <x v="94"/>
    <x v="91"/>
    <x v="95"/>
    <x v="1"/>
    <x v="158"/>
    <x v="0"/>
    <x v="97"/>
    <x v="1"/>
    <x v="163"/>
    <x v="165"/>
    <x v="155"/>
    <x v="164"/>
    <x v="165"/>
    <x v="95"/>
    <x v="165"/>
    <x v="0"/>
    <x v="1"/>
    <x v="1"/>
    <x v="165"/>
    <x v="0"/>
    <x v="97"/>
    <x v="0"/>
    <x v="2"/>
  </r>
  <r>
    <x v="166"/>
    <x v="1"/>
    <x v="2"/>
    <x v="1"/>
    <x v="1"/>
    <x v="2"/>
    <x v="0"/>
    <x v="0"/>
    <x v="0"/>
    <x v="0"/>
    <x v="0"/>
    <x v="0"/>
    <x v="0"/>
    <x v="20"/>
    <x v="166"/>
    <x v="5"/>
    <x v="12"/>
    <x v="0"/>
    <x v="166"/>
    <x v="166"/>
    <x v="95"/>
    <x v="92"/>
    <x v="96"/>
    <x v="125"/>
    <x v="159"/>
    <x v="57"/>
    <x v="98"/>
    <x v="137"/>
    <x v="164"/>
    <x v="166"/>
    <x v="156"/>
    <x v="165"/>
    <x v="166"/>
    <x v="96"/>
    <x v="166"/>
    <x v="0"/>
    <x v="1"/>
    <x v="0"/>
    <x v="166"/>
    <x v="0"/>
    <x v="98"/>
    <x v="0"/>
    <x v="3"/>
  </r>
  <r>
    <x v="167"/>
    <x v="1"/>
    <x v="2"/>
    <x v="1"/>
    <x v="1"/>
    <x v="2"/>
    <x v="0"/>
    <x v="0"/>
    <x v="0"/>
    <x v="0"/>
    <x v="0"/>
    <x v="0"/>
    <x v="0"/>
    <x v="9"/>
    <x v="167"/>
    <x v="1"/>
    <x v="10"/>
    <x v="0"/>
    <x v="167"/>
    <x v="167"/>
    <x v="0"/>
    <x v="0"/>
    <x v="0"/>
    <x v="1"/>
    <x v="160"/>
    <x v="0"/>
    <x v="0"/>
    <x v="1"/>
    <x v="165"/>
    <x v="167"/>
    <x v="1"/>
    <x v="166"/>
    <x v="167"/>
    <x v="0"/>
    <x v="167"/>
    <x v="0"/>
    <x v="1"/>
    <x v="0"/>
    <x v="167"/>
    <x v="1"/>
    <x v="0"/>
    <x v="0"/>
    <x v="3"/>
  </r>
  <r>
    <x v="168"/>
    <x v="0"/>
    <x v="0"/>
    <x v="0"/>
    <x v="1"/>
    <x v="28"/>
    <x v="0"/>
    <x v="0"/>
    <x v="0"/>
    <x v="0"/>
    <x v="0"/>
    <x v="0"/>
    <x v="0"/>
    <x v="34"/>
    <x v="168"/>
    <x v="0"/>
    <x v="18"/>
    <x v="0"/>
    <x v="168"/>
    <x v="168"/>
    <x v="0"/>
    <x v="0"/>
    <x v="0"/>
    <x v="126"/>
    <x v="161"/>
    <x v="0"/>
    <x v="0"/>
    <x v="138"/>
    <x v="166"/>
    <x v="168"/>
    <x v="157"/>
    <x v="167"/>
    <x v="168"/>
    <x v="0"/>
    <x v="168"/>
    <x v="0"/>
    <x v="1"/>
    <x v="0"/>
    <x v="168"/>
    <x v="0"/>
    <x v="0"/>
    <x v="0"/>
    <x v="3"/>
  </r>
  <r>
    <x v="169"/>
    <x v="0"/>
    <x v="2"/>
    <x v="0"/>
    <x v="1"/>
    <x v="2"/>
    <x v="0"/>
    <x v="0"/>
    <x v="0"/>
    <x v="0"/>
    <x v="0"/>
    <x v="0"/>
    <x v="0"/>
    <x v="8"/>
    <x v="169"/>
    <x v="7"/>
    <x v="9"/>
    <x v="0"/>
    <x v="169"/>
    <x v="169"/>
    <x v="96"/>
    <x v="93"/>
    <x v="97"/>
    <x v="127"/>
    <x v="162"/>
    <x v="58"/>
    <x v="99"/>
    <x v="139"/>
    <x v="167"/>
    <x v="169"/>
    <x v="158"/>
    <x v="168"/>
    <x v="169"/>
    <x v="97"/>
    <x v="169"/>
    <x v="0"/>
    <x v="1"/>
    <x v="1"/>
    <x v="169"/>
    <x v="0"/>
    <x v="99"/>
    <x v="0"/>
    <x v="2"/>
  </r>
  <r>
    <x v="170"/>
    <x v="0"/>
    <x v="2"/>
    <x v="1"/>
    <x v="1"/>
    <x v="2"/>
    <x v="0"/>
    <x v="0"/>
    <x v="0"/>
    <x v="0"/>
    <x v="0"/>
    <x v="0"/>
    <x v="0"/>
    <x v="35"/>
    <x v="170"/>
    <x v="2"/>
    <x v="2"/>
    <x v="0"/>
    <x v="170"/>
    <x v="170"/>
    <x v="97"/>
    <x v="0"/>
    <x v="98"/>
    <x v="128"/>
    <x v="163"/>
    <x v="0"/>
    <x v="100"/>
    <x v="140"/>
    <x v="168"/>
    <x v="170"/>
    <x v="159"/>
    <x v="169"/>
    <x v="170"/>
    <x v="98"/>
    <x v="170"/>
    <x v="0"/>
    <x v="1"/>
    <x v="0"/>
    <x v="170"/>
    <x v="0"/>
    <x v="100"/>
    <x v="0"/>
    <x v="3"/>
  </r>
  <r>
    <x v="171"/>
    <x v="0"/>
    <x v="2"/>
    <x v="0"/>
    <x v="1"/>
    <x v="29"/>
    <x v="2"/>
    <x v="0"/>
    <x v="0"/>
    <x v="0"/>
    <x v="0"/>
    <x v="0"/>
    <x v="0"/>
    <x v="0"/>
    <x v="171"/>
    <x v="3"/>
    <x v="3"/>
    <x v="1"/>
    <x v="171"/>
    <x v="171"/>
    <x v="98"/>
    <x v="94"/>
    <x v="99"/>
    <x v="129"/>
    <x v="164"/>
    <x v="59"/>
    <x v="101"/>
    <x v="141"/>
    <x v="169"/>
    <x v="171"/>
    <x v="160"/>
    <x v="170"/>
    <x v="171"/>
    <x v="99"/>
    <x v="171"/>
    <x v="0"/>
    <x v="1"/>
    <x v="0"/>
    <x v="171"/>
    <x v="0"/>
    <x v="101"/>
    <x v="0"/>
    <x v="3"/>
  </r>
  <r>
    <x v="172"/>
    <x v="0"/>
    <x v="2"/>
    <x v="1"/>
    <x v="1"/>
    <x v="2"/>
    <x v="0"/>
    <x v="0"/>
    <x v="0"/>
    <x v="0"/>
    <x v="0"/>
    <x v="0"/>
    <x v="0"/>
    <x v="22"/>
    <x v="172"/>
    <x v="9"/>
    <x v="22"/>
    <x v="0"/>
    <x v="172"/>
    <x v="172"/>
    <x v="0"/>
    <x v="0"/>
    <x v="0"/>
    <x v="130"/>
    <x v="165"/>
    <x v="0"/>
    <x v="0"/>
    <x v="142"/>
    <x v="170"/>
    <x v="172"/>
    <x v="161"/>
    <x v="171"/>
    <x v="172"/>
    <x v="0"/>
    <x v="172"/>
    <x v="0"/>
    <x v="1"/>
    <x v="0"/>
    <x v="172"/>
    <x v="0"/>
    <x v="0"/>
    <x v="0"/>
    <x v="3"/>
  </r>
  <r>
    <x v="173"/>
    <x v="0"/>
    <x v="0"/>
    <x v="0"/>
    <x v="1"/>
    <x v="30"/>
    <x v="0"/>
    <x v="0"/>
    <x v="0"/>
    <x v="0"/>
    <x v="0"/>
    <x v="0"/>
    <x v="0"/>
    <x v="1"/>
    <x v="173"/>
    <x v="1"/>
    <x v="13"/>
    <x v="1"/>
    <x v="173"/>
    <x v="173"/>
    <x v="99"/>
    <x v="95"/>
    <x v="100"/>
    <x v="1"/>
    <x v="71"/>
    <x v="60"/>
    <x v="102"/>
    <x v="143"/>
    <x v="171"/>
    <x v="173"/>
    <x v="162"/>
    <x v="172"/>
    <x v="173"/>
    <x v="100"/>
    <x v="173"/>
    <x v="0"/>
    <x v="1"/>
    <x v="0"/>
    <x v="173"/>
    <x v="0"/>
    <x v="102"/>
    <x v="0"/>
    <x v="3"/>
  </r>
  <r>
    <x v="174"/>
    <x v="1"/>
    <x v="2"/>
    <x v="1"/>
    <x v="1"/>
    <x v="2"/>
    <x v="0"/>
    <x v="0"/>
    <x v="0"/>
    <x v="0"/>
    <x v="0"/>
    <x v="0"/>
    <x v="0"/>
    <x v="16"/>
    <x v="174"/>
    <x v="10"/>
    <x v="41"/>
    <x v="0"/>
    <x v="174"/>
    <x v="174"/>
    <x v="100"/>
    <x v="96"/>
    <x v="101"/>
    <x v="131"/>
    <x v="166"/>
    <x v="61"/>
    <x v="103"/>
    <x v="144"/>
    <x v="172"/>
    <x v="174"/>
    <x v="163"/>
    <x v="173"/>
    <x v="174"/>
    <x v="101"/>
    <x v="174"/>
    <x v="0"/>
    <x v="1"/>
    <x v="0"/>
    <x v="174"/>
    <x v="0"/>
    <x v="103"/>
    <x v="0"/>
    <x v="3"/>
  </r>
  <r>
    <x v="175"/>
    <x v="0"/>
    <x v="2"/>
    <x v="0"/>
    <x v="1"/>
    <x v="2"/>
    <x v="0"/>
    <x v="0"/>
    <x v="0"/>
    <x v="0"/>
    <x v="0"/>
    <x v="0"/>
    <x v="0"/>
    <x v="8"/>
    <x v="175"/>
    <x v="7"/>
    <x v="9"/>
    <x v="0"/>
    <x v="175"/>
    <x v="175"/>
    <x v="101"/>
    <x v="97"/>
    <x v="102"/>
    <x v="132"/>
    <x v="167"/>
    <x v="62"/>
    <x v="104"/>
    <x v="145"/>
    <x v="173"/>
    <x v="175"/>
    <x v="164"/>
    <x v="174"/>
    <x v="175"/>
    <x v="102"/>
    <x v="175"/>
    <x v="0"/>
    <x v="1"/>
    <x v="1"/>
    <x v="175"/>
    <x v="0"/>
    <x v="104"/>
    <x v="0"/>
    <x v="2"/>
  </r>
  <r>
    <x v="176"/>
    <x v="0"/>
    <x v="2"/>
    <x v="1"/>
    <x v="1"/>
    <x v="2"/>
    <x v="0"/>
    <x v="0"/>
    <x v="0"/>
    <x v="0"/>
    <x v="0"/>
    <x v="0"/>
    <x v="0"/>
    <x v="36"/>
    <x v="176"/>
    <x v="7"/>
    <x v="27"/>
    <x v="0"/>
    <x v="176"/>
    <x v="176"/>
    <x v="0"/>
    <x v="0"/>
    <x v="0"/>
    <x v="133"/>
    <x v="168"/>
    <x v="0"/>
    <x v="0"/>
    <x v="146"/>
    <x v="174"/>
    <x v="176"/>
    <x v="165"/>
    <x v="175"/>
    <x v="176"/>
    <x v="0"/>
    <x v="176"/>
    <x v="0"/>
    <x v="1"/>
    <x v="0"/>
    <x v="176"/>
    <x v="0"/>
    <x v="0"/>
    <x v="0"/>
    <x v="3"/>
  </r>
  <r>
    <x v="177"/>
    <x v="0"/>
    <x v="1"/>
    <x v="2"/>
    <x v="24"/>
    <x v="2"/>
    <x v="0"/>
    <x v="0"/>
    <x v="0"/>
    <x v="0"/>
    <x v="0"/>
    <x v="0"/>
    <x v="0"/>
    <x v="12"/>
    <x v="177"/>
    <x v="7"/>
    <x v="16"/>
    <x v="0"/>
    <x v="177"/>
    <x v="177"/>
    <x v="102"/>
    <x v="98"/>
    <x v="103"/>
    <x v="134"/>
    <x v="169"/>
    <x v="63"/>
    <x v="105"/>
    <x v="147"/>
    <x v="175"/>
    <x v="177"/>
    <x v="166"/>
    <x v="176"/>
    <x v="177"/>
    <x v="103"/>
    <x v="177"/>
    <x v="0"/>
    <x v="1"/>
    <x v="1"/>
    <x v="177"/>
    <x v="0"/>
    <x v="105"/>
    <x v="0"/>
    <x v="2"/>
  </r>
  <r>
    <x v="178"/>
    <x v="1"/>
    <x v="2"/>
    <x v="1"/>
    <x v="1"/>
    <x v="2"/>
    <x v="0"/>
    <x v="0"/>
    <x v="0"/>
    <x v="0"/>
    <x v="0"/>
    <x v="0"/>
    <x v="0"/>
    <x v="6"/>
    <x v="178"/>
    <x v="5"/>
    <x v="24"/>
    <x v="0"/>
    <x v="178"/>
    <x v="178"/>
    <x v="103"/>
    <x v="99"/>
    <x v="104"/>
    <x v="1"/>
    <x v="71"/>
    <x v="64"/>
    <x v="106"/>
    <x v="148"/>
    <x v="176"/>
    <x v="178"/>
    <x v="167"/>
    <x v="177"/>
    <x v="178"/>
    <x v="104"/>
    <x v="178"/>
    <x v="0"/>
    <x v="1"/>
    <x v="0"/>
    <x v="178"/>
    <x v="0"/>
    <x v="106"/>
    <x v="0"/>
    <x v="3"/>
  </r>
  <r>
    <x v="179"/>
    <x v="1"/>
    <x v="2"/>
    <x v="1"/>
    <x v="1"/>
    <x v="2"/>
    <x v="0"/>
    <x v="0"/>
    <x v="0"/>
    <x v="0"/>
    <x v="0"/>
    <x v="0"/>
    <x v="0"/>
    <x v="16"/>
    <x v="179"/>
    <x v="10"/>
    <x v="21"/>
    <x v="0"/>
    <x v="179"/>
    <x v="179"/>
    <x v="104"/>
    <x v="100"/>
    <x v="105"/>
    <x v="135"/>
    <x v="170"/>
    <x v="65"/>
    <x v="107"/>
    <x v="149"/>
    <x v="177"/>
    <x v="179"/>
    <x v="168"/>
    <x v="178"/>
    <x v="179"/>
    <x v="105"/>
    <x v="179"/>
    <x v="0"/>
    <x v="1"/>
    <x v="0"/>
    <x v="179"/>
    <x v="0"/>
    <x v="107"/>
    <x v="0"/>
    <x v="3"/>
  </r>
  <r>
    <x v="180"/>
    <x v="1"/>
    <x v="2"/>
    <x v="1"/>
    <x v="1"/>
    <x v="2"/>
    <x v="0"/>
    <x v="0"/>
    <x v="0"/>
    <x v="0"/>
    <x v="0"/>
    <x v="0"/>
    <x v="0"/>
    <x v="9"/>
    <x v="180"/>
    <x v="1"/>
    <x v="10"/>
    <x v="0"/>
    <x v="180"/>
    <x v="180"/>
    <x v="0"/>
    <x v="0"/>
    <x v="0"/>
    <x v="136"/>
    <x v="171"/>
    <x v="0"/>
    <x v="0"/>
    <x v="150"/>
    <x v="178"/>
    <x v="180"/>
    <x v="169"/>
    <x v="179"/>
    <x v="180"/>
    <x v="0"/>
    <x v="180"/>
    <x v="0"/>
    <x v="1"/>
    <x v="0"/>
    <x v="180"/>
    <x v="0"/>
    <x v="0"/>
    <x v="0"/>
    <x v="3"/>
  </r>
  <r>
    <x v="181"/>
    <x v="1"/>
    <x v="2"/>
    <x v="1"/>
    <x v="1"/>
    <x v="2"/>
    <x v="0"/>
    <x v="0"/>
    <x v="0"/>
    <x v="0"/>
    <x v="0"/>
    <x v="0"/>
    <x v="0"/>
    <x v="16"/>
    <x v="181"/>
    <x v="10"/>
    <x v="42"/>
    <x v="0"/>
    <x v="181"/>
    <x v="181"/>
    <x v="0"/>
    <x v="0"/>
    <x v="0"/>
    <x v="137"/>
    <x v="172"/>
    <x v="0"/>
    <x v="0"/>
    <x v="151"/>
    <x v="179"/>
    <x v="181"/>
    <x v="170"/>
    <x v="180"/>
    <x v="181"/>
    <x v="0"/>
    <x v="181"/>
    <x v="0"/>
    <x v="1"/>
    <x v="0"/>
    <x v="181"/>
    <x v="0"/>
    <x v="0"/>
    <x v="0"/>
    <x v="3"/>
  </r>
  <r>
    <x v="182"/>
    <x v="0"/>
    <x v="2"/>
    <x v="0"/>
    <x v="1"/>
    <x v="2"/>
    <x v="2"/>
    <x v="0"/>
    <x v="0"/>
    <x v="0"/>
    <x v="0"/>
    <x v="0"/>
    <x v="0"/>
    <x v="10"/>
    <x v="182"/>
    <x v="7"/>
    <x v="11"/>
    <x v="2"/>
    <x v="182"/>
    <x v="182"/>
    <x v="105"/>
    <x v="101"/>
    <x v="106"/>
    <x v="138"/>
    <x v="158"/>
    <x v="66"/>
    <x v="108"/>
    <x v="152"/>
    <x v="180"/>
    <x v="182"/>
    <x v="171"/>
    <x v="181"/>
    <x v="182"/>
    <x v="106"/>
    <x v="182"/>
    <x v="0"/>
    <x v="1"/>
    <x v="0"/>
    <x v="182"/>
    <x v="0"/>
    <x v="108"/>
    <x v="0"/>
    <x v="3"/>
  </r>
  <r>
    <x v="183"/>
    <x v="1"/>
    <x v="2"/>
    <x v="1"/>
    <x v="1"/>
    <x v="2"/>
    <x v="0"/>
    <x v="0"/>
    <x v="0"/>
    <x v="0"/>
    <x v="0"/>
    <x v="0"/>
    <x v="0"/>
    <x v="1"/>
    <x v="183"/>
    <x v="1"/>
    <x v="1"/>
    <x v="1"/>
    <x v="183"/>
    <x v="183"/>
    <x v="0"/>
    <x v="0"/>
    <x v="0"/>
    <x v="139"/>
    <x v="173"/>
    <x v="0"/>
    <x v="0"/>
    <x v="153"/>
    <x v="138"/>
    <x v="183"/>
    <x v="172"/>
    <x v="182"/>
    <x v="183"/>
    <x v="0"/>
    <x v="183"/>
    <x v="0"/>
    <x v="1"/>
    <x v="0"/>
    <x v="183"/>
    <x v="0"/>
    <x v="0"/>
    <x v="0"/>
    <x v="3"/>
  </r>
  <r>
    <x v="184"/>
    <x v="1"/>
    <x v="2"/>
    <x v="1"/>
    <x v="1"/>
    <x v="2"/>
    <x v="0"/>
    <x v="0"/>
    <x v="0"/>
    <x v="0"/>
    <x v="0"/>
    <x v="0"/>
    <x v="0"/>
    <x v="1"/>
    <x v="184"/>
    <x v="1"/>
    <x v="6"/>
    <x v="0"/>
    <x v="184"/>
    <x v="184"/>
    <x v="0"/>
    <x v="0"/>
    <x v="0"/>
    <x v="140"/>
    <x v="174"/>
    <x v="0"/>
    <x v="0"/>
    <x v="154"/>
    <x v="144"/>
    <x v="184"/>
    <x v="173"/>
    <x v="183"/>
    <x v="184"/>
    <x v="0"/>
    <x v="184"/>
    <x v="0"/>
    <x v="1"/>
    <x v="0"/>
    <x v="184"/>
    <x v="0"/>
    <x v="0"/>
    <x v="0"/>
    <x v="3"/>
  </r>
  <r>
    <x v="185"/>
    <x v="0"/>
    <x v="2"/>
    <x v="0"/>
    <x v="1"/>
    <x v="2"/>
    <x v="0"/>
    <x v="0"/>
    <x v="0"/>
    <x v="0"/>
    <x v="0"/>
    <x v="0"/>
    <x v="0"/>
    <x v="37"/>
    <x v="185"/>
    <x v="7"/>
    <x v="16"/>
    <x v="1"/>
    <x v="185"/>
    <x v="185"/>
    <x v="106"/>
    <x v="102"/>
    <x v="107"/>
    <x v="1"/>
    <x v="71"/>
    <x v="67"/>
    <x v="109"/>
    <x v="155"/>
    <x v="181"/>
    <x v="185"/>
    <x v="174"/>
    <x v="184"/>
    <x v="185"/>
    <x v="107"/>
    <x v="185"/>
    <x v="0"/>
    <x v="1"/>
    <x v="0"/>
    <x v="185"/>
    <x v="0"/>
    <x v="109"/>
    <x v="0"/>
    <x v="3"/>
  </r>
  <r>
    <x v="186"/>
    <x v="2"/>
    <x v="1"/>
    <x v="0"/>
    <x v="1"/>
    <x v="2"/>
    <x v="1"/>
    <x v="0"/>
    <x v="0"/>
    <x v="0"/>
    <x v="0"/>
    <x v="0"/>
    <x v="0"/>
    <x v="11"/>
    <x v="186"/>
    <x v="8"/>
    <x v="14"/>
    <x v="0"/>
    <x v="186"/>
    <x v="186"/>
    <x v="0"/>
    <x v="0"/>
    <x v="0"/>
    <x v="1"/>
    <x v="175"/>
    <x v="0"/>
    <x v="0"/>
    <x v="1"/>
    <x v="182"/>
    <x v="186"/>
    <x v="1"/>
    <x v="185"/>
    <x v="186"/>
    <x v="0"/>
    <x v="186"/>
    <x v="0"/>
    <x v="1"/>
    <x v="0"/>
    <x v="186"/>
    <x v="1"/>
    <x v="0"/>
    <x v="0"/>
    <x v="3"/>
  </r>
  <r>
    <x v="187"/>
    <x v="0"/>
    <x v="2"/>
    <x v="1"/>
    <x v="1"/>
    <x v="2"/>
    <x v="0"/>
    <x v="0"/>
    <x v="0"/>
    <x v="0"/>
    <x v="0"/>
    <x v="0"/>
    <x v="0"/>
    <x v="8"/>
    <x v="187"/>
    <x v="7"/>
    <x v="9"/>
    <x v="0"/>
    <x v="187"/>
    <x v="187"/>
    <x v="107"/>
    <x v="103"/>
    <x v="108"/>
    <x v="1"/>
    <x v="71"/>
    <x v="68"/>
    <x v="110"/>
    <x v="156"/>
    <x v="183"/>
    <x v="187"/>
    <x v="175"/>
    <x v="186"/>
    <x v="187"/>
    <x v="108"/>
    <x v="187"/>
    <x v="0"/>
    <x v="1"/>
    <x v="0"/>
    <x v="187"/>
    <x v="0"/>
    <x v="110"/>
    <x v="0"/>
    <x v="3"/>
  </r>
  <r>
    <x v="188"/>
    <x v="0"/>
    <x v="2"/>
    <x v="1"/>
    <x v="1"/>
    <x v="2"/>
    <x v="0"/>
    <x v="0"/>
    <x v="0"/>
    <x v="0"/>
    <x v="0"/>
    <x v="0"/>
    <x v="0"/>
    <x v="11"/>
    <x v="188"/>
    <x v="8"/>
    <x v="43"/>
    <x v="0"/>
    <x v="188"/>
    <x v="188"/>
    <x v="97"/>
    <x v="0"/>
    <x v="98"/>
    <x v="141"/>
    <x v="176"/>
    <x v="69"/>
    <x v="111"/>
    <x v="157"/>
    <x v="184"/>
    <x v="188"/>
    <x v="176"/>
    <x v="187"/>
    <x v="188"/>
    <x v="98"/>
    <x v="188"/>
    <x v="0"/>
    <x v="1"/>
    <x v="0"/>
    <x v="188"/>
    <x v="0"/>
    <x v="111"/>
    <x v="0"/>
    <x v="3"/>
  </r>
  <r>
    <x v="189"/>
    <x v="1"/>
    <x v="2"/>
    <x v="1"/>
    <x v="1"/>
    <x v="2"/>
    <x v="0"/>
    <x v="0"/>
    <x v="0"/>
    <x v="0"/>
    <x v="0"/>
    <x v="0"/>
    <x v="0"/>
    <x v="6"/>
    <x v="189"/>
    <x v="5"/>
    <x v="7"/>
    <x v="0"/>
    <x v="189"/>
    <x v="189"/>
    <x v="0"/>
    <x v="0"/>
    <x v="0"/>
    <x v="142"/>
    <x v="177"/>
    <x v="0"/>
    <x v="0"/>
    <x v="158"/>
    <x v="185"/>
    <x v="189"/>
    <x v="177"/>
    <x v="188"/>
    <x v="189"/>
    <x v="0"/>
    <x v="189"/>
    <x v="0"/>
    <x v="1"/>
    <x v="0"/>
    <x v="189"/>
    <x v="0"/>
    <x v="0"/>
    <x v="0"/>
    <x v="3"/>
  </r>
  <r>
    <x v="190"/>
    <x v="1"/>
    <x v="2"/>
    <x v="1"/>
    <x v="1"/>
    <x v="2"/>
    <x v="0"/>
    <x v="0"/>
    <x v="0"/>
    <x v="0"/>
    <x v="0"/>
    <x v="0"/>
    <x v="0"/>
    <x v="25"/>
    <x v="190"/>
    <x v="1"/>
    <x v="4"/>
    <x v="0"/>
    <x v="190"/>
    <x v="190"/>
    <x v="0"/>
    <x v="0"/>
    <x v="0"/>
    <x v="143"/>
    <x v="178"/>
    <x v="0"/>
    <x v="0"/>
    <x v="159"/>
    <x v="186"/>
    <x v="190"/>
    <x v="178"/>
    <x v="189"/>
    <x v="190"/>
    <x v="0"/>
    <x v="190"/>
    <x v="0"/>
    <x v="1"/>
    <x v="0"/>
    <x v="190"/>
    <x v="0"/>
    <x v="0"/>
    <x v="0"/>
    <x v="3"/>
  </r>
  <r>
    <x v="191"/>
    <x v="0"/>
    <x v="2"/>
    <x v="1"/>
    <x v="1"/>
    <x v="2"/>
    <x v="2"/>
    <x v="0"/>
    <x v="0"/>
    <x v="0"/>
    <x v="0"/>
    <x v="0"/>
    <x v="0"/>
    <x v="8"/>
    <x v="191"/>
    <x v="7"/>
    <x v="38"/>
    <x v="0"/>
    <x v="191"/>
    <x v="191"/>
    <x v="108"/>
    <x v="104"/>
    <x v="109"/>
    <x v="144"/>
    <x v="179"/>
    <x v="70"/>
    <x v="112"/>
    <x v="160"/>
    <x v="187"/>
    <x v="191"/>
    <x v="179"/>
    <x v="190"/>
    <x v="191"/>
    <x v="109"/>
    <x v="191"/>
    <x v="0"/>
    <x v="1"/>
    <x v="0"/>
    <x v="191"/>
    <x v="0"/>
    <x v="112"/>
    <x v="0"/>
    <x v="3"/>
  </r>
  <r>
    <x v="192"/>
    <x v="1"/>
    <x v="2"/>
    <x v="1"/>
    <x v="1"/>
    <x v="2"/>
    <x v="0"/>
    <x v="0"/>
    <x v="0"/>
    <x v="0"/>
    <x v="0"/>
    <x v="0"/>
    <x v="0"/>
    <x v="14"/>
    <x v="192"/>
    <x v="6"/>
    <x v="29"/>
    <x v="0"/>
    <x v="192"/>
    <x v="192"/>
    <x v="109"/>
    <x v="105"/>
    <x v="110"/>
    <x v="145"/>
    <x v="180"/>
    <x v="71"/>
    <x v="113"/>
    <x v="161"/>
    <x v="188"/>
    <x v="192"/>
    <x v="180"/>
    <x v="191"/>
    <x v="192"/>
    <x v="110"/>
    <x v="192"/>
    <x v="0"/>
    <x v="1"/>
    <x v="0"/>
    <x v="192"/>
    <x v="0"/>
    <x v="113"/>
    <x v="0"/>
    <x v="3"/>
  </r>
  <r>
    <x v="193"/>
    <x v="1"/>
    <x v="2"/>
    <x v="1"/>
    <x v="1"/>
    <x v="2"/>
    <x v="0"/>
    <x v="0"/>
    <x v="0"/>
    <x v="0"/>
    <x v="0"/>
    <x v="0"/>
    <x v="0"/>
    <x v="6"/>
    <x v="193"/>
    <x v="5"/>
    <x v="19"/>
    <x v="0"/>
    <x v="193"/>
    <x v="193"/>
    <x v="110"/>
    <x v="42"/>
    <x v="111"/>
    <x v="146"/>
    <x v="181"/>
    <x v="72"/>
    <x v="114"/>
    <x v="162"/>
    <x v="189"/>
    <x v="193"/>
    <x v="181"/>
    <x v="192"/>
    <x v="193"/>
    <x v="111"/>
    <x v="193"/>
    <x v="0"/>
    <x v="1"/>
    <x v="0"/>
    <x v="193"/>
    <x v="0"/>
    <x v="114"/>
    <x v="0"/>
    <x v="3"/>
  </r>
  <r>
    <x v="194"/>
    <x v="0"/>
    <x v="2"/>
    <x v="3"/>
    <x v="1"/>
    <x v="2"/>
    <x v="0"/>
    <x v="0"/>
    <x v="0"/>
    <x v="0"/>
    <x v="0"/>
    <x v="0"/>
    <x v="0"/>
    <x v="10"/>
    <x v="194"/>
    <x v="7"/>
    <x v="11"/>
    <x v="0"/>
    <x v="194"/>
    <x v="194"/>
    <x v="111"/>
    <x v="106"/>
    <x v="112"/>
    <x v="147"/>
    <x v="182"/>
    <x v="73"/>
    <x v="115"/>
    <x v="163"/>
    <x v="190"/>
    <x v="194"/>
    <x v="182"/>
    <x v="193"/>
    <x v="194"/>
    <x v="112"/>
    <x v="194"/>
    <x v="0"/>
    <x v="1"/>
    <x v="0"/>
    <x v="194"/>
    <x v="0"/>
    <x v="115"/>
    <x v="0"/>
    <x v="3"/>
  </r>
  <r>
    <x v="195"/>
    <x v="0"/>
    <x v="2"/>
    <x v="1"/>
    <x v="1"/>
    <x v="2"/>
    <x v="0"/>
    <x v="0"/>
    <x v="0"/>
    <x v="0"/>
    <x v="0"/>
    <x v="0"/>
    <x v="0"/>
    <x v="18"/>
    <x v="195"/>
    <x v="2"/>
    <x v="2"/>
    <x v="0"/>
    <x v="195"/>
    <x v="195"/>
    <x v="35"/>
    <x v="107"/>
    <x v="113"/>
    <x v="148"/>
    <x v="183"/>
    <x v="0"/>
    <x v="116"/>
    <x v="164"/>
    <x v="191"/>
    <x v="195"/>
    <x v="183"/>
    <x v="194"/>
    <x v="195"/>
    <x v="113"/>
    <x v="195"/>
    <x v="0"/>
    <x v="1"/>
    <x v="0"/>
    <x v="195"/>
    <x v="0"/>
    <x v="116"/>
    <x v="0"/>
    <x v="3"/>
  </r>
  <r>
    <x v="196"/>
    <x v="1"/>
    <x v="2"/>
    <x v="1"/>
    <x v="1"/>
    <x v="2"/>
    <x v="0"/>
    <x v="0"/>
    <x v="0"/>
    <x v="0"/>
    <x v="0"/>
    <x v="0"/>
    <x v="0"/>
    <x v="16"/>
    <x v="196"/>
    <x v="10"/>
    <x v="44"/>
    <x v="0"/>
    <x v="196"/>
    <x v="196"/>
    <x v="112"/>
    <x v="108"/>
    <x v="114"/>
    <x v="149"/>
    <x v="184"/>
    <x v="74"/>
    <x v="117"/>
    <x v="165"/>
    <x v="192"/>
    <x v="196"/>
    <x v="184"/>
    <x v="195"/>
    <x v="196"/>
    <x v="114"/>
    <x v="196"/>
    <x v="0"/>
    <x v="1"/>
    <x v="0"/>
    <x v="196"/>
    <x v="0"/>
    <x v="117"/>
    <x v="0"/>
    <x v="3"/>
  </r>
  <r>
    <x v="197"/>
    <x v="1"/>
    <x v="2"/>
    <x v="1"/>
    <x v="1"/>
    <x v="2"/>
    <x v="0"/>
    <x v="0"/>
    <x v="0"/>
    <x v="0"/>
    <x v="0"/>
    <x v="0"/>
    <x v="0"/>
    <x v="7"/>
    <x v="197"/>
    <x v="6"/>
    <x v="29"/>
    <x v="0"/>
    <x v="197"/>
    <x v="197"/>
    <x v="113"/>
    <x v="109"/>
    <x v="115"/>
    <x v="150"/>
    <x v="185"/>
    <x v="0"/>
    <x v="53"/>
    <x v="166"/>
    <x v="193"/>
    <x v="197"/>
    <x v="185"/>
    <x v="196"/>
    <x v="197"/>
    <x v="115"/>
    <x v="197"/>
    <x v="0"/>
    <x v="1"/>
    <x v="0"/>
    <x v="197"/>
    <x v="0"/>
    <x v="118"/>
    <x v="0"/>
    <x v="3"/>
  </r>
  <r>
    <x v="198"/>
    <x v="1"/>
    <x v="2"/>
    <x v="1"/>
    <x v="1"/>
    <x v="2"/>
    <x v="0"/>
    <x v="0"/>
    <x v="0"/>
    <x v="0"/>
    <x v="0"/>
    <x v="0"/>
    <x v="0"/>
    <x v="29"/>
    <x v="198"/>
    <x v="15"/>
    <x v="45"/>
    <x v="0"/>
    <x v="198"/>
    <x v="198"/>
    <x v="114"/>
    <x v="85"/>
    <x v="116"/>
    <x v="151"/>
    <x v="186"/>
    <x v="0"/>
    <x v="118"/>
    <x v="167"/>
    <x v="194"/>
    <x v="198"/>
    <x v="186"/>
    <x v="197"/>
    <x v="198"/>
    <x v="116"/>
    <x v="198"/>
    <x v="0"/>
    <x v="1"/>
    <x v="0"/>
    <x v="198"/>
    <x v="0"/>
    <x v="119"/>
    <x v="0"/>
    <x v="3"/>
  </r>
  <r>
    <x v="199"/>
    <x v="0"/>
    <x v="2"/>
    <x v="1"/>
    <x v="1"/>
    <x v="2"/>
    <x v="0"/>
    <x v="0"/>
    <x v="0"/>
    <x v="0"/>
    <x v="0"/>
    <x v="0"/>
    <x v="0"/>
    <x v="10"/>
    <x v="199"/>
    <x v="7"/>
    <x v="11"/>
    <x v="0"/>
    <x v="199"/>
    <x v="199"/>
    <x v="115"/>
    <x v="110"/>
    <x v="117"/>
    <x v="152"/>
    <x v="187"/>
    <x v="75"/>
    <x v="119"/>
    <x v="168"/>
    <x v="195"/>
    <x v="199"/>
    <x v="187"/>
    <x v="198"/>
    <x v="199"/>
    <x v="117"/>
    <x v="199"/>
    <x v="0"/>
    <x v="1"/>
    <x v="0"/>
    <x v="199"/>
    <x v="0"/>
    <x v="120"/>
    <x v="0"/>
    <x v="3"/>
  </r>
  <r>
    <x v="200"/>
    <x v="0"/>
    <x v="2"/>
    <x v="1"/>
    <x v="1"/>
    <x v="2"/>
    <x v="0"/>
    <x v="0"/>
    <x v="0"/>
    <x v="0"/>
    <x v="0"/>
    <x v="0"/>
    <x v="0"/>
    <x v="7"/>
    <x v="200"/>
    <x v="2"/>
    <x v="46"/>
    <x v="0"/>
    <x v="200"/>
    <x v="200"/>
    <x v="0"/>
    <x v="0"/>
    <x v="0"/>
    <x v="153"/>
    <x v="188"/>
    <x v="0"/>
    <x v="0"/>
    <x v="160"/>
    <x v="196"/>
    <x v="200"/>
    <x v="188"/>
    <x v="199"/>
    <x v="200"/>
    <x v="0"/>
    <x v="200"/>
    <x v="0"/>
    <x v="1"/>
    <x v="0"/>
    <x v="200"/>
    <x v="0"/>
    <x v="0"/>
    <x v="0"/>
    <x v="3"/>
  </r>
  <r>
    <x v="201"/>
    <x v="0"/>
    <x v="2"/>
    <x v="0"/>
    <x v="1"/>
    <x v="2"/>
    <x v="0"/>
    <x v="0"/>
    <x v="0"/>
    <x v="0"/>
    <x v="0"/>
    <x v="0"/>
    <x v="0"/>
    <x v="0"/>
    <x v="201"/>
    <x v="0"/>
    <x v="0"/>
    <x v="0"/>
    <x v="201"/>
    <x v="201"/>
    <x v="116"/>
    <x v="111"/>
    <x v="118"/>
    <x v="1"/>
    <x v="189"/>
    <x v="0"/>
    <x v="120"/>
    <x v="1"/>
    <x v="197"/>
    <x v="201"/>
    <x v="189"/>
    <x v="200"/>
    <x v="201"/>
    <x v="118"/>
    <x v="201"/>
    <x v="0"/>
    <x v="1"/>
    <x v="1"/>
    <x v="201"/>
    <x v="0"/>
    <x v="121"/>
    <x v="0"/>
    <x v="2"/>
  </r>
  <r>
    <x v="202"/>
    <x v="1"/>
    <x v="2"/>
    <x v="1"/>
    <x v="1"/>
    <x v="2"/>
    <x v="0"/>
    <x v="0"/>
    <x v="0"/>
    <x v="0"/>
    <x v="0"/>
    <x v="0"/>
    <x v="0"/>
    <x v="1"/>
    <x v="202"/>
    <x v="1"/>
    <x v="13"/>
    <x v="1"/>
    <x v="202"/>
    <x v="202"/>
    <x v="0"/>
    <x v="0"/>
    <x v="0"/>
    <x v="154"/>
    <x v="190"/>
    <x v="0"/>
    <x v="0"/>
    <x v="169"/>
    <x v="198"/>
    <x v="202"/>
    <x v="190"/>
    <x v="201"/>
    <x v="202"/>
    <x v="0"/>
    <x v="202"/>
    <x v="0"/>
    <x v="1"/>
    <x v="0"/>
    <x v="202"/>
    <x v="0"/>
    <x v="0"/>
    <x v="0"/>
    <x v="3"/>
  </r>
  <r>
    <x v="203"/>
    <x v="0"/>
    <x v="0"/>
    <x v="0"/>
    <x v="1"/>
    <x v="31"/>
    <x v="1"/>
    <x v="1"/>
    <x v="0"/>
    <x v="0"/>
    <x v="0"/>
    <x v="0"/>
    <x v="0"/>
    <x v="36"/>
    <x v="203"/>
    <x v="0"/>
    <x v="18"/>
    <x v="2"/>
    <x v="203"/>
    <x v="203"/>
    <x v="0"/>
    <x v="0"/>
    <x v="0"/>
    <x v="1"/>
    <x v="191"/>
    <x v="0"/>
    <x v="0"/>
    <x v="1"/>
    <x v="199"/>
    <x v="203"/>
    <x v="1"/>
    <x v="202"/>
    <x v="203"/>
    <x v="0"/>
    <x v="203"/>
    <x v="0"/>
    <x v="1"/>
    <x v="0"/>
    <x v="203"/>
    <x v="1"/>
    <x v="0"/>
    <x v="0"/>
    <x v="3"/>
  </r>
  <r>
    <x v="204"/>
    <x v="0"/>
    <x v="1"/>
    <x v="2"/>
    <x v="25"/>
    <x v="32"/>
    <x v="1"/>
    <x v="0"/>
    <x v="0"/>
    <x v="0"/>
    <x v="0"/>
    <x v="0"/>
    <x v="0"/>
    <x v="22"/>
    <x v="204"/>
    <x v="7"/>
    <x v="27"/>
    <x v="0"/>
    <x v="204"/>
    <x v="204"/>
    <x v="0"/>
    <x v="0"/>
    <x v="0"/>
    <x v="155"/>
    <x v="192"/>
    <x v="0"/>
    <x v="0"/>
    <x v="170"/>
    <x v="200"/>
    <x v="204"/>
    <x v="191"/>
    <x v="203"/>
    <x v="204"/>
    <x v="0"/>
    <x v="204"/>
    <x v="0"/>
    <x v="1"/>
    <x v="0"/>
    <x v="204"/>
    <x v="0"/>
    <x v="0"/>
    <x v="0"/>
    <x v="3"/>
  </r>
  <r>
    <x v="205"/>
    <x v="0"/>
    <x v="2"/>
    <x v="1"/>
    <x v="1"/>
    <x v="2"/>
    <x v="0"/>
    <x v="0"/>
    <x v="0"/>
    <x v="0"/>
    <x v="0"/>
    <x v="0"/>
    <x v="0"/>
    <x v="12"/>
    <x v="205"/>
    <x v="7"/>
    <x v="16"/>
    <x v="0"/>
    <x v="205"/>
    <x v="205"/>
    <x v="117"/>
    <x v="112"/>
    <x v="119"/>
    <x v="90"/>
    <x v="193"/>
    <x v="76"/>
    <x v="121"/>
    <x v="171"/>
    <x v="201"/>
    <x v="205"/>
    <x v="192"/>
    <x v="204"/>
    <x v="205"/>
    <x v="119"/>
    <x v="205"/>
    <x v="0"/>
    <x v="1"/>
    <x v="0"/>
    <x v="205"/>
    <x v="0"/>
    <x v="122"/>
    <x v="0"/>
    <x v="3"/>
  </r>
  <r>
    <x v="206"/>
    <x v="0"/>
    <x v="0"/>
    <x v="0"/>
    <x v="26"/>
    <x v="33"/>
    <x v="0"/>
    <x v="0"/>
    <x v="0"/>
    <x v="0"/>
    <x v="0"/>
    <x v="0"/>
    <x v="0"/>
    <x v="0"/>
    <x v="206"/>
    <x v="3"/>
    <x v="3"/>
    <x v="1"/>
    <x v="206"/>
    <x v="206"/>
    <x v="118"/>
    <x v="113"/>
    <x v="120"/>
    <x v="1"/>
    <x v="71"/>
    <x v="77"/>
    <x v="122"/>
    <x v="172"/>
    <x v="202"/>
    <x v="206"/>
    <x v="193"/>
    <x v="205"/>
    <x v="206"/>
    <x v="120"/>
    <x v="206"/>
    <x v="0"/>
    <x v="1"/>
    <x v="0"/>
    <x v="206"/>
    <x v="0"/>
    <x v="123"/>
    <x v="0"/>
    <x v="3"/>
  </r>
  <r>
    <x v="207"/>
    <x v="0"/>
    <x v="1"/>
    <x v="0"/>
    <x v="1"/>
    <x v="2"/>
    <x v="0"/>
    <x v="0"/>
    <x v="0"/>
    <x v="0"/>
    <x v="0"/>
    <x v="0"/>
    <x v="0"/>
    <x v="21"/>
    <x v="207"/>
    <x v="11"/>
    <x v="30"/>
    <x v="0"/>
    <x v="207"/>
    <x v="207"/>
    <x v="0"/>
    <x v="0"/>
    <x v="0"/>
    <x v="1"/>
    <x v="194"/>
    <x v="0"/>
    <x v="0"/>
    <x v="1"/>
    <x v="203"/>
    <x v="207"/>
    <x v="1"/>
    <x v="206"/>
    <x v="207"/>
    <x v="0"/>
    <x v="207"/>
    <x v="0"/>
    <x v="1"/>
    <x v="0"/>
    <x v="207"/>
    <x v="1"/>
    <x v="0"/>
    <x v="0"/>
    <x v="3"/>
  </r>
  <r>
    <x v="208"/>
    <x v="0"/>
    <x v="0"/>
    <x v="1"/>
    <x v="1"/>
    <x v="34"/>
    <x v="0"/>
    <x v="0"/>
    <x v="0"/>
    <x v="0"/>
    <x v="0"/>
    <x v="0"/>
    <x v="0"/>
    <x v="38"/>
    <x v="208"/>
    <x v="7"/>
    <x v="16"/>
    <x v="0"/>
    <x v="208"/>
    <x v="208"/>
    <x v="119"/>
    <x v="114"/>
    <x v="121"/>
    <x v="156"/>
    <x v="195"/>
    <x v="0"/>
    <x v="123"/>
    <x v="173"/>
    <x v="204"/>
    <x v="208"/>
    <x v="194"/>
    <x v="207"/>
    <x v="208"/>
    <x v="121"/>
    <x v="208"/>
    <x v="0"/>
    <x v="1"/>
    <x v="0"/>
    <x v="208"/>
    <x v="0"/>
    <x v="124"/>
    <x v="0"/>
    <x v="3"/>
  </r>
  <r>
    <x v="209"/>
    <x v="0"/>
    <x v="2"/>
    <x v="1"/>
    <x v="1"/>
    <x v="2"/>
    <x v="0"/>
    <x v="0"/>
    <x v="0"/>
    <x v="0"/>
    <x v="0"/>
    <x v="0"/>
    <x v="0"/>
    <x v="33"/>
    <x v="209"/>
    <x v="9"/>
    <x v="20"/>
    <x v="0"/>
    <x v="209"/>
    <x v="209"/>
    <x v="120"/>
    <x v="115"/>
    <x v="122"/>
    <x v="157"/>
    <x v="196"/>
    <x v="0"/>
    <x v="0"/>
    <x v="174"/>
    <x v="205"/>
    <x v="209"/>
    <x v="195"/>
    <x v="208"/>
    <x v="209"/>
    <x v="122"/>
    <x v="209"/>
    <x v="0"/>
    <x v="1"/>
    <x v="0"/>
    <x v="209"/>
    <x v="0"/>
    <x v="125"/>
    <x v="0"/>
    <x v="3"/>
  </r>
  <r>
    <x v="210"/>
    <x v="1"/>
    <x v="2"/>
    <x v="1"/>
    <x v="1"/>
    <x v="2"/>
    <x v="0"/>
    <x v="0"/>
    <x v="0"/>
    <x v="0"/>
    <x v="0"/>
    <x v="0"/>
    <x v="0"/>
    <x v="1"/>
    <x v="210"/>
    <x v="1"/>
    <x v="4"/>
    <x v="1"/>
    <x v="210"/>
    <x v="210"/>
    <x v="0"/>
    <x v="0"/>
    <x v="0"/>
    <x v="158"/>
    <x v="197"/>
    <x v="0"/>
    <x v="0"/>
    <x v="175"/>
    <x v="206"/>
    <x v="210"/>
    <x v="196"/>
    <x v="209"/>
    <x v="210"/>
    <x v="0"/>
    <x v="210"/>
    <x v="0"/>
    <x v="1"/>
    <x v="0"/>
    <x v="210"/>
    <x v="0"/>
    <x v="0"/>
    <x v="0"/>
    <x v="3"/>
  </r>
  <r>
    <x v="211"/>
    <x v="0"/>
    <x v="2"/>
    <x v="0"/>
    <x v="1"/>
    <x v="2"/>
    <x v="0"/>
    <x v="0"/>
    <x v="0"/>
    <x v="0"/>
    <x v="0"/>
    <x v="0"/>
    <x v="0"/>
    <x v="21"/>
    <x v="211"/>
    <x v="11"/>
    <x v="33"/>
    <x v="0"/>
    <x v="211"/>
    <x v="211"/>
    <x v="121"/>
    <x v="116"/>
    <x v="123"/>
    <x v="159"/>
    <x v="71"/>
    <x v="78"/>
    <x v="124"/>
    <x v="176"/>
    <x v="207"/>
    <x v="211"/>
    <x v="197"/>
    <x v="210"/>
    <x v="211"/>
    <x v="123"/>
    <x v="211"/>
    <x v="0"/>
    <x v="1"/>
    <x v="0"/>
    <x v="211"/>
    <x v="0"/>
    <x v="126"/>
    <x v="0"/>
    <x v="3"/>
  </r>
  <r>
    <x v="212"/>
    <x v="1"/>
    <x v="2"/>
    <x v="1"/>
    <x v="1"/>
    <x v="2"/>
    <x v="0"/>
    <x v="0"/>
    <x v="0"/>
    <x v="0"/>
    <x v="0"/>
    <x v="0"/>
    <x v="0"/>
    <x v="7"/>
    <x v="212"/>
    <x v="6"/>
    <x v="26"/>
    <x v="0"/>
    <x v="212"/>
    <x v="212"/>
    <x v="0"/>
    <x v="0"/>
    <x v="0"/>
    <x v="160"/>
    <x v="198"/>
    <x v="0"/>
    <x v="0"/>
    <x v="177"/>
    <x v="208"/>
    <x v="212"/>
    <x v="198"/>
    <x v="211"/>
    <x v="212"/>
    <x v="0"/>
    <x v="212"/>
    <x v="0"/>
    <x v="1"/>
    <x v="0"/>
    <x v="212"/>
    <x v="0"/>
    <x v="0"/>
    <x v="0"/>
    <x v="3"/>
  </r>
  <r>
    <x v="213"/>
    <x v="1"/>
    <x v="2"/>
    <x v="1"/>
    <x v="1"/>
    <x v="2"/>
    <x v="0"/>
    <x v="0"/>
    <x v="0"/>
    <x v="0"/>
    <x v="0"/>
    <x v="0"/>
    <x v="0"/>
    <x v="2"/>
    <x v="213"/>
    <x v="1"/>
    <x v="13"/>
    <x v="1"/>
    <x v="213"/>
    <x v="213"/>
    <x v="0"/>
    <x v="0"/>
    <x v="0"/>
    <x v="161"/>
    <x v="199"/>
    <x v="0"/>
    <x v="0"/>
    <x v="178"/>
    <x v="209"/>
    <x v="213"/>
    <x v="199"/>
    <x v="212"/>
    <x v="213"/>
    <x v="0"/>
    <x v="213"/>
    <x v="0"/>
    <x v="1"/>
    <x v="0"/>
    <x v="213"/>
    <x v="0"/>
    <x v="0"/>
    <x v="0"/>
    <x v="3"/>
  </r>
  <r>
    <x v="214"/>
    <x v="1"/>
    <x v="2"/>
    <x v="1"/>
    <x v="1"/>
    <x v="2"/>
    <x v="0"/>
    <x v="0"/>
    <x v="0"/>
    <x v="0"/>
    <x v="0"/>
    <x v="0"/>
    <x v="0"/>
    <x v="1"/>
    <x v="214"/>
    <x v="1"/>
    <x v="47"/>
    <x v="1"/>
    <x v="214"/>
    <x v="214"/>
    <x v="122"/>
    <x v="100"/>
    <x v="124"/>
    <x v="1"/>
    <x v="71"/>
    <x v="79"/>
    <x v="125"/>
    <x v="179"/>
    <x v="210"/>
    <x v="214"/>
    <x v="200"/>
    <x v="213"/>
    <x v="214"/>
    <x v="124"/>
    <x v="214"/>
    <x v="0"/>
    <x v="1"/>
    <x v="0"/>
    <x v="214"/>
    <x v="0"/>
    <x v="127"/>
    <x v="0"/>
    <x v="3"/>
  </r>
  <r>
    <x v="215"/>
    <x v="0"/>
    <x v="2"/>
    <x v="0"/>
    <x v="1"/>
    <x v="2"/>
    <x v="0"/>
    <x v="0"/>
    <x v="0"/>
    <x v="0"/>
    <x v="0"/>
    <x v="0"/>
    <x v="0"/>
    <x v="21"/>
    <x v="215"/>
    <x v="11"/>
    <x v="33"/>
    <x v="0"/>
    <x v="215"/>
    <x v="215"/>
    <x v="123"/>
    <x v="117"/>
    <x v="125"/>
    <x v="1"/>
    <x v="71"/>
    <x v="80"/>
    <x v="126"/>
    <x v="180"/>
    <x v="211"/>
    <x v="215"/>
    <x v="201"/>
    <x v="214"/>
    <x v="215"/>
    <x v="125"/>
    <x v="215"/>
    <x v="0"/>
    <x v="1"/>
    <x v="0"/>
    <x v="215"/>
    <x v="0"/>
    <x v="128"/>
    <x v="0"/>
    <x v="3"/>
  </r>
  <r>
    <x v="216"/>
    <x v="0"/>
    <x v="2"/>
    <x v="0"/>
    <x v="1"/>
    <x v="2"/>
    <x v="0"/>
    <x v="0"/>
    <x v="0"/>
    <x v="0"/>
    <x v="0"/>
    <x v="0"/>
    <x v="0"/>
    <x v="8"/>
    <x v="216"/>
    <x v="9"/>
    <x v="20"/>
    <x v="0"/>
    <x v="216"/>
    <x v="216"/>
    <x v="124"/>
    <x v="118"/>
    <x v="126"/>
    <x v="1"/>
    <x v="71"/>
    <x v="81"/>
    <x v="127"/>
    <x v="181"/>
    <x v="212"/>
    <x v="216"/>
    <x v="202"/>
    <x v="215"/>
    <x v="216"/>
    <x v="126"/>
    <x v="216"/>
    <x v="0"/>
    <x v="1"/>
    <x v="1"/>
    <x v="216"/>
    <x v="0"/>
    <x v="129"/>
    <x v="0"/>
    <x v="2"/>
  </r>
  <r>
    <x v="217"/>
    <x v="1"/>
    <x v="2"/>
    <x v="1"/>
    <x v="1"/>
    <x v="2"/>
    <x v="0"/>
    <x v="0"/>
    <x v="0"/>
    <x v="0"/>
    <x v="0"/>
    <x v="0"/>
    <x v="0"/>
    <x v="1"/>
    <x v="217"/>
    <x v="1"/>
    <x v="25"/>
    <x v="1"/>
    <x v="217"/>
    <x v="217"/>
    <x v="0"/>
    <x v="0"/>
    <x v="0"/>
    <x v="162"/>
    <x v="200"/>
    <x v="0"/>
    <x v="0"/>
    <x v="182"/>
    <x v="213"/>
    <x v="217"/>
    <x v="203"/>
    <x v="216"/>
    <x v="217"/>
    <x v="0"/>
    <x v="217"/>
    <x v="0"/>
    <x v="1"/>
    <x v="0"/>
    <x v="217"/>
    <x v="0"/>
    <x v="0"/>
    <x v="0"/>
    <x v="3"/>
  </r>
  <r>
    <x v="218"/>
    <x v="0"/>
    <x v="2"/>
    <x v="1"/>
    <x v="1"/>
    <x v="2"/>
    <x v="0"/>
    <x v="0"/>
    <x v="0"/>
    <x v="0"/>
    <x v="0"/>
    <x v="0"/>
    <x v="0"/>
    <x v="22"/>
    <x v="218"/>
    <x v="2"/>
    <x v="2"/>
    <x v="0"/>
    <x v="218"/>
    <x v="218"/>
    <x v="125"/>
    <x v="119"/>
    <x v="127"/>
    <x v="163"/>
    <x v="201"/>
    <x v="0"/>
    <x v="128"/>
    <x v="183"/>
    <x v="214"/>
    <x v="218"/>
    <x v="204"/>
    <x v="217"/>
    <x v="218"/>
    <x v="127"/>
    <x v="218"/>
    <x v="0"/>
    <x v="1"/>
    <x v="0"/>
    <x v="218"/>
    <x v="0"/>
    <x v="130"/>
    <x v="0"/>
    <x v="3"/>
  </r>
  <r>
    <x v="219"/>
    <x v="1"/>
    <x v="2"/>
    <x v="1"/>
    <x v="1"/>
    <x v="2"/>
    <x v="0"/>
    <x v="0"/>
    <x v="0"/>
    <x v="0"/>
    <x v="0"/>
    <x v="0"/>
    <x v="0"/>
    <x v="9"/>
    <x v="219"/>
    <x v="1"/>
    <x v="10"/>
    <x v="1"/>
    <x v="219"/>
    <x v="219"/>
    <x v="0"/>
    <x v="0"/>
    <x v="0"/>
    <x v="164"/>
    <x v="202"/>
    <x v="0"/>
    <x v="0"/>
    <x v="184"/>
    <x v="215"/>
    <x v="219"/>
    <x v="205"/>
    <x v="218"/>
    <x v="219"/>
    <x v="0"/>
    <x v="219"/>
    <x v="0"/>
    <x v="1"/>
    <x v="0"/>
    <x v="219"/>
    <x v="0"/>
    <x v="0"/>
    <x v="0"/>
    <x v="3"/>
  </r>
  <r>
    <x v="220"/>
    <x v="1"/>
    <x v="2"/>
    <x v="1"/>
    <x v="1"/>
    <x v="2"/>
    <x v="0"/>
    <x v="0"/>
    <x v="0"/>
    <x v="0"/>
    <x v="0"/>
    <x v="0"/>
    <x v="0"/>
    <x v="14"/>
    <x v="220"/>
    <x v="6"/>
    <x v="29"/>
    <x v="0"/>
    <x v="220"/>
    <x v="220"/>
    <x v="77"/>
    <x v="51"/>
    <x v="128"/>
    <x v="165"/>
    <x v="203"/>
    <x v="82"/>
    <x v="129"/>
    <x v="185"/>
    <x v="216"/>
    <x v="220"/>
    <x v="202"/>
    <x v="219"/>
    <x v="220"/>
    <x v="128"/>
    <x v="220"/>
    <x v="0"/>
    <x v="1"/>
    <x v="0"/>
    <x v="220"/>
    <x v="0"/>
    <x v="131"/>
    <x v="0"/>
    <x v="3"/>
  </r>
  <r>
    <x v="221"/>
    <x v="1"/>
    <x v="2"/>
    <x v="1"/>
    <x v="1"/>
    <x v="2"/>
    <x v="0"/>
    <x v="0"/>
    <x v="0"/>
    <x v="0"/>
    <x v="0"/>
    <x v="0"/>
    <x v="0"/>
    <x v="39"/>
    <x v="221"/>
    <x v="1"/>
    <x v="6"/>
    <x v="0"/>
    <x v="221"/>
    <x v="221"/>
    <x v="104"/>
    <x v="120"/>
    <x v="124"/>
    <x v="166"/>
    <x v="204"/>
    <x v="0"/>
    <x v="130"/>
    <x v="186"/>
    <x v="217"/>
    <x v="221"/>
    <x v="155"/>
    <x v="220"/>
    <x v="221"/>
    <x v="124"/>
    <x v="221"/>
    <x v="0"/>
    <x v="1"/>
    <x v="0"/>
    <x v="221"/>
    <x v="0"/>
    <x v="132"/>
    <x v="0"/>
    <x v="3"/>
  </r>
  <r>
    <x v="222"/>
    <x v="1"/>
    <x v="2"/>
    <x v="1"/>
    <x v="1"/>
    <x v="2"/>
    <x v="0"/>
    <x v="0"/>
    <x v="0"/>
    <x v="0"/>
    <x v="0"/>
    <x v="0"/>
    <x v="0"/>
    <x v="5"/>
    <x v="222"/>
    <x v="5"/>
    <x v="48"/>
    <x v="0"/>
    <x v="222"/>
    <x v="222"/>
    <x v="0"/>
    <x v="0"/>
    <x v="0"/>
    <x v="167"/>
    <x v="205"/>
    <x v="0"/>
    <x v="0"/>
    <x v="187"/>
    <x v="218"/>
    <x v="222"/>
    <x v="206"/>
    <x v="221"/>
    <x v="222"/>
    <x v="0"/>
    <x v="222"/>
    <x v="0"/>
    <x v="1"/>
    <x v="0"/>
    <x v="222"/>
    <x v="0"/>
    <x v="0"/>
    <x v="0"/>
    <x v="3"/>
  </r>
  <r>
    <x v="223"/>
    <x v="1"/>
    <x v="2"/>
    <x v="1"/>
    <x v="1"/>
    <x v="2"/>
    <x v="0"/>
    <x v="0"/>
    <x v="0"/>
    <x v="0"/>
    <x v="0"/>
    <x v="0"/>
    <x v="0"/>
    <x v="1"/>
    <x v="223"/>
    <x v="1"/>
    <x v="4"/>
    <x v="2"/>
    <x v="223"/>
    <x v="223"/>
    <x v="0"/>
    <x v="0"/>
    <x v="0"/>
    <x v="168"/>
    <x v="206"/>
    <x v="0"/>
    <x v="0"/>
    <x v="188"/>
    <x v="219"/>
    <x v="223"/>
    <x v="207"/>
    <x v="222"/>
    <x v="223"/>
    <x v="0"/>
    <x v="223"/>
    <x v="0"/>
    <x v="1"/>
    <x v="0"/>
    <x v="223"/>
    <x v="0"/>
    <x v="0"/>
    <x v="0"/>
    <x v="3"/>
  </r>
  <r>
    <x v="224"/>
    <x v="1"/>
    <x v="2"/>
    <x v="1"/>
    <x v="1"/>
    <x v="2"/>
    <x v="0"/>
    <x v="0"/>
    <x v="0"/>
    <x v="0"/>
    <x v="0"/>
    <x v="0"/>
    <x v="0"/>
    <x v="1"/>
    <x v="224"/>
    <x v="1"/>
    <x v="4"/>
    <x v="0"/>
    <x v="224"/>
    <x v="224"/>
    <x v="0"/>
    <x v="0"/>
    <x v="0"/>
    <x v="169"/>
    <x v="207"/>
    <x v="0"/>
    <x v="0"/>
    <x v="189"/>
    <x v="220"/>
    <x v="224"/>
    <x v="208"/>
    <x v="223"/>
    <x v="224"/>
    <x v="0"/>
    <x v="224"/>
    <x v="0"/>
    <x v="1"/>
    <x v="0"/>
    <x v="224"/>
    <x v="0"/>
    <x v="0"/>
    <x v="0"/>
    <x v="3"/>
  </r>
  <r>
    <x v="225"/>
    <x v="0"/>
    <x v="2"/>
    <x v="1"/>
    <x v="1"/>
    <x v="2"/>
    <x v="0"/>
    <x v="0"/>
    <x v="0"/>
    <x v="0"/>
    <x v="0"/>
    <x v="0"/>
    <x v="0"/>
    <x v="11"/>
    <x v="225"/>
    <x v="8"/>
    <x v="14"/>
    <x v="0"/>
    <x v="225"/>
    <x v="225"/>
    <x v="126"/>
    <x v="121"/>
    <x v="77"/>
    <x v="1"/>
    <x v="208"/>
    <x v="0"/>
    <x v="131"/>
    <x v="1"/>
    <x v="221"/>
    <x v="225"/>
    <x v="209"/>
    <x v="224"/>
    <x v="225"/>
    <x v="77"/>
    <x v="225"/>
    <x v="0"/>
    <x v="1"/>
    <x v="0"/>
    <x v="225"/>
    <x v="1"/>
    <x v="133"/>
    <x v="0"/>
    <x v="3"/>
  </r>
  <r>
    <x v="226"/>
    <x v="0"/>
    <x v="2"/>
    <x v="0"/>
    <x v="1"/>
    <x v="2"/>
    <x v="0"/>
    <x v="0"/>
    <x v="0"/>
    <x v="0"/>
    <x v="0"/>
    <x v="0"/>
    <x v="0"/>
    <x v="0"/>
    <x v="226"/>
    <x v="0"/>
    <x v="0"/>
    <x v="0"/>
    <x v="226"/>
    <x v="226"/>
    <x v="0"/>
    <x v="0"/>
    <x v="0"/>
    <x v="170"/>
    <x v="209"/>
    <x v="0"/>
    <x v="0"/>
    <x v="190"/>
    <x v="222"/>
    <x v="226"/>
    <x v="210"/>
    <x v="225"/>
    <x v="226"/>
    <x v="0"/>
    <x v="226"/>
    <x v="0"/>
    <x v="1"/>
    <x v="0"/>
    <x v="226"/>
    <x v="0"/>
    <x v="0"/>
    <x v="0"/>
    <x v="3"/>
  </r>
  <r>
    <x v="227"/>
    <x v="0"/>
    <x v="2"/>
    <x v="1"/>
    <x v="1"/>
    <x v="2"/>
    <x v="0"/>
    <x v="0"/>
    <x v="0"/>
    <x v="0"/>
    <x v="0"/>
    <x v="0"/>
    <x v="0"/>
    <x v="12"/>
    <x v="227"/>
    <x v="7"/>
    <x v="9"/>
    <x v="0"/>
    <x v="227"/>
    <x v="227"/>
    <x v="127"/>
    <x v="122"/>
    <x v="129"/>
    <x v="171"/>
    <x v="210"/>
    <x v="83"/>
    <x v="132"/>
    <x v="191"/>
    <x v="223"/>
    <x v="227"/>
    <x v="211"/>
    <x v="226"/>
    <x v="227"/>
    <x v="129"/>
    <x v="227"/>
    <x v="0"/>
    <x v="1"/>
    <x v="0"/>
    <x v="227"/>
    <x v="0"/>
    <x v="134"/>
    <x v="0"/>
    <x v="3"/>
  </r>
  <r>
    <x v="228"/>
    <x v="1"/>
    <x v="2"/>
    <x v="1"/>
    <x v="1"/>
    <x v="2"/>
    <x v="0"/>
    <x v="0"/>
    <x v="0"/>
    <x v="0"/>
    <x v="0"/>
    <x v="0"/>
    <x v="0"/>
    <x v="6"/>
    <x v="228"/>
    <x v="5"/>
    <x v="31"/>
    <x v="0"/>
    <x v="228"/>
    <x v="228"/>
    <x v="128"/>
    <x v="123"/>
    <x v="130"/>
    <x v="172"/>
    <x v="211"/>
    <x v="84"/>
    <x v="133"/>
    <x v="192"/>
    <x v="224"/>
    <x v="228"/>
    <x v="212"/>
    <x v="227"/>
    <x v="228"/>
    <x v="130"/>
    <x v="228"/>
    <x v="0"/>
    <x v="1"/>
    <x v="0"/>
    <x v="228"/>
    <x v="0"/>
    <x v="135"/>
    <x v="0"/>
    <x v="3"/>
  </r>
  <r>
    <x v="158"/>
    <x v="0"/>
    <x v="0"/>
    <x v="0"/>
    <x v="27"/>
    <x v="33"/>
    <x v="1"/>
    <x v="0"/>
    <x v="0"/>
    <x v="0"/>
    <x v="0"/>
    <x v="0"/>
    <x v="0"/>
    <x v="0"/>
    <x v="229"/>
    <x v="3"/>
    <x v="3"/>
    <x v="1"/>
    <x v="229"/>
    <x v="229"/>
    <x v="0"/>
    <x v="0"/>
    <x v="0"/>
    <x v="173"/>
    <x v="212"/>
    <x v="0"/>
    <x v="0"/>
    <x v="193"/>
    <x v="225"/>
    <x v="175"/>
    <x v="213"/>
    <x v="228"/>
    <x v="229"/>
    <x v="0"/>
    <x v="229"/>
    <x v="0"/>
    <x v="1"/>
    <x v="0"/>
    <x v="229"/>
    <x v="0"/>
    <x v="0"/>
    <x v="0"/>
    <x v="3"/>
  </r>
  <r>
    <x v="229"/>
    <x v="0"/>
    <x v="2"/>
    <x v="0"/>
    <x v="1"/>
    <x v="35"/>
    <x v="0"/>
    <x v="0"/>
    <x v="0"/>
    <x v="0"/>
    <x v="0"/>
    <x v="0"/>
    <x v="0"/>
    <x v="0"/>
    <x v="230"/>
    <x v="0"/>
    <x v="0"/>
    <x v="0"/>
    <x v="230"/>
    <x v="230"/>
    <x v="129"/>
    <x v="124"/>
    <x v="131"/>
    <x v="1"/>
    <x v="71"/>
    <x v="85"/>
    <x v="134"/>
    <x v="194"/>
    <x v="226"/>
    <x v="229"/>
    <x v="214"/>
    <x v="229"/>
    <x v="230"/>
    <x v="131"/>
    <x v="230"/>
    <x v="1"/>
    <x v="1"/>
    <x v="0"/>
    <x v="230"/>
    <x v="0"/>
    <x v="136"/>
    <x v="0"/>
    <x v="3"/>
  </r>
  <r>
    <x v="230"/>
    <x v="2"/>
    <x v="0"/>
    <x v="0"/>
    <x v="1"/>
    <x v="36"/>
    <x v="1"/>
    <x v="0"/>
    <x v="0"/>
    <x v="0"/>
    <x v="0"/>
    <x v="0"/>
    <x v="0"/>
    <x v="2"/>
    <x v="231"/>
    <x v="2"/>
    <x v="2"/>
    <x v="1"/>
    <x v="231"/>
    <x v="231"/>
    <x v="0"/>
    <x v="0"/>
    <x v="0"/>
    <x v="1"/>
    <x v="71"/>
    <x v="86"/>
    <x v="135"/>
    <x v="195"/>
    <x v="227"/>
    <x v="230"/>
    <x v="215"/>
    <x v="230"/>
    <x v="231"/>
    <x v="0"/>
    <x v="231"/>
    <x v="0"/>
    <x v="1"/>
    <x v="0"/>
    <x v="231"/>
    <x v="0"/>
    <x v="0"/>
    <x v="0"/>
    <x v="3"/>
  </r>
  <r>
    <x v="231"/>
    <x v="1"/>
    <x v="2"/>
    <x v="1"/>
    <x v="1"/>
    <x v="2"/>
    <x v="0"/>
    <x v="0"/>
    <x v="0"/>
    <x v="0"/>
    <x v="0"/>
    <x v="0"/>
    <x v="0"/>
    <x v="6"/>
    <x v="232"/>
    <x v="16"/>
    <x v="49"/>
    <x v="0"/>
    <x v="232"/>
    <x v="232"/>
    <x v="0"/>
    <x v="0"/>
    <x v="0"/>
    <x v="174"/>
    <x v="213"/>
    <x v="0"/>
    <x v="0"/>
    <x v="196"/>
    <x v="228"/>
    <x v="231"/>
    <x v="216"/>
    <x v="231"/>
    <x v="232"/>
    <x v="0"/>
    <x v="232"/>
    <x v="0"/>
    <x v="1"/>
    <x v="0"/>
    <x v="232"/>
    <x v="0"/>
    <x v="0"/>
    <x v="0"/>
    <x v="3"/>
  </r>
  <r>
    <x v="232"/>
    <x v="1"/>
    <x v="2"/>
    <x v="1"/>
    <x v="1"/>
    <x v="2"/>
    <x v="0"/>
    <x v="0"/>
    <x v="0"/>
    <x v="0"/>
    <x v="0"/>
    <x v="0"/>
    <x v="0"/>
    <x v="5"/>
    <x v="233"/>
    <x v="4"/>
    <x v="15"/>
    <x v="0"/>
    <x v="233"/>
    <x v="233"/>
    <x v="130"/>
    <x v="125"/>
    <x v="132"/>
    <x v="175"/>
    <x v="214"/>
    <x v="87"/>
    <x v="136"/>
    <x v="197"/>
    <x v="229"/>
    <x v="232"/>
    <x v="217"/>
    <x v="232"/>
    <x v="233"/>
    <x v="132"/>
    <x v="233"/>
    <x v="0"/>
    <x v="1"/>
    <x v="0"/>
    <x v="233"/>
    <x v="0"/>
    <x v="137"/>
    <x v="0"/>
    <x v="3"/>
  </r>
  <r>
    <x v="233"/>
    <x v="1"/>
    <x v="2"/>
    <x v="1"/>
    <x v="1"/>
    <x v="2"/>
    <x v="0"/>
    <x v="0"/>
    <x v="0"/>
    <x v="0"/>
    <x v="0"/>
    <x v="0"/>
    <x v="0"/>
    <x v="16"/>
    <x v="234"/>
    <x v="10"/>
    <x v="21"/>
    <x v="0"/>
    <x v="234"/>
    <x v="234"/>
    <x v="0"/>
    <x v="0"/>
    <x v="0"/>
    <x v="176"/>
    <x v="215"/>
    <x v="88"/>
    <x v="137"/>
    <x v="198"/>
    <x v="230"/>
    <x v="233"/>
    <x v="218"/>
    <x v="233"/>
    <x v="234"/>
    <x v="0"/>
    <x v="234"/>
    <x v="0"/>
    <x v="1"/>
    <x v="0"/>
    <x v="234"/>
    <x v="0"/>
    <x v="0"/>
    <x v="0"/>
    <x v="3"/>
  </r>
  <r>
    <x v="234"/>
    <x v="1"/>
    <x v="2"/>
    <x v="1"/>
    <x v="1"/>
    <x v="2"/>
    <x v="0"/>
    <x v="0"/>
    <x v="0"/>
    <x v="0"/>
    <x v="0"/>
    <x v="0"/>
    <x v="0"/>
    <x v="20"/>
    <x v="235"/>
    <x v="5"/>
    <x v="12"/>
    <x v="0"/>
    <x v="235"/>
    <x v="235"/>
    <x v="131"/>
    <x v="107"/>
    <x v="111"/>
    <x v="177"/>
    <x v="216"/>
    <x v="0"/>
    <x v="138"/>
    <x v="199"/>
    <x v="231"/>
    <x v="234"/>
    <x v="219"/>
    <x v="234"/>
    <x v="235"/>
    <x v="111"/>
    <x v="235"/>
    <x v="0"/>
    <x v="1"/>
    <x v="0"/>
    <x v="235"/>
    <x v="0"/>
    <x v="138"/>
    <x v="0"/>
    <x v="3"/>
  </r>
  <r>
    <x v="235"/>
    <x v="1"/>
    <x v="2"/>
    <x v="1"/>
    <x v="1"/>
    <x v="2"/>
    <x v="0"/>
    <x v="0"/>
    <x v="0"/>
    <x v="0"/>
    <x v="0"/>
    <x v="0"/>
    <x v="0"/>
    <x v="14"/>
    <x v="236"/>
    <x v="6"/>
    <x v="29"/>
    <x v="0"/>
    <x v="236"/>
    <x v="236"/>
    <x v="132"/>
    <x v="126"/>
    <x v="89"/>
    <x v="178"/>
    <x v="217"/>
    <x v="89"/>
    <x v="120"/>
    <x v="200"/>
    <x v="232"/>
    <x v="235"/>
    <x v="220"/>
    <x v="235"/>
    <x v="236"/>
    <x v="89"/>
    <x v="236"/>
    <x v="0"/>
    <x v="1"/>
    <x v="0"/>
    <x v="236"/>
    <x v="0"/>
    <x v="139"/>
    <x v="0"/>
    <x v="3"/>
  </r>
  <r>
    <x v="236"/>
    <x v="0"/>
    <x v="0"/>
    <x v="0"/>
    <x v="1"/>
    <x v="37"/>
    <x v="1"/>
    <x v="0"/>
    <x v="0"/>
    <x v="0"/>
    <x v="0"/>
    <x v="0"/>
    <x v="0"/>
    <x v="1"/>
    <x v="237"/>
    <x v="2"/>
    <x v="6"/>
    <x v="1"/>
    <x v="237"/>
    <x v="237"/>
    <x v="133"/>
    <x v="49"/>
    <x v="133"/>
    <x v="1"/>
    <x v="71"/>
    <x v="90"/>
    <x v="139"/>
    <x v="201"/>
    <x v="233"/>
    <x v="236"/>
    <x v="221"/>
    <x v="236"/>
    <x v="237"/>
    <x v="133"/>
    <x v="237"/>
    <x v="0"/>
    <x v="1"/>
    <x v="0"/>
    <x v="237"/>
    <x v="0"/>
    <x v="140"/>
    <x v="0"/>
    <x v="3"/>
  </r>
  <r>
    <x v="237"/>
    <x v="0"/>
    <x v="2"/>
    <x v="0"/>
    <x v="1"/>
    <x v="38"/>
    <x v="1"/>
    <x v="1"/>
    <x v="0"/>
    <x v="0"/>
    <x v="0"/>
    <x v="0"/>
    <x v="0"/>
    <x v="8"/>
    <x v="238"/>
    <x v="7"/>
    <x v="9"/>
    <x v="0"/>
    <x v="238"/>
    <x v="238"/>
    <x v="134"/>
    <x v="127"/>
    <x v="123"/>
    <x v="1"/>
    <x v="71"/>
    <x v="91"/>
    <x v="140"/>
    <x v="202"/>
    <x v="216"/>
    <x v="237"/>
    <x v="222"/>
    <x v="237"/>
    <x v="238"/>
    <x v="123"/>
    <x v="238"/>
    <x v="0"/>
    <x v="1"/>
    <x v="0"/>
    <x v="238"/>
    <x v="0"/>
    <x v="141"/>
    <x v="0"/>
    <x v="3"/>
  </r>
  <r>
    <x v="238"/>
    <x v="1"/>
    <x v="2"/>
    <x v="1"/>
    <x v="1"/>
    <x v="2"/>
    <x v="0"/>
    <x v="0"/>
    <x v="0"/>
    <x v="0"/>
    <x v="0"/>
    <x v="0"/>
    <x v="0"/>
    <x v="6"/>
    <x v="239"/>
    <x v="5"/>
    <x v="31"/>
    <x v="0"/>
    <x v="239"/>
    <x v="239"/>
    <x v="135"/>
    <x v="120"/>
    <x v="42"/>
    <x v="179"/>
    <x v="218"/>
    <x v="0"/>
    <x v="141"/>
    <x v="203"/>
    <x v="234"/>
    <x v="238"/>
    <x v="223"/>
    <x v="238"/>
    <x v="239"/>
    <x v="42"/>
    <x v="239"/>
    <x v="0"/>
    <x v="1"/>
    <x v="0"/>
    <x v="239"/>
    <x v="0"/>
    <x v="142"/>
    <x v="0"/>
    <x v="3"/>
  </r>
  <r>
    <x v="239"/>
    <x v="1"/>
    <x v="2"/>
    <x v="1"/>
    <x v="1"/>
    <x v="2"/>
    <x v="0"/>
    <x v="0"/>
    <x v="0"/>
    <x v="0"/>
    <x v="0"/>
    <x v="0"/>
    <x v="0"/>
    <x v="39"/>
    <x v="240"/>
    <x v="1"/>
    <x v="10"/>
    <x v="1"/>
    <x v="240"/>
    <x v="240"/>
    <x v="0"/>
    <x v="0"/>
    <x v="0"/>
    <x v="180"/>
    <x v="219"/>
    <x v="0"/>
    <x v="0"/>
    <x v="204"/>
    <x v="235"/>
    <x v="239"/>
    <x v="224"/>
    <x v="239"/>
    <x v="240"/>
    <x v="0"/>
    <x v="240"/>
    <x v="0"/>
    <x v="1"/>
    <x v="0"/>
    <x v="240"/>
    <x v="0"/>
    <x v="0"/>
    <x v="0"/>
    <x v="3"/>
  </r>
  <r>
    <x v="240"/>
    <x v="1"/>
    <x v="2"/>
    <x v="1"/>
    <x v="1"/>
    <x v="2"/>
    <x v="0"/>
    <x v="0"/>
    <x v="0"/>
    <x v="0"/>
    <x v="0"/>
    <x v="0"/>
    <x v="0"/>
    <x v="14"/>
    <x v="241"/>
    <x v="6"/>
    <x v="29"/>
    <x v="0"/>
    <x v="241"/>
    <x v="241"/>
    <x v="136"/>
    <x v="95"/>
    <x v="134"/>
    <x v="181"/>
    <x v="220"/>
    <x v="92"/>
    <x v="142"/>
    <x v="205"/>
    <x v="236"/>
    <x v="240"/>
    <x v="225"/>
    <x v="240"/>
    <x v="241"/>
    <x v="134"/>
    <x v="241"/>
    <x v="0"/>
    <x v="1"/>
    <x v="0"/>
    <x v="241"/>
    <x v="0"/>
    <x v="143"/>
    <x v="0"/>
    <x v="3"/>
  </r>
  <r>
    <x v="241"/>
    <x v="0"/>
    <x v="2"/>
    <x v="3"/>
    <x v="1"/>
    <x v="39"/>
    <x v="1"/>
    <x v="1"/>
    <x v="0"/>
    <x v="0"/>
    <x v="0"/>
    <x v="0"/>
    <x v="0"/>
    <x v="11"/>
    <x v="242"/>
    <x v="8"/>
    <x v="50"/>
    <x v="0"/>
    <x v="242"/>
    <x v="242"/>
    <x v="114"/>
    <x v="63"/>
    <x v="135"/>
    <x v="1"/>
    <x v="71"/>
    <x v="93"/>
    <x v="143"/>
    <x v="206"/>
    <x v="237"/>
    <x v="241"/>
    <x v="226"/>
    <x v="241"/>
    <x v="242"/>
    <x v="135"/>
    <x v="242"/>
    <x v="0"/>
    <x v="1"/>
    <x v="0"/>
    <x v="242"/>
    <x v="0"/>
    <x v="144"/>
    <x v="0"/>
    <x v="3"/>
  </r>
  <r>
    <x v="242"/>
    <x v="0"/>
    <x v="2"/>
    <x v="0"/>
    <x v="1"/>
    <x v="2"/>
    <x v="1"/>
    <x v="0"/>
    <x v="0"/>
    <x v="0"/>
    <x v="0"/>
    <x v="0"/>
    <x v="0"/>
    <x v="22"/>
    <x v="243"/>
    <x v="7"/>
    <x v="27"/>
    <x v="0"/>
    <x v="243"/>
    <x v="243"/>
    <x v="0"/>
    <x v="0"/>
    <x v="0"/>
    <x v="1"/>
    <x v="221"/>
    <x v="0"/>
    <x v="0"/>
    <x v="1"/>
    <x v="238"/>
    <x v="242"/>
    <x v="1"/>
    <x v="242"/>
    <x v="243"/>
    <x v="0"/>
    <x v="243"/>
    <x v="0"/>
    <x v="1"/>
    <x v="0"/>
    <x v="243"/>
    <x v="1"/>
    <x v="0"/>
    <x v="0"/>
    <x v="3"/>
  </r>
  <r>
    <x v="243"/>
    <x v="0"/>
    <x v="2"/>
    <x v="0"/>
    <x v="1"/>
    <x v="2"/>
    <x v="0"/>
    <x v="0"/>
    <x v="0"/>
    <x v="0"/>
    <x v="0"/>
    <x v="0"/>
    <x v="0"/>
    <x v="20"/>
    <x v="244"/>
    <x v="2"/>
    <x v="2"/>
    <x v="0"/>
    <x v="244"/>
    <x v="244"/>
    <x v="137"/>
    <x v="128"/>
    <x v="136"/>
    <x v="1"/>
    <x v="222"/>
    <x v="0"/>
    <x v="144"/>
    <x v="1"/>
    <x v="239"/>
    <x v="243"/>
    <x v="227"/>
    <x v="243"/>
    <x v="244"/>
    <x v="136"/>
    <x v="244"/>
    <x v="0"/>
    <x v="1"/>
    <x v="0"/>
    <x v="244"/>
    <x v="1"/>
    <x v="145"/>
    <x v="0"/>
    <x v="3"/>
  </r>
  <r>
    <x v="244"/>
    <x v="0"/>
    <x v="2"/>
    <x v="0"/>
    <x v="1"/>
    <x v="2"/>
    <x v="1"/>
    <x v="0"/>
    <x v="0"/>
    <x v="0"/>
    <x v="0"/>
    <x v="0"/>
    <x v="0"/>
    <x v="12"/>
    <x v="245"/>
    <x v="7"/>
    <x v="51"/>
    <x v="0"/>
    <x v="245"/>
    <x v="245"/>
    <x v="138"/>
    <x v="35"/>
    <x v="137"/>
    <x v="182"/>
    <x v="223"/>
    <x v="94"/>
    <x v="145"/>
    <x v="207"/>
    <x v="240"/>
    <x v="244"/>
    <x v="228"/>
    <x v="244"/>
    <x v="245"/>
    <x v="137"/>
    <x v="245"/>
    <x v="0"/>
    <x v="1"/>
    <x v="0"/>
    <x v="245"/>
    <x v="0"/>
    <x v="146"/>
    <x v="0"/>
    <x v="3"/>
  </r>
  <r>
    <x v="245"/>
    <x v="1"/>
    <x v="2"/>
    <x v="1"/>
    <x v="1"/>
    <x v="2"/>
    <x v="0"/>
    <x v="0"/>
    <x v="0"/>
    <x v="0"/>
    <x v="0"/>
    <x v="0"/>
    <x v="0"/>
    <x v="14"/>
    <x v="246"/>
    <x v="6"/>
    <x v="8"/>
    <x v="0"/>
    <x v="246"/>
    <x v="246"/>
    <x v="92"/>
    <x v="129"/>
    <x v="138"/>
    <x v="183"/>
    <x v="133"/>
    <x v="95"/>
    <x v="146"/>
    <x v="208"/>
    <x v="241"/>
    <x v="245"/>
    <x v="229"/>
    <x v="245"/>
    <x v="246"/>
    <x v="138"/>
    <x v="246"/>
    <x v="0"/>
    <x v="1"/>
    <x v="0"/>
    <x v="246"/>
    <x v="0"/>
    <x v="147"/>
    <x v="0"/>
    <x v="3"/>
  </r>
  <r>
    <x v="246"/>
    <x v="2"/>
    <x v="2"/>
    <x v="0"/>
    <x v="1"/>
    <x v="2"/>
    <x v="1"/>
    <x v="0"/>
    <x v="0"/>
    <x v="0"/>
    <x v="0"/>
    <x v="0"/>
    <x v="0"/>
    <x v="2"/>
    <x v="247"/>
    <x v="2"/>
    <x v="2"/>
    <x v="0"/>
    <x v="247"/>
    <x v="247"/>
    <x v="0"/>
    <x v="0"/>
    <x v="0"/>
    <x v="184"/>
    <x v="224"/>
    <x v="0"/>
    <x v="0"/>
    <x v="209"/>
    <x v="242"/>
    <x v="246"/>
    <x v="230"/>
    <x v="246"/>
    <x v="246"/>
    <x v="0"/>
    <x v="246"/>
    <x v="0"/>
    <x v="1"/>
    <x v="0"/>
    <x v="246"/>
    <x v="0"/>
    <x v="0"/>
    <x v="0"/>
    <x v="3"/>
  </r>
  <r>
    <x v="247"/>
    <x v="0"/>
    <x v="2"/>
    <x v="0"/>
    <x v="1"/>
    <x v="2"/>
    <x v="0"/>
    <x v="0"/>
    <x v="0"/>
    <x v="0"/>
    <x v="2"/>
    <x v="0"/>
    <x v="0"/>
    <x v="21"/>
    <x v="248"/>
    <x v="11"/>
    <x v="33"/>
    <x v="0"/>
    <x v="248"/>
    <x v="248"/>
    <x v="139"/>
    <x v="130"/>
    <x v="139"/>
    <x v="185"/>
    <x v="225"/>
    <x v="96"/>
    <x v="147"/>
    <x v="210"/>
    <x v="243"/>
    <x v="247"/>
    <x v="231"/>
    <x v="247"/>
    <x v="247"/>
    <x v="139"/>
    <x v="247"/>
    <x v="0"/>
    <x v="1"/>
    <x v="0"/>
    <x v="247"/>
    <x v="0"/>
    <x v="148"/>
    <x v="0"/>
    <x v="3"/>
  </r>
  <r>
    <x v="248"/>
    <x v="0"/>
    <x v="2"/>
    <x v="0"/>
    <x v="1"/>
    <x v="40"/>
    <x v="1"/>
    <x v="0"/>
    <x v="0"/>
    <x v="0"/>
    <x v="0"/>
    <x v="0"/>
    <x v="0"/>
    <x v="7"/>
    <x v="249"/>
    <x v="0"/>
    <x v="18"/>
    <x v="1"/>
    <x v="249"/>
    <x v="249"/>
    <x v="0"/>
    <x v="0"/>
    <x v="0"/>
    <x v="186"/>
    <x v="226"/>
    <x v="0"/>
    <x v="0"/>
    <x v="211"/>
    <x v="244"/>
    <x v="248"/>
    <x v="232"/>
    <x v="248"/>
    <x v="248"/>
    <x v="0"/>
    <x v="248"/>
    <x v="0"/>
    <x v="1"/>
    <x v="0"/>
    <x v="248"/>
    <x v="0"/>
    <x v="0"/>
    <x v="0"/>
    <x v="3"/>
  </r>
  <r>
    <x v="249"/>
    <x v="0"/>
    <x v="2"/>
    <x v="0"/>
    <x v="1"/>
    <x v="2"/>
    <x v="2"/>
    <x v="0"/>
    <x v="0"/>
    <x v="0"/>
    <x v="0"/>
    <x v="0"/>
    <x v="0"/>
    <x v="31"/>
    <x v="250"/>
    <x v="0"/>
    <x v="40"/>
    <x v="0"/>
    <x v="250"/>
    <x v="250"/>
    <x v="140"/>
    <x v="131"/>
    <x v="140"/>
    <x v="187"/>
    <x v="227"/>
    <x v="97"/>
    <x v="148"/>
    <x v="212"/>
    <x v="245"/>
    <x v="249"/>
    <x v="233"/>
    <x v="249"/>
    <x v="249"/>
    <x v="140"/>
    <x v="249"/>
    <x v="0"/>
    <x v="1"/>
    <x v="0"/>
    <x v="249"/>
    <x v="0"/>
    <x v="149"/>
    <x v="0"/>
    <x v="3"/>
  </r>
  <r>
    <x v="250"/>
    <x v="1"/>
    <x v="2"/>
    <x v="1"/>
    <x v="1"/>
    <x v="2"/>
    <x v="0"/>
    <x v="0"/>
    <x v="0"/>
    <x v="0"/>
    <x v="0"/>
    <x v="0"/>
    <x v="0"/>
    <x v="1"/>
    <x v="251"/>
    <x v="1"/>
    <x v="25"/>
    <x v="1"/>
    <x v="251"/>
    <x v="251"/>
    <x v="0"/>
    <x v="0"/>
    <x v="0"/>
    <x v="188"/>
    <x v="228"/>
    <x v="0"/>
    <x v="0"/>
    <x v="213"/>
    <x v="246"/>
    <x v="250"/>
    <x v="234"/>
    <x v="250"/>
    <x v="250"/>
    <x v="0"/>
    <x v="250"/>
    <x v="0"/>
    <x v="1"/>
    <x v="0"/>
    <x v="250"/>
    <x v="0"/>
    <x v="0"/>
    <x v="0"/>
    <x v="3"/>
  </r>
  <r>
    <x v="251"/>
    <x v="0"/>
    <x v="1"/>
    <x v="0"/>
    <x v="1"/>
    <x v="41"/>
    <x v="1"/>
    <x v="0"/>
    <x v="0"/>
    <x v="0"/>
    <x v="0"/>
    <x v="0"/>
    <x v="0"/>
    <x v="29"/>
    <x v="252"/>
    <x v="8"/>
    <x v="52"/>
    <x v="0"/>
    <x v="252"/>
    <x v="252"/>
    <x v="63"/>
    <x v="75"/>
    <x v="141"/>
    <x v="1"/>
    <x v="229"/>
    <x v="98"/>
    <x v="149"/>
    <x v="214"/>
    <x v="247"/>
    <x v="251"/>
    <x v="235"/>
    <x v="251"/>
    <x v="251"/>
    <x v="141"/>
    <x v="251"/>
    <x v="0"/>
    <x v="1"/>
    <x v="0"/>
    <x v="251"/>
    <x v="0"/>
    <x v="150"/>
    <x v="0"/>
    <x v="3"/>
  </r>
  <r>
    <x v="252"/>
    <x v="0"/>
    <x v="2"/>
    <x v="0"/>
    <x v="1"/>
    <x v="42"/>
    <x v="0"/>
    <x v="0"/>
    <x v="0"/>
    <x v="0"/>
    <x v="0"/>
    <x v="0"/>
    <x v="0"/>
    <x v="22"/>
    <x v="253"/>
    <x v="2"/>
    <x v="53"/>
    <x v="1"/>
    <x v="253"/>
    <x v="253"/>
    <x v="0"/>
    <x v="0"/>
    <x v="0"/>
    <x v="189"/>
    <x v="230"/>
    <x v="0"/>
    <x v="0"/>
    <x v="215"/>
    <x v="248"/>
    <x v="252"/>
    <x v="236"/>
    <x v="252"/>
    <x v="252"/>
    <x v="0"/>
    <x v="252"/>
    <x v="0"/>
    <x v="1"/>
    <x v="0"/>
    <x v="252"/>
    <x v="0"/>
    <x v="0"/>
    <x v="0"/>
    <x v="3"/>
  </r>
  <r>
    <x v="253"/>
    <x v="1"/>
    <x v="2"/>
    <x v="1"/>
    <x v="1"/>
    <x v="2"/>
    <x v="0"/>
    <x v="0"/>
    <x v="0"/>
    <x v="0"/>
    <x v="0"/>
    <x v="0"/>
    <x v="0"/>
    <x v="1"/>
    <x v="254"/>
    <x v="1"/>
    <x v="47"/>
    <x v="1"/>
    <x v="254"/>
    <x v="254"/>
    <x v="141"/>
    <x v="132"/>
    <x v="142"/>
    <x v="1"/>
    <x v="71"/>
    <x v="99"/>
    <x v="150"/>
    <x v="216"/>
    <x v="249"/>
    <x v="253"/>
    <x v="237"/>
    <x v="253"/>
    <x v="253"/>
    <x v="142"/>
    <x v="253"/>
    <x v="0"/>
    <x v="1"/>
    <x v="0"/>
    <x v="253"/>
    <x v="0"/>
    <x v="151"/>
    <x v="0"/>
    <x v="3"/>
  </r>
  <r>
    <x v="254"/>
    <x v="1"/>
    <x v="2"/>
    <x v="1"/>
    <x v="1"/>
    <x v="2"/>
    <x v="0"/>
    <x v="0"/>
    <x v="0"/>
    <x v="0"/>
    <x v="0"/>
    <x v="0"/>
    <x v="0"/>
    <x v="1"/>
    <x v="255"/>
    <x v="1"/>
    <x v="47"/>
    <x v="1"/>
    <x v="255"/>
    <x v="255"/>
    <x v="142"/>
    <x v="66"/>
    <x v="143"/>
    <x v="1"/>
    <x v="71"/>
    <x v="100"/>
    <x v="151"/>
    <x v="217"/>
    <x v="250"/>
    <x v="254"/>
    <x v="238"/>
    <x v="254"/>
    <x v="254"/>
    <x v="143"/>
    <x v="254"/>
    <x v="0"/>
    <x v="1"/>
    <x v="0"/>
    <x v="254"/>
    <x v="0"/>
    <x v="152"/>
    <x v="0"/>
    <x v="3"/>
  </r>
  <r>
    <x v="255"/>
    <x v="0"/>
    <x v="2"/>
    <x v="0"/>
    <x v="1"/>
    <x v="43"/>
    <x v="1"/>
    <x v="2"/>
    <x v="0"/>
    <x v="0"/>
    <x v="0"/>
    <x v="0"/>
    <x v="0"/>
    <x v="0"/>
    <x v="256"/>
    <x v="0"/>
    <x v="0"/>
    <x v="0"/>
    <x v="256"/>
    <x v="256"/>
    <x v="143"/>
    <x v="133"/>
    <x v="144"/>
    <x v="190"/>
    <x v="231"/>
    <x v="0"/>
    <x v="152"/>
    <x v="218"/>
    <x v="251"/>
    <x v="255"/>
    <x v="239"/>
    <x v="255"/>
    <x v="255"/>
    <x v="144"/>
    <x v="255"/>
    <x v="0"/>
    <x v="1"/>
    <x v="0"/>
    <x v="255"/>
    <x v="0"/>
    <x v="153"/>
    <x v="0"/>
    <x v="3"/>
  </r>
  <r>
    <x v="256"/>
    <x v="2"/>
    <x v="2"/>
    <x v="0"/>
    <x v="1"/>
    <x v="2"/>
    <x v="1"/>
    <x v="0"/>
    <x v="0"/>
    <x v="0"/>
    <x v="0"/>
    <x v="0"/>
    <x v="0"/>
    <x v="23"/>
    <x v="257"/>
    <x v="12"/>
    <x v="32"/>
    <x v="1"/>
    <x v="257"/>
    <x v="257"/>
    <x v="0"/>
    <x v="0"/>
    <x v="0"/>
    <x v="191"/>
    <x v="232"/>
    <x v="0"/>
    <x v="0"/>
    <x v="219"/>
    <x v="252"/>
    <x v="256"/>
    <x v="240"/>
    <x v="256"/>
    <x v="256"/>
    <x v="0"/>
    <x v="256"/>
    <x v="0"/>
    <x v="1"/>
    <x v="0"/>
    <x v="256"/>
    <x v="0"/>
    <x v="0"/>
    <x v="0"/>
    <x v="3"/>
  </r>
  <r>
    <x v="257"/>
    <x v="1"/>
    <x v="2"/>
    <x v="1"/>
    <x v="1"/>
    <x v="2"/>
    <x v="0"/>
    <x v="0"/>
    <x v="0"/>
    <x v="0"/>
    <x v="0"/>
    <x v="0"/>
    <x v="0"/>
    <x v="39"/>
    <x v="258"/>
    <x v="1"/>
    <x v="6"/>
    <x v="0"/>
    <x v="258"/>
    <x v="258"/>
    <x v="0"/>
    <x v="0"/>
    <x v="0"/>
    <x v="192"/>
    <x v="233"/>
    <x v="0"/>
    <x v="0"/>
    <x v="220"/>
    <x v="253"/>
    <x v="257"/>
    <x v="241"/>
    <x v="257"/>
    <x v="257"/>
    <x v="0"/>
    <x v="257"/>
    <x v="0"/>
    <x v="1"/>
    <x v="0"/>
    <x v="257"/>
    <x v="0"/>
    <x v="0"/>
    <x v="0"/>
    <x v="3"/>
  </r>
  <r>
    <x v="258"/>
    <x v="0"/>
    <x v="2"/>
    <x v="0"/>
    <x v="1"/>
    <x v="2"/>
    <x v="2"/>
    <x v="0"/>
    <x v="0"/>
    <x v="0"/>
    <x v="0"/>
    <x v="0"/>
    <x v="0"/>
    <x v="33"/>
    <x v="259"/>
    <x v="9"/>
    <x v="20"/>
    <x v="0"/>
    <x v="259"/>
    <x v="259"/>
    <x v="0"/>
    <x v="0"/>
    <x v="0"/>
    <x v="193"/>
    <x v="234"/>
    <x v="101"/>
    <x v="153"/>
    <x v="198"/>
    <x v="254"/>
    <x v="258"/>
    <x v="218"/>
    <x v="258"/>
    <x v="258"/>
    <x v="0"/>
    <x v="258"/>
    <x v="0"/>
    <x v="1"/>
    <x v="0"/>
    <x v="258"/>
    <x v="0"/>
    <x v="0"/>
    <x v="0"/>
    <x v="3"/>
  </r>
  <r>
    <x v="259"/>
    <x v="1"/>
    <x v="2"/>
    <x v="1"/>
    <x v="1"/>
    <x v="2"/>
    <x v="0"/>
    <x v="0"/>
    <x v="0"/>
    <x v="0"/>
    <x v="0"/>
    <x v="0"/>
    <x v="0"/>
    <x v="1"/>
    <x v="260"/>
    <x v="1"/>
    <x v="6"/>
    <x v="1"/>
    <x v="260"/>
    <x v="260"/>
    <x v="144"/>
    <x v="134"/>
    <x v="145"/>
    <x v="1"/>
    <x v="71"/>
    <x v="102"/>
    <x v="154"/>
    <x v="221"/>
    <x v="255"/>
    <x v="259"/>
    <x v="242"/>
    <x v="259"/>
    <x v="259"/>
    <x v="145"/>
    <x v="259"/>
    <x v="0"/>
    <x v="1"/>
    <x v="0"/>
    <x v="259"/>
    <x v="0"/>
    <x v="154"/>
    <x v="0"/>
    <x v="3"/>
  </r>
  <r>
    <x v="260"/>
    <x v="0"/>
    <x v="0"/>
    <x v="0"/>
    <x v="1"/>
    <x v="44"/>
    <x v="2"/>
    <x v="1"/>
    <x v="0"/>
    <x v="0"/>
    <x v="0"/>
    <x v="0"/>
    <x v="0"/>
    <x v="8"/>
    <x v="261"/>
    <x v="7"/>
    <x v="9"/>
    <x v="0"/>
    <x v="261"/>
    <x v="261"/>
    <x v="145"/>
    <x v="135"/>
    <x v="146"/>
    <x v="1"/>
    <x v="71"/>
    <x v="0"/>
    <x v="155"/>
    <x v="1"/>
    <x v="256"/>
    <x v="260"/>
    <x v="243"/>
    <x v="260"/>
    <x v="260"/>
    <x v="146"/>
    <x v="260"/>
    <x v="0"/>
    <x v="1"/>
    <x v="0"/>
    <x v="260"/>
    <x v="0"/>
    <x v="155"/>
    <x v="0"/>
    <x v="3"/>
  </r>
  <r>
    <x v="261"/>
    <x v="1"/>
    <x v="2"/>
    <x v="1"/>
    <x v="1"/>
    <x v="2"/>
    <x v="0"/>
    <x v="0"/>
    <x v="0"/>
    <x v="0"/>
    <x v="0"/>
    <x v="0"/>
    <x v="0"/>
    <x v="1"/>
    <x v="262"/>
    <x v="1"/>
    <x v="13"/>
    <x v="1"/>
    <x v="262"/>
    <x v="262"/>
    <x v="0"/>
    <x v="0"/>
    <x v="0"/>
    <x v="194"/>
    <x v="235"/>
    <x v="0"/>
    <x v="0"/>
    <x v="222"/>
    <x v="257"/>
    <x v="261"/>
    <x v="244"/>
    <x v="261"/>
    <x v="261"/>
    <x v="0"/>
    <x v="261"/>
    <x v="0"/>
    <x v="1"/>
    <x v="0"/>
    <x v="261"/>
    <x v="0"/>
    <x v="0"/>
    <x v="0"/>
    <x v="3"/>
  </r>
  <r>
    <x v="262"/>
    <x v="0"/>
    <x v="2"/>
    <x v="0"/>
    <x v="1"/>
    <x v="2"/>
    <x v="2"/>
    <x v="0"/>
    <x v="0"/>
    <x v="0"/>
    <x v="0"/>
    <x v="0"/>
    <x v="0"/>
    <x v="37"/>
    <x v="263"/>
    <x v="0"/>
    <x v="40"/>
    <x v="1"/>
    <x v="263"/>
    <x v="263"/>
    <x v="52"/>
    <x v="43"/>
    <x v="147"/>
    <x v="195"/>
    <x v="236"/>
    <x v="103"/>
    <x v="156"/>
    <x v="223"/>
    <x v="258"/>
    <x v="262"/>
    <x v="245"/>
    <x v="262"/>
    <x v="262"/>
    <x v="147"/>
    <x v="262"/>
    <x v="0"/>
    <x v="1"/>
    <x v="0"/>
    <x v="262"/>
    <x v="0"/>
    <x v="156"/>
    <x v="0"/>
    <x v="3"/>
  </r>
  <r>
    <x v="263"/>
    <x v="0"/>
    <x v="2"/>
    <x v="0"/>
    <x v="1"/>
    <x v="2"/>
    <x v="2"/>
    <x v="0"/>
    <x v="0"/>
    <x v="0"/>
    <x v="0"/>
    <x v="0"/>
    <x v="0"/>
    <x v="8"/>
    <x v="264"/>
    <x v="7"/>
    <x v="16"/>
    <x v="0"/>
    <x v="264"/>
    <x v="264"/>
    <x v="146"/>
    <x v="136"/>
    <x v="148"/>
    <x v="196"/>
    <x v="237"/>
    <x v="104"/>
    <x v="157"/>
    <x v="224"/>
    <x v="259"/>
    <x v="263"/>
    <x v="246"/>
    <x v="263"/>
    <x v="263"/>
    <x v="148"/>
    <x v="263"/>
    <x v="0"/>
    <x v="1"/>
    <x v="0"/>
    <x v="263"/>
    <x v="0"/>
    <x v="157"/>
    <x v="0"/>
    <x v="3"/>
  </r>
  <r>
    <x v="264"/>
    <x v="1"/>
    <x v="2"/>
    <x v="1"/>
    <x v="1"/>
    <x v="2"/>
    <x v="0"/>
    <x v="0"/>
    <x v="0"/>
    <x v="0"/>
    <x v="0"/>
    <x v="0"/>
    <x v="0"/>
    <x v="20"/>
    <x v="265"/>
    <x v="16"/>
    <x v="54"/>
    <x v="0"/>
    <x v="265"/>
    <x v="265"/>
    <x v="147"/>
    <x v="137"/>
    <x v="149"/>
    <x v="197"/>
    <x v="238"/>
    <x v="105"/>
    <x v="158"/>
    <x v="225"/>
    <x v="260"/>
    <x v="264"/>
    <x v="247"/>
    <x v="264"/>
    <x v="264"/>
    <x v="149"/>
    <x v="264"/>
    <x v="0"/>
    <x v="1"/>
    <x v="0"/>
    <x v="264"/>
    <x v="0"/>
    <x v="158"/>
    <x v="0"/>
    <x v="3"/>
  </r>
  <r>
    <x v="265"/>
    <x v="1"/>
    <x v="2"/>
    <x v="1"/>
    <x v="1"/>
    <x v="2"/>
    <x v="0"/>
    <x v="0"/>
    <x v="0"/>
    <x v="0"/>
    <x v="0"/>
    <x v="0"/>
    <x v="0"/>
    <x v="1"/>
    <x v="266"/>
    <x v="1"/>
    <x v="47"/>
    <x v="1"/>
    <x v="266"/>
    <x v="266"/>
    <x v="97"/>
    <x v="138"/>
    <x v="150"/>
    <x v="1"/>
    <x v="71"/>
    <x v="106"/>
    <x v="159"/>
    <x v="226"/>
    <x v="261"/>
    <x v="265"/>
    <x v="248"/>
    <x v="265"/>
    <x v="265"/>
    <x v="150"/>
    <x v="265"/>
    <x v="0"/>
    <x v="1"/>
    <x v="0"/>
    <x v="265"/>
    <x v="0"/>
    <x v="159"/>
    <x v="0"/>
    <x v="3"/>
  </r>
  <r>
    <x v="266"/>
    <x v="0"/>
    <x v="2"/>
    <x v="1"/>
    <x v="1"/>
    <x v="2"/>
    <x v="0"/>
    <x v="0"/>
    <x v="0"/>
    <x v="0"/>
    <x v="0"/>
    <x v="0"/>
    <x v="0"/>
    <x v="11"/>
    <x v="267"/>
    <x v="8"/>
    <x v="50"/>
    <x v="0"/>
    <x v="267"/>
    <x v="267"/>
    <x v="63"/>
    <x v="63"/>
    <x v="64"/>
    <x v="198"/>
    <x v="239"/>
    <x v="107"/>
    <x v="160"/>
    <x v="227"/>
    <x v="262"/>
    <x v="266"/>
    <x v="249"/>
    <x v="266"/>
    <x v="266"/>
    <x v="64"/>
    <x v="266"/>
    <x v="0"/>
    <x v="1"/>
    <x v="0"/>
    <x v="266"/>
    <x v="0"/>
    <x v="160"/>
    <x v="0"/>
    <x v="3"/>
  </r>
  <r>
    <x v="267"/>
    <x v="0"/>
    <x v="2"/>
    <x v="2"/>
    <x v="28"/>
    <x v="2"/>
    <x v="0"/>
    <x v="0"/>
    <x v="0"/>
    <x v="0"/>
    <x v="0"/>
    <x v="0"/>
    <x v="0"/>
    <x v="21"/>
    <x v="268"/>
    <x v="11"/>
    <x v="30"/>
    <x v="0"/>
    <x v="268"/>
    <x v="268"/>
    <x v="148"/>
    <x v="31"/>
    <x v="92"/>
    <x v="199"/>
    <x v="71"/>
    <x v="108"/>
    <x v="161"/>
    <x v="228"/>
    <x v="263"/>
    <x v="267"/>
    <x v="250"/>
    <x v="267"/>
    <x v="267"/>
    <x v="92"/>
    <x v="267"/>
    <x v="0"/>
    <x v="1"/>
    <x v="0"/>
    <x v="267"/>
    <x v="0"/>
    <x v="161"/>
    <x v="0"/>
    <x v="3"/>
  </r>
  <r>
    <x v="268"/>
    <x v="0"/>
    <x v="1"/>
    <x v="0"/>
    <x v="1"/>
    <x v="45"/>
    <x v="0"/>
    <x v="2"/>
    <x v="0"/>
    <x v="0"/>
    <x v="0"/>
    <x v="0"/>
    <x v="0"/>
    <x v="22"/>
    <x v="269"/>
    <x v="7"/>
    <x v="27"/>
    <x v="0"/>
    <x v="269"/>
    <x v="269"/>
    <x v="0"/>
    <x v="0"/>
    <x v="0"/>
    <x v="1"/>
    <x v="240"/>
    <x v="0"/>
    <x v="162"/>
    <x v="1"/>
    <x v="264"/>
    <x v="268"/>
    <x v="1"/>
    <x v="268"/>
    <x v="268"/>
    <x v="0"/>
    <x v="268"/>
    <x v="0"/>
    <x v="1"/>
    <x v="0"/>
    <x v="268"/>
    <x v="1"/>
    <x v="0"/>
    <x v="0"/>
    <x v="3"/>
  </r>
  <r>
    <x v="269"/>
    <x v="1"/>
    <x v="2"/>
    <x v="1"/>
    <x v="1"/>
    <x v="2"/>
    <x v="0"/>
    <x v="0"/>
    <x v="0"/>
    <x v="0"/>
    <x v="0"/>
    <x v="0"/>
    <x v="0"/>
    <x v="4"/>
    <x v="270"/>
    <x v="10"/>
    <x v="39"/>
    <x v="0"/>
    <x v="270"/>
    <x v="270"/>
    <x v="149"/>
    <x v="139"/>
    <x v="151"/>
    <x v="1"/>
    <x v="241"/>
    <x v="0"/>
    <x v="163"/>
    <x v="1"/>
    <x v="265"/>
    <x v="269"/>
    <x v="251"/>
    <x v="269"/>
    <x v="269"/>
    <x v="151"/>
    <x v="269"/>
    <x v="0"/>
    <x v="1"/>
    <x v="0"/>
    <x v="269"/>
    <x v="0"/>
    <x v="162"/>
    <x v="0"/>
    <x v="3"/>
  </r>
  <r>
    <x v="270"/>
    <x v="1"/>
    <x v="2"/>
    <x v="1"/>
    <x v="1"/>
    <x v="2"/>
    <x v="0"/>
    <x v="0"/>
    <x v="0"/>
    <x v="0"/>
    <x v="0"/>
    <x v="0"/>
    <x v="0"/>
    <x v="1"/>
    <x v="271"/>
    <x v="1"/>
    <x v="13"/>
    <x v="0"/>
    <x v="271"/>
    <x v="271"/>
    <x v="0"/>
    <x v="0"/>
    <x v="0"/>
    <x v="200"/>
    <x v="242"/>
    <x v="0"/>
    <x v="0"/>
    <x v="229"/>
    <x v="266"/>
    <x v="270"/>
    <x v="252"/>
    <x v="270"/>
    <x v="270"/>
    <x v="0"/>
    <x v="270"/>
    <x v="0"/>
    <x v="1"/>
    <x v="0"/>
    <x v="270"/>
    <x v="0"/>
    <x v="0"/>
    <x v="0"/>
    <x v="3"/>
  </r>
  <r>
    <x v="271"/>
    <x v="0"/>
    <x v="2"/>
    <x v="1"/>
    <x v="1"/>
    <x v="2"/>
    <x v="0"/>
    <x v="0"/>
    <x v="0"/>
    <x v="0"/>
    <x v="0"/>
    <x v="0"/>
    <x v="0"/>
    <x v="8"/>
    <x v="272"/>
    <x v="7"/>
    <x v="16"/>
    <x v="0"/>
    <x v="272"/>
    <x v="272"/>
    <x v="150"/>
    <x v="140"/>
    <x v="152"/>
    <x v="102"/>
    <x v="243"/>
    <x v="109"/>
    <x v="10"/>
    <x v="230"/>
    <x v="267"/>
    <x v="271"/>
    <x v="253"/>
    <x v="271"/>
    <x v="271"/>
    <x v="152"/>
    <x v="271"/>
    <x v="0"/>
    <x v="1"/>
    <x v="0"/>
    <x v="271"/>
    <x v="0"/>
    <x v="163"/>
    <x v="0"/>
    <x v="3"/>
  </r>
  <r>
    <x v="272"/>
    <x v="1"/>
    <x v="2"/>
    <x v="1"/>
    <x v="1"/>
    <x v="2"/>
    <x v="0"/>
    <x v="0"/>
    <x v="0"/>
    <x v="0"/>
    <x v="0"/>
    <x v="0"/>
    <x v="0"/>
    <x v="1"/>
    <x v="273"/>
    <x v="1"/>
    <x v="4"/>
    <x v="2"/>
    <x v="273"/>
    <x v="273"/>
    <x v="0"/>
    <x v="0"/>
    <x v="0"/>
    <x v="201"/>
    <x v="244"/>
    <x v="0"/>
    <x v="0"/>
    <x v="231"/>
    <x v="268"/>
    <x v="272"/>
    <x v="254"/>
    <x v="271"/>
    <x v="272"/>
    <x v="0"/>
    <x v="272"/>
    <x v="0"/>
    <x v="1"/>
    <x v="0"/>
    <x v="272"/>
    <x v="0"/>
    <x v="0"/>
    <x v="0"/>
    <x v="3"/>
  </r>
  <r>
    <x v="273"/>
    <x v="2"/>
    <x v="2"/>
    <x v="0"/>
    <x v="1"/>
    <x v="2"/>
    <x v="1"/>
    <x v="0"/>
    <x v="0"/>
    <x v="0"/>
    <x v="0"/>
    <x v="0"/>
    <x v="0"/>
    <x v="6"/>
    <x v="274"/>
    <x v="2"/>
    <x v="2"/>
    <x v="0"/>
    <x v="274"/>
    <x v="274"/>
    <x v="0"/>
    <x v="0"/>
    <x v="0"/>
    <x v="202"/>
    <x v="245"/>
    <x v="0"/>
    <x v="0"/>
    <x v="232"/>
    <x v="269"/>
    <x v="273"/>
    <x v="255"/>
    <x v="272"/>
    <x v="273"/>
    <x v="0"/>
    <x v="273"/>
    <x v="0"/>
    <x v="1"/>
    <x v="0"/>
    <x v="273"/>
    <x v="0"/>
    <x v="0"/>
    <x v="0"/>
    <x v="3"/>
  </r>
  <r>
    <x v="274"/>
    <x v="2"/>
    <x v="0"/>
    <x v="2"/>
    <x v="29"/>
    <x v="46"/>
    <x v="1"/>
    <x v="0"/>
    <x v="0"/>
    <x v="0"/>
    <x v="0"/>
    <x v="0"/>
    <x v="0"/>
    <x v="2"/>
    <x v="275"/>
    <x v="2"/>
    <x v="2"/>
    <x v="1"/>
    <x v="275"/>
    <x v="275"/>
    <x v="0"/>
    <x v="0"/>
    <x v="0"/>
    <x v="203"/>
    <x v="246"/>
    <x v="0"/>
    <x v="0"/>
    <x v="233"/>
    <x v="270"/>
    <x v="274"/>
    <x v="256"/>
    <x v="273"/>
    <x v="274"/>
    <x v="0"/>
    <x v="274"/>
    <x v="0"/>
    <x v="1"/>
    <x v="0"/>
    <x v="274"/>
    <x v="0"/>
    <x v="0"/>
    <x v="0"/>
    <x v="3"/>
  </r>
  <r>
    <x v="275"/>
    <x v="1"/>
    <x v="2"/>
    <x v="1"/>
    <x v="1"/>
    <x v="2"/>
    <x v="0"/>
    <x v="0"/>
    <x v="0"/>
    <x v="0"/>
    <x v="0"/>
    <x v="0"/>
    <x v="0"/>
    <x v="1"/>
    <x v="276"/>
    <x v="1"/>
    <x v="25"/>
    <x v="2"/>
    <x v="276"/>
    <x v="276"/>
    <x v="151"/>
    <x v="141"/>
    <x v="153"/>
    <x v="1"/>
    <x v="247"/>
    <x v="0"/>
    <x v="164"/>
    <x v="1"/>
    <x v="271"/>
    <x v="275"/>
    <x v="257"/>
    <x v="274"/>
    <x v="275"/>
    <x v="153"/>
    <x v="275"/>
    <x v="0"/>
    <x v="1"/>
    <x v="0"/>
    <x v="275"/>
    <x v="1"/>
    <x v="164"/>
    <x v="0"/>
    <x v="3"/>
  </r>
  <r>
    <x v="276"/>
    <x v="1"/>
    <x v="2"/>
    <x v="1"/>
    <x v="1"/>
    <x v="2"/>
    <x v="0"/>
    <x v="0"/>
    <x v="0"/>
    <x v="0"/>
    <x v="0"/>
    <x v="0"/>
    <x v="0"/>
    <x v="1"/>
    <x v="277"/>
    <x v="1"/>
    <x v="4"/>
    <x v="2"/>
    <x v="277"/>
    <x v="277"/>
    <x v="0"/>
    <x v="0"/>
    <x v="0"/>
    <x v="204"/>
    <x v="248"/>
    <x v="0"/>
    <x v="0"/>
    <x v="234"/>
    <x v="272"/>
    <x v="276"/>
    <x v="258"/>
    <x v="275"/>
    <x v="276"/>
    <x v="0"/>
    <x v="276"/>
    <x v="0"/>
    <x v="1"/>
    <x v="0"/>
    <x v="276"/>
    <x v="0"/>
    <x v="0"/>
    <x v="0"/>
    <x v="3"/>
  </r>
  <r>
    <x v="277"/>
    <x v="0"/>
    <x v="2"/>
    <x v="1"/>
    <x v="1"/>
    <x v="47"/>
    <x v="0"/>
    <x v="2"/>
    <x v="0"/>
    <x v="0"/>
    <x v="0"/>
    <x v="0"/>
    <x v="0"/>
    <x v="0"/>
    <x v="278"/>
    <x v="0"/>
    <x v="0"/>
    <x v="0"/>
    <x v="278"/>
    <x v="278"/>
    <x v="0"/>
    <x v="0"/>
    <x v="0"/>
    <x v="205"/>
    <x v="249"/>
    <x v="0"/>
    <x v="0"/>
    <x v="235"/>
    <x v="273"/>
    <x v="165"/>
    <x v="259"/>
    <x v="276"/>
    <x v="277"/>
    <x v="0"/>
    <x v="277"/>
    <x v="0"/>
    <x v="1"/>
    <x v="0"/>
    <x v="277"/>
    <x v="0"/>
    <x v="0"/>
    <x v="0"/>
    <x v="3"/>
  </r>
  <r>
    <x v="278"/>
    <x v="0"/>
    <x v="2"/>
    <x v="1"/>
    <x v="1"/>
    <x v="2"/>
    <x v="0"/>
    <x v="0"/>
    <x v="0"/>
    <x v="0"/>
    <x v="0"/>
    <x v="0"/>
    <x v="0"/>
    <x v="18"/>
    <x v="279"/>
    <x v="2"/>
    <x v="2"/>
    <x v="0"/>
    <x v="279"/>
    <x v="279"/>
    <x v="152"/>
    <x v="142"/>
    <x v="78"/>
    <x v="1"/>
    <x v="250"/>
    <x v="0"/>
    <x v="165"/>
    <x v="1"/>
    <x v="274"/>
    <x v="277"/>
    <x v="260"/>
    <x v="277"/>
    <x v="278"/>
    <x v="78"/>
    <x v="278"/>
    <x v="0"/>
    <x v="1"/>
    <x v="0"/>
    <x v="278"/>
    <x v="1"/>
    <x v="165"/>
    <x v="0"/>
    <x v="3"/>
  </r>
  <r>
    <x v="279"/>
    <x v="1"/>
    <x v="2"/>
    <x v="1"/>
    <x v="1"/>
    <x v="2"/>
    <x v="0"/>
    <x v="0"/>
    <x v="0"/>
    <x v="0"/>
    <x v="0"/>
    <x v="0"/>
    <x v="0"/>
    <x v="1"/>
    <x v="280"/>
    <x v="1"/>
    <x v="4"/>
    <x v="1"/>
    <x v="280"/>
    <x v="280"/>
    <x v="0"/>
    <x v="0"/>
    <x v="0"/>
    <x v="206"/>
    <x v="50"/>
    <x v="0"/>
    <x v="0"/>
    <x v="236"/>
    <x v="275"/>
    <x v="278"/>
    <x v="261"/>
    <x v="278"/>
    <x v="279"/>
    <x v="0"/>
    <x v="279"/>
    <x v="0"/>
    <x v="1"/>
    <x v="0"/>
    <x v="279"/>
    <x v="0"/>
    <x v="0"/>
    <x v="0"/>
    <x v="3"/>
  </r>
  <r>
    <x v="280"/>
    <x v="1"/>
    <x v="2"/>
    <x v="1"/>
    <x v="1"/>
    <x v="2"/>
    <x v="0"/>
    <x v="0"/>
    <x v="0"/>
    <x v="0"/>
    <x v="0"/>
    <x v="0"/>
    <x v="0"/>
    <x v="6"/>
    <x v="281"/>
    <x v="5"/>
    <x v="31"/>
    <x v="0"/>
    <x v="281"/>
    <x v="281"/>
    <x v="114"/>
    <x v="138"/>
    <x v="154"/>
    <x v="207"/>
    <x v="251"/>
    <x v="0"/>
    <x v="166"/>
    <x v="237"/>
    <x v="276"/>
    <x v="279"/>
    <x v="262"/>
    <x v="279"/>
    <x v="280"/>
    <x v="154"/>
    <x v="280"/>
    <x v="0"/>
    <x v="1"/>
    <x v="0"/>
    <x v="280"/>
    <x v="0"/>
    <x v="166"/>
    <x v="0"/>
    <x v="3"/>
  </r>
  <r>
    <x v="281"/>
    <x v="1"/>
    <x v="2"/>
    <x v="1"/>
    <x v="1"/>
    <x v="2"/>
    <x v="0"/>
    <x v="0"/>
    <x v="0"/>
    <x v="0"/>
    <x v="0"/>
    <x v="0"/>
    <x v="0"/>
    <x v="20"/>
    <x v="282"/>
    <x v="5"/>
    <x v="7"/>
    <x v="0"/>
    <x v="282"/>
    <x v="282"/>
    <x v="0"/>
    <x v="0"/>
    <x v="0"/>
    <x v="208"/>
    <x v="252"/>
    <x v="0"/>
    <x v="0"/>
    <x v="238"/>
    <x v="277"/>
    <x v="280"/>
    <x v="263"/>
    <x v="280"/>
    <x v="281"/>
    <x v="0"/>
    <x v="281"/>
    <x v="0"/>
    <x v="1"/>
    <x v="0"/>
    <x v="281"/>
    <x v="0"/>
    <x v="0"/>
    <x v="0"/>
    <x v="3"/>
  </r>
  <r>
    <x v="282"/>
    <x v="1"/>
    <x v="2"/>
    <x v="1"/>
    <x v="1"/>
    <x v="2"/>
    <x v="0"/>
    <x v="0"/>
    <x v="0"/>
    <x v="0"/>
    <x v="0"/>
    <x v="0"/>
    <x v="0"/>
    <x v="6"/>
    <x v="283"/>
    <x v="5"/>
    <x v="31"/>
    <x v="0"/>
    <x v="283"/>
    <x v="283"/>
    <x v="153"/>
    <x v="143"/>
    <x v="155"/>
    <x v="209"/>
    <x v="253"/>
    <x v="0"/>
    <x v="167"/>
    <x v="239"/>
    <x v="278"/>
    <x v="281"/>
    <x v="264"/>
    <x v="281"/>
    <x v="282"/>
    <x v="155"/>
    <x v="282"/>
    <x v="0"/>
    <x v="1"/>
    <x v="0"/>
    <x v="282"/>
    <x v="0"/>
    <x v="167"/>
    <x v="0"/>
    <x v="3"/>
  </r>
  <r>
    <x v="283"/>
    <x v="1"/>
    <x v="2"/>
    <x v="1"/>
    <x v="1"/>
    <x v="2"/>
    <x v="0"/>
    <x v="0"/>
    <x v="0"/>
    <x v="0"/>
    <x v="0"/>
    <x v="0"/>
    <x v="0"/>
    <x v="1"/>
    <x v="284"/>
    <x v="1"/>
    <x v="6"/>
    <x v="0"/>
    <x v="284"/>
    <x v="284"/>
    <x v="0"/>
    <x v="0"/>
    <x v="0"/>
    <x v="210"/>
    <x v="254"/>
    <x v="0"/>
    <x v="0"/>
    <x v="240"/>
    <x v="279"/>
    <x v="282"/>
    <x v="265"/>
    <x v="282"/>
    <x v="283"/>
    <x v="0"/>
    <x v="283"/>
    <x v="0"/>
    <x v="1"/>
    <x v="0"/>
    <x v="283"/>
    <x v="0"/>
    <x v="0"/>
    <x v="0"/>
    <x v="3"/>
  </r>
  <r>
    <x v="284"/>
    <x v="1"/>
    <x v="2"/>
    <x v="1"/>
    <x v="1"/>
    <x v="2"/>
    <x v="0"/>
    <x v="0"/>
    <x v="0"/>
    <x v="0"/>
    <x v="0"/>
    <x v="0"/>
    <x v="0"/>
    <x v="6"/>
    <x v="285"/>
    <x v="1"/>
    <x v="13"/>
    <x v="0"/>
    <x v="285"/>
    <x v="285"/>
    <x v="0"/>
    <x v="0"/>
    <x v="0"/>
    <x v="211"/>
    <x v="255"/>
    <x v="0"/>
    <x v="0"/>
    <x v="241"/>
    <x v="280"/>
    <x v="283"/>
    <x v="266"/>
    <x v="283"/>
    <x v="284"/>
    <x v="0"/>
    <x v="284"/>
    <x v="0"/>
    <x v="1"/>
    <x v="0"/>
    <x v="284"/>
    <x v="0"/>
    <x v="0"/>
    <x v="0"/>
    <x v="3"/>
  </r>
  <r>
    <x v="285"/>
    <x v="1"/>
    <x v="2"/>
    <x v="1"/>
    <x v="1"/>
    <x v="2"/>
    <x v="0"/>
    <x v="0"/>
    <x v="0"/>
    <x v="0"/>
    <x v="0"/>
    <x v="0"/>
    <x v="0"/>
    <x v="1"/>
    <x v="286"/>
    <x v="1"/>
    <x v="13"/>
    <x v="0"/>
    <x v="286"/>
    <x v="286"/>
    <x v="154"/>
    <x v="144"/>
    <x v="156"/>
    <x v="212"/>
    <x v="256"/>
    <x v="0"/>
    <x v="168"/>
    <x v="242"/>
    <x v="281"/>
    <x v="284"/>
    <x v="267"/>
    <x v="284"/>
    <x v="285"/>
    <x v="156"/>
    <x v="285"/>
    <x v="0"/>
    <x v="1"/>
    <x v="0"/>
    <x v="285"/>
    <x v="0"/>
    <x v="168"/>
    <x v="0"/>
    <x v="3"/>
  </r>
  <r>
    <x v="286"/>
    <x v="0"/>
    <x v="2"/>
    <x v="0"/>
    <x v="1"/>
    <x v="48"/>
    <x v="0"/>
    <x v="0"/>
    <x v="0"/>
    <x v="0"/>
    <x v="0"/>
    <x v="0"/>
    <x v="0"/>
    <x v="1"/>
    <x v="287"/>
    <x v="2"/>
    <x v="6"/>
    <x v="1"/>
    <x v="287"/>
    <x v="287"/>
    <x v="0"/>
    <x v="0"/>
    <x v="0"/>
    <x v="213"/>
    <x v="257"/>
    <x v="0"/>
    <x v="0"/>
    <x v="243"/>
    <x v="282"/>
    <x v="285"/>
    <x v="268"/>
    <x v="254"/>
    <x v="286"/>
    <x v="0"/>
    <x v="286"/>
    <x v="0"/>
    <x v="1"/>
    <x v="0"/>
    <x v="286"/>
    <x v="0"/>
    <x v="0"/>
    <x v="0"/>
    <x v="3"/>
  </r>
  <r>
    <x v="287"/>
    <x v="1"/>
    <x v="2"/>
    <x v="1"/>
    <x v="1"/>
    <x v="2"/>
    <x v="0"/>
    <x v="0"/>
    <x v="0"/>
    <x v="0"/>
    <x v="0"/>
    <x v="0"/>
    <x v="0"/>
    <x v="7"/>
    <x v="288"/>
    <x v="6"/>
    <x v="29"/>
    <x v="0"/>
    <x v="288"/>
    <x v="288"/>
    <x v="155"/>
    <x v="145"/>
    <x v="157"/>
    <x v="214"/>
    <x v="258"/>
    <x v="110"/>
    <x v="169"/>
    <x v="244"/>
    <x v="283"/>
    <x v="286"/>
    <x v="269"/>
    <x v="285"/>
    <x v="287"/>
    <x v="157"/>
    <x v="287"/>
    <x v="0"/>
    <x v="1"/>
    <x v="0"/>
    <x v="287"/>
    <x v="0"/>
    <x v="169"/>
    <x v="0"/>
    <x v="3"/>
  </r>
  <r>
    <x v="288"/>
    <x v="0"/>
    <x v="2"/>
    <x v="1"/>
    <x v="1"/>
    <x v="2"/>
    <x v="0"/>
    <x v="0"/>
    <x v="0"/>
    <x v="0"/>
    <x v="0"/>
    <x v="0"/>
    <x v="0"/>
    <x v="22"/>
    <x v="289"/>
    <x v="9"/>
    <x v="22"/>
    <x v="0"/>
    <x v="289"/>
    <x v="289"/>
    <x v="0"/>
    <x v="0"/>
    <x v="0"/>
    <x v="215"/>
    <x v="259"/>
    <x v="0"/>
    <x v="0"/>
    <x v="245"/>
    <x v="284"/>
    <x v="287"/>
    <x v="270"/>
    <x v="253"/>
    <x v="288"/>
    <x v="0"/>
    <x v="288"/>
    <x v="0"/>
    <x v="1"/>
    <x v="0"/>
    <x v="288"/>
    <x v="0"/>
    <x v="0"/>
    <x v="0"/>
    <x v="3"/>
  </r>
  <r>
    <x v="289"/>
    <x v="0"/>
    <x v="2"/>
    <x v="1"/>
    <x v="1"/>
    <x v="2"/>
    <x v="0"/>
    <x v="0"/>
    <x v="0"/>
    <x v="0"/>
    <x v="0"/>
    <x v="0"/>
    <x v="0"/>
    <x v="0"/>
    <x v="290"/>
    <x v="0"/>
    <x v="0"/>
    <x v="0"/>
    <x v="290"/>
    <x v="290"/>
    <x v="0"/>
    <x v="0"/>
    <x v="0"/>
    <x v="216"/>
    <x v="260"/>
    <x v="0"/>
    <x v="0"/>
    <x v="246"/>
    <x v="285"/>
    <x v="288"/>
    <x v="271"/>
    <x v="286"/>
    <x v="289"/>
    <x v="0"/>
    <x v="289"/>
    <x v="0"/>
    <x v="1"/>
    <x v="0"/>
    <x v="289"/>
    <x v="0"/>
    <x v="0"/>
    <x v="0"/>
    <x v="3"/>
  </r>
  <r>
    <x v="290"/>
    <x v="0"/>
    <x v="2"/>
    <x v="1"/>
    <x v="1"/>
    <x v="2"/>
    <x v="0"/>
    <x v="0"/>
    <x v="0"/>
    <x v="0"/>
    <x v="0"/>
    <x v="0"/>
    <x v="0"/>
    <x v="0"/>
    <x v="291"/>
    <x v="0"/>
    <x v="0"/>
    <x v="0"/>
    <x v="291"/>
    <x v="291"/>
    <x v="0"/>
    <x v="0"/>
    <x v="0"/>
    <x v="217"/>
    <x v="261"/>
    <x v="0"/>
    <x v="0"/>
    <x v="247"/>
    <x v="286"/>
    <x v="289"/>
    <x v="272"/>
    <x v="287"/>
    <x v="290"/>
    <x v="0"/>
    <x v="290"/>
    <x v="0"/>
    <x v="1"/>
    <x v="0"/>
    <x v="290"/>
    <x v="0"/>
    <x v="0"/>
    <x v="0"/>
    <x v="3"/>
  </r>
  <r>
    <x v="291"/>
    <x v="1"/>
    <x v="2"/>
    <x v="1"/>
    <x v="1"/>
    <x v="2"/>
    <x v="0"/>
    <x v="0"/>
    <x v="0"/>
    <x v="0"/>
    <x v="0"/>
    <x v="0"/>
    <x v="0"/>
    <x v="1"/>
    <x v="292"/>
    <x v="1"/>
    <x v="6"/>
    <x v="2"/>
    <x v="292"/>
    <x v="292"/>
    <x v="0"/>
    <x v="0"/>
    <x v="0"/>
    <x v="218"/>
    <x v="262"/>
    <x v="0"/>
    <x v="0"/>
    <x v="248"/>
    <x v="287"/>
    <x v="289"/>
    <x v="273"/>
    <x v="288"/>
    <x v="290"/>
    <x v="0"/>
    <x v="290"/>
    <x v="0"/>
    <x v="1"/>
    <x v="0"/>
    <x v="290"/>
    <x v="0"/>
    <x v="0"/>
    <x v="0"/>
    <x v="3"/>
  </r>
  <r>
    <x v="292"/>
    <x v="1"/>
    <x v="2"/>
    <x v="1"/>
    <x v="1"/>
    <x v="2"/>
    <x v="0"/>
    <x v="0"/>
    <x v="0"/>
    <x v="0"/>
    <x v="0"/>
    <x v="0"/>
    <x v="0"/>
    <x v="7"/>
    <x v="293"/>
    <x v="6"/>
    <x v="29"/>
    <x v="0"/>
    <x v="293"/>
    <x v="293"/>
    <x v="134"/>
    <x v="146"/>
    <x v="158"/>
    <x v="219"/>
    <x v="263"/>
    <x v="0"/>
    <x v="170"/>
    <x v="249"/>
    <x v="288"/>
    <x v="290"/>
    <x v="274"/>
    <x v="289"/>
    <x v="291"/>
    <x v="158"/>
    <x v="291"/>
    <x v="0"/>
    <x v="1"/>
    <x v="0"/>
    <x v="291"/>
    <x v="0"/>
    <x v="170"/>
    <x v="0"/>
    <x v="3"/>
  </r>
  <r>
    <x v="293"/>
    <x v="1"/>
    <x v="2"/>
    <x v="1"/>
    <x v="1"/>
    <x v="2"/>
    <x v="0"/>
    <x v="0"/>
    <x v="0"/>
    <x v="0"/>
    <x v="0"/>
    <x v="0"/>
    <x v="0"/>
    <x v="4"/>
    <x v="294"/>
    <x v="10"/>
    <x v="39"/>
    <x v="0"/>
    <x v="294"/>
    <x v="294"/>
    <x v="156"/>
    <x v="147"/>
    <x v="159"/>
    <x v="1"/>
    <x v="264"/>
    <x v="0"/>
    <x v="171"/>
    <x v="1"/>
    <x v="289"/>
    <x v="291"/>
    <x v="275"/>
    <x v="290"/>
    <x v="292"/>
    <x v="159"/>
    <x v="292"/>
    <x v="0"/>
    <x v="1"/>
    <x v="0"/>
    <x v="292"/>
    <x v="0"/>
    <x v="171"/>
    <x v="0"/>
    <x v="3"/>
  </r>
  <r>
    <x v="294"/>
    <x v="1"/>
    <x v="2"/>
    <x v="1"/>
    <x v="1"/>
    <x v="2"/>
    <x v="0"/>
    <x v="0"/>
    <x v="0"/>
    <x v="0"/>
    <x v="0"/>
    <x v="0"/>
    <x v="0"/>
    <x v="7"/>
    <x v="295"/>
    <x v="15"/>
    <x v="45"/>
    <x v="0"/>
    <x v="295"/>
    <x v="295"/>
    <x v="157"/>
    <x v="148"/>
    <x v="160"/>
    <x v="220"/>
    <x v="265"/>
    <x v="111"/>
    <x v="172"/>
    <x v="250"/>
    <x v="290"/>
    <x v="292"/>
    <x v="276"/>
    <x v="291"/>
    <x v="293"/>
    <x v="160"/>
    <x v="293"/>
    <x v="0"/>
    <x v="1"/>
    <x v="0"/>
    <x v="293"/>
    <x v="0"/>
    <x v="172"/>
    <x v="0"/>
    <x v="3"/>
  </r>
  <r>
    <x v="295"/>
    <x v="0"/>
    <x v="0"/>
    <x v="0"/>
    <x v="1"/>
    <x v="2"/>
    <x v="0"/>
    <x v="0"/>
    <x v="0"/>
    <x v="0"/>
    <x v="0"/>
    <x v="0"/>
    <x v="0"/>
    <x v="0"/>
    <x v="296"/>
    <x v="0"/>
    <x v="0"/>
    <x v="0"/>
    <x v="296"/>
    <x v="296"/>
    <x v="0"/>
    <x v="0"/>
    <x v="0"/>
    <x v="221"/>
    <x v="266"/>
    <x v="0"/>
    <x v="0"/>
    <x v="251"/>
    <x v="291"/>
    <x v="293"/>
    <x v="277"/>
    <x v="292"/>
    <x v="294"/>
    <x v="0"/>
    <x v="294"/>
    <x v="0"/>
    <x v="1"/>
    <x v="0"/>
    <x v="294"/>
    <x v="0"/>
    <x v="0"/>
    <x v="0"/>
    <x v="3"/>
  </r>
  <r>
    <x v="296"/>
    <x v="1"/>
    <x v="2"/>
    <x v="1"/>
    <x v="1"/>
    <x v="2"/>
    <x v="0"/>
    <x v="0"/>
    <x v="0"/>
    <x v="0"/>
    <x v="0"/>
    <x v="0"/>
    <x v="0"/>
    <x v="1"/>
    <x v="297"/>
    <x v="1"/>
    <x v="47"/>
    <x v="1"/>
    <x v="297"/>
    <x v="297"/>
    <x v="0"/>
    <x v="0"/>
    <x v="0"/>
    <x v="1"/>
    <x v="71"/>
    <x v="112"/>
    <x v="173"/>
    <x v="252"/>
    <x v="292"/>
    <x v="294"/>
    <x v="278"/>
    <x v="293"/>
    <x v="295"/>
    <x v="0"/>
    <x v="295"/>
    <x v="0"/>
    <x v="1"/>
    <x v="0"/>
    <x v="295"/>
    <x v="0"/>
    <x v="0"/>
    <x v="0"/>
    <x v="3"/>
  </r>
  <r>
    <x v="297"/>
    <x v="0"/>
    <x v="2"/>
    <x v="0"/>
    <x v="1"/>
    <x v="2"/>
    <x v="0"/>
    <x v="0"/>
    <x v="0"/>
    <x v="0"/>
    <x v="0"/>
    <x v="0"/>
    <x v="0"/>
    <x v="17"/>
    <x v="298"/>
    <x v="9"/>
    <x v="22"/>
    <x v="0"/>
    <x v="298"/>
    <x v="298"/>
    <x v="158"/>
    <x v="149"/>
    <x v="161"/>
    <x v="1"/>
    <x v="267"/>
    <x v="0"/>
    <x v="174"/>
    <x v="1"/>
    <x v="293"/>
    <x v="295"/>
    <x v="279"/>
    <x v="294"/>
    <x v="296"/>
    <x v="161"/>
    <x v="296"/>
    <x v="0"/>
    <x v="1"/>
    <x v="0"/>
    <x v="296"/>
    <x v="1"/>
    <x v="173"/>
    <x v="0"/>
    <x v="3"/>
  </r>
  <r>
    <x v="298"/>
    <x v="1"/>
    <x v="2"/>
    <x v="1"/>
    <x v="1"/>
    <x v="2"/>
    <x v="0"/>
    <x v="0"/>
    <x v="0"/>
    <x v="0"/>
    <x v="0"/>
    <x v="0"/>
    <x v="0"/>
    <x v="6"/>
    <x v="299"/>
    <x v="5"/>
    <x v="12"/>
    <x v="0"/>
    <x v="299"/>
    <x v="299"/>
    <x v="159"/>
    <x v="150"/>
    <x v="104"/>
    <x v="222"/>
    <x v="268"/>
    <x v="113"/>
    <x v="175"/>
    <x v="253"/>
    <x v="294"/>
    <x v="296"/>
    <x v="280"/>
    <x v="295"/>
    <x v="297"/>
    <x v="104"/>
    <x v="297"/>
    <x v="0"/>
    <x v="1"/>
    <x v="0"/>
    <x v="297"/>
    <x v="0"/>
    <x v="174"/>
    <x v="0"/>
    <x v="3"/>
  </r>
  <r>
    <x v="299"/>
    <x v="0"/>
    <x v="0"/>
    <x v="0"/>
    <x v="30"/>
    <x v="49"/>
    <x v="2"/>
    <x v="0"/>
    <x v="0"/>
    <x v="0"/>
    <x v="0"/>
    <x v="0"/>
    <x v="0"/>
    <x v="18"/>
    <x v="300"/>
    <x v="7"/>
    <x v="16"/>
    <x v="0"/>
    <x v="300"/>
    <x v="300"/>
    <x v="160"/>
    <x v="151"/>
    <x v="162"/>
    <x v="223"/>
    <x v="269"/>
    <x v="57"/>
    <x v="176"/>
    <x v="254"/>
    <x v="295"/>
    <x v="297"/>
    <x v="281"/>
    <x v="296"/>
    <x v="298"/>
    <x v="162"/>
    <x v="298"/>
    <x v="0"/>
    <x v="1"/>
    <x v="0"/>
    <x v="298"/>
    <x v="0"/>
    <x v="175"/>
    <x v="0"/>
    <x v="3"/>
  </r>
  <r>
    <x v="300"/>
    <x v="0"/>
    <x v="1"/>
    <x v="0"/>
    <x v="1"/>
    <x v="50"/>
    <x v="0"/>
    <x v="0"/>
    <x v="0"/>
    <x v="0"/>
    <x v="0"/>
    <x v="0"/>
    <x v="0"/>
    <x v="21"/>
    <x v="301"/>
    <x v="11"/>
    <x v="55"/>
    <x v="0"/>
    <x v="301"/>
    <x v="301"/>
    <x v="0"/>
    <x v="133"/>
    <x v="163"/>
    <x v="1"/>
    <x v="270"/>
    <x v="114"/>
    <x v="177"/>
    <x v="255"/>
    <x v="296"/>
    <x v="298"/>
    <x v="282"/>
    <x v="297"/>
    <x v="299"/>
    <x v="163"/>
    <x v="299"/>
    <x v="0"/>
    <x v="1"/>
    <x v="0"/>
    <x v="299"/>
    <x v="0"/>
    <x v="176"/>
    <x v="0"/>
    <x v="3"/>
  </r>
  <r>
    <x v="301"/>
    <x v="0"/>
    <x v="2"/>
    <x v="0"/>
    <x v="1"/>
    <x v="2"/>
    <x v="0"/>
    <x v="0"/>
    <x v="0"/>
    <x v="0"/>
    <x v="0"/>
    <x v="0"/>
    <x v="0"/>
    <x v="12"/>
    <x v="302"/>
    <x v="7"/>
    <x v="51"/>
    <x v="1"/>
    <x v="302"/>
    <x v="302"/>
    <x v="0"/>
    <x v="0"/>
    <x v="0"/>
    <x v="224"/>
    <x v="271"/>
    <x v="0"/>
    <x v="0"/>
    <x v="256"/>
    <x v="297"/>
    <x v="299"/>
    <x v="283"/>
    <x v="298"/>
    <x v="300"/>
    <x v="0"/>
    <x v="300"/>
    <x v="0"/>
    <x v="1"/>
    <x v="0"/>
    <x v="300"/>
    <x v="0"/>
    <x v="0"/>
    <x v="0"/>
    <x v="3"/>
  </r>
  <r>
    <x v="302"/>
    <x v="0"/>
    <x v="2"/>
    <x v="0"/>
    <x v="1"/>
    <x v="2"/>
    <x v="0"/>
    <x v="0"/>
    <x v="0"/>
    <x v="0"/>
    <x v="0"/>
    <x v="0"/>
    <x v="0"/>
    <x v="37"/>
    <x v="303"/>
    <x v="7"/>
    <x v="16"/>
    <x v="0"/>
    <x v="303"/>
    <x v="303"/>
    <x v="97"/>
    <x v="152"/>
    <x v="164"/>
    <x v="225"/>
    <x v="272"/>
    <x v="0"/>
    <x v="178"/>
    <x v="257"/>
    <x v="298"/>
    <x v="300"/>
    <x v="284"/>
    <x v="299"/>
    <x v="301"/>
    <x v="164"/>
    <x v="301"/>
    <x v="0"/>
    <x v="1"/>
    <x v="0"/>
    <x v="301"/>
    <x v="0"/>
    <x v="177"/>
    <x v="0"/>
    <x v="3"/>
  </r>
  <r>
    <x v="303"/>
    <x v="1"/>
    <x v="2"/>
    <x v="1"/>
    <x v="1"/>
    <x v="2"/>
    <x v="0"/>
    <x v="0"/>
    <x v="0"/>
    <x v="0"/>
    <x v="0"/>
    <x v="0"/>
    <x v="0"/>
    <x v="7"/>
    <x v="304"/>
    <x v="6"/>
    <x v="29"/>
    <x v="0"/>
    <x v="304"/>
    <x v="304"/>
    <x v="0"/>
    <x v="0"/>
    <x v="0"/>
    <x v="226"/>
    <x v="273"/>
    <x v="0"/>
    <x v="0"/>
    <x v="258"/>
    <x v="299"/>
    <x v="301"/>
    <x v="285"/>
    <x v="300"/>
    <x v="302"/>
    <x v="0"/>
    <x v="302"/>
    <x v="0"/>
    <x v="1"/>
    <x v="0"/>
    <x v="302"/>
    <x v="0"/>
    <x v="0"/>
    <x v="0"/>
    <x v="3"/>
  </r>
  <r>
    <x v="304"/>
    <x v="1"/>
    <x v="2"/>
    <x v="1"/>
    <x v="1"/>
    <x v="2"/>
    <x v="0"/>
    <x v="0"/>
    <x v="0"/>
    <x v="0"/>
    <x v="0"/>
    <x v="0"/>
    <x v="0"/>
    <x v="1"/>
    <x v="305"/>
    <x v="1"/>
    <x v="13"/>
    <x v="0"/>
    <x v="305"/>
    <x v="305"/>
    <x v="114"/>
    <x v="143"/>
    <x v="165"/>
    <x v="227"/>
    <x v="274"/>
    <x v="0"/>
    <x v="179"/>
    <x v="259"/>
    <x v="300"/>
    <x v="302"/>
    <x v="285"/>
    <x v="301"/>
    <x v="303"/>
    <x v="165"/>
    <x v="303"/>
    <x v="0"/>
    <x v="1"/>
    <x v="0"/>
    <x v="303"/>
    <x v="0"/>
    <x v="178"/>
    <x v="0"/>
    <x v="3"/>
  </r>
  <r>
    <x v="305"/>
    <x v="2"/>
    <x v="2"/>
    <x v="0"/>
    <x v="1"/>
    <x v="51"/>
    <x v="1"/>
    <x v="0"/>
    <x v="0"/>
    <x v="0"/>
    <x v="0"/>
    <x v="0"/>
    <x v="0"/>
    <x v="22"/>
    <x v="306"/>
    <x v="2"/>
    <x v="2"/>
    <x v="0"/>
    <x v="306"/>
    <x v="306"/>
    <x v="0"/>
    <x v="0"/>
    <x v="0"/>
    <x v="1"/>
    <x v="275"/>
    <x v="0"/>
    <x v="0"/>
    <x v="1"/>
    <x v="301"/>
    <x v="303"/>
    <x v="1"/>
    <x v="302"/>
    <x v="303"/>
    <x v="0"/>
    <x v="303"/>
    <x v="0"/>
    <x v="1"/>
    <x v="0"/>
    <x v="303"/>
    <x v="1"/>
    <x v="0"/>
    <x v="0"/>
    <x v="3"/>
  </r>
  <r>
    <x v="306"/>
    <x v="1"/>
    <x v="2"/>
    <x v="1"/>
    <x v="1"/>
    <x v="2"/>
    <x v="0"/>
    <x v="0"/>
    <x v="0"/>
    <x v="0"/>
    <x v="0"/>
    <x v="0"/>
    <x v="0"/>
    <x v="6"/>
    <x v="307"/>
    <x v="5"/>
    <x v="31"/>
    <x v="0"/>
    <x v="307"/>
    <x v="307"/>
    <x v="122"/>
    <x v="143"/>
    <x v="166"/>
    <x v="228"/>
    <x v="276"/>
    <x v="0"/>
    <x v="180"/>
    <x v="260"/>
    <x v="302"/>
    <x v="304"/>
    <x v="286"/>
    <x v="303"/>
    <x v="304"/>
    <x v="166"/>
    <x v="304"/>
    <x v="0"/>
    <x v="1"/>
    <x v="0"/>
    <x v="304"/>
    <x v="0"/>
    <x v="179"/>
    <x v="0"/>
    <x v="3"/>
  </r>
  <r>
    <x v="307"/>
    <x v="1"/>
    <x v="2"/>
    <x v="1"/>
    <x v="1"/>
    <x v="2"/>
    <x v="0"/>
    <x v="0"/>
    <x v="0"/>
    <x v="0"/>
    <x v="0"/>
    <x v="0"/>
    <x v="0"/>
    <x v="16"/>
    <x v="308"/>
    <x v="10"/>
    <x v="42"/>
    <x v="2"/>
    <x v="308"/>
    <x v="308"/>
    <x v="0"/>
    <x v="0"/>
    <x v="0"/>
    <x v="229"/>
    <x v="277"/>
    <x v="0"/>
    <x v="0"/>
    <x v="261"/>
    <x v="303"/>
    <x v="305"/>
    <x v="287"/>
    <x v="304"/>
    <x v="305"/>
    <x v="0"/>
    <x v="305"/>
    <x v="0"/>
    <x v="1"/>
    <x v="0"/>
    <x v="305"/>
    <x v="0"/>
    <x v="0"/>
    <x v="0"/>
    <x v="3"/>
  </r>
  <r>
    <x v="308"/>
    <x v="0"/>
    <x v="2"/>
    <x v="0"/>
    <x v="1"/>
    <x v="2"/>
    <x v="0"/>
    <x v="0"/>
    <x v="0"/>
    <x v="0"/>
    <x v="0"/>
    <x v="0"/>
    <x v="0"/>
    <x v="22"/>
    <x v="309"/>
    <x v="7"/>
    <x v="27"/>
    <x v="0"/>
    <x v="309"/>
    <x v="309"/>
    <x v="0"/>
    <x v="0"/>
    <x v="0"/>
    <x v="230"/>
    <x v="278"/>
    <x v="107"/>
    <x v="0"/>
    <x v="262"/>
    <x v="304"/>
    <x v="306"/>
    <x v="288"/>
    <x v="305"/>
    <x v="306"/>
    <x v="0"/>
    <x v="306"/>
    <x v="0"/>
    <x v="1"/>
    <x v="0"/>
    <x v="306"/>
    <x v="0"/>
    <x v="0"/>
    <x v="0"/>
    <x v="3"/>
  </r>
  <r>
    <x v="309"/>
    <x v="1"/>
    <x v="2"/>
    <x v="1"/>
    <x v="1"/>
    <x v="2"/>
    <x v="0"/>
    <x v="0"/>
    <x v="0"/>
    <x v="0"/>
    <x v="0"/>
    <x v="0"/>
    <x v="0"/>
    <x v="7"/>
    <x v="310"/>
    <x v="6"/>
    <x v="29"/>
    <x v="0"/>
    <x v="310"/>
    <x v="310"/>
    <x v="81"/>
    <x v="49"/>
    <x v="167"/>
    <x v="231"/>
    <x v="279"/>
    <x v="0"/>
    <x v="0"/>
    <x v="263"/>
    <x v="305"/>
    <x v="307"/>
    <x v="289"/>
    <x v="306"/>
    <x v="307"/>
    <x v="167"/>
    <x v="307"/>
    <x v="0"/>
    <x v="1"/>
    <x v="0"/>
    <x v="307"/>
    <x v="0"/>
    <x v="180"/>
    <x v="0"/>
    <x v="3"/>
  </r>
  <r>
    <x v="310"/>
    <x v="2"/>
    <x v="2"/>
    <x v="3"/>
    <x v="1"/>
    <x v="52"/>
    <x v="1"/>
    <x v="0"/>
    <x v="0"/>
    <x v="0"/>
    <x v="0"/>
    <x v="0"/>
    <x v="0"/>
    <x v="22"/>
    <x v="311"/>
    <x v="2"/>
    <x v="2"/>
    <x v="0"/>
    <x v="311"/>
    <x v="311"/>
    <x v="0"/>
    <x v="0"/>
    <x v="0"/>
    <x v="232"/>
    <x v="280"/>
    <x v="0"/>
    <x v="0"/>
    <x v="264"/>
    <x v="306"/>
    <x v="308"/>
    <x v="290"/>
    <x v="307"/>
    <x v="308"/>
    <x v="0"/>
    <x v="308"/>
    <x v="0"/>
    <x v="1"/>
    <x v="0"/>
    <x v="308"/>
    <x v="0"/>
    <x v="0"/>
    <x v="0"/>
    <x v="3"/>
  </r>
  <r>
    <x v="311"/>
    <x v="2"/>
    <x v="2"/>
    <x v="2"/>
    <x v="31"/>
    <x v="53"/>
    <x v="1"/>
    <x v="0"/>
    <x v="0"/>
    <x v="0"/>
    <x v="0"/>
    <x v="0"/>
    <x v="0"/>
    <x v="2"/>
    <x v="312"/>
    <x v="2"/>
    <x v="2"/>
    <x v="0"/>
    <x v="312"/>
    <x v="312"/>
    <x v="0"/>
    <x v="0"/>
    <x v="0"/>
    <x v="1"/>
    <x v="281"/>
    <x v="0"/>
    <x v="0"/>
    <x v="1"/>
    <x v="307"/>
    <x v="309"/>
    <x v="1"/>
    <x v="308"/>
    <x v="309"/>
    <x v="0"/>
    <x v="309"/>
    <x v="0"/>
    <x v="1"/>
    <x v="0"/>
    <x v="309"/>
    <x v="1"/>
    <x v="0"/>
    <x v="0"/>
    <x v="3"/>
  </r>
  <r>
    <x v="312"/>
    <x v="1"/>
    <x v="2"/>
    <x v="1"/>
    <x v="1"/>
    <x v="2"/>
    <x v="0"/>
    <x v="0"/>
    <x v="0"/>
    <x v="0"/>
    <x v="0"/>
    <x v="0"/>
    <x v="0"/>
    <x v="4"/>
    <x v="313"/>
    <x v="10"/>
    <x v="39"/>
    <x v="0"/>
    <x v="313"/>
    <x v="313"/>
    <x v="161"/>
    <x v="124"/>
    <x v="168"/>
    <x v="1"/>
    <x v="282"/>
    <x v="0"/>
    <x v="181"/>
    <x v="1"/>
    <x v="308"/>
    <x v="310"/>
    <x v="291"/>
    <x v="309"/>
    <x v="310"/>
    <x v="168"/>
    <x v="310"/>
    <x v="0"/>
    <x v="1"/>
    <x v="0"/>
    <x v="310"/>
    <x v="0"/>
    <x v="181"/>
    <x v="0"/>
    <x v="3"/>
  </r>
  <r>
    <x v="313"/>
    <x v="1"/>
    <x v="2"/>
    <x v="1"/>
    <x v="1"/>
    <x v="2"/>
    <x v="0"/>
    <x v="0"/>
    <x v="0"/>
    <x v="0"/>
    <x v="0"/>
    <x v="0"/>
    <x v="0"/>
    <x v="25"/>
    <x v="314"/>
    <x v="1"/>
    <x v="4"/>
    <x v="0"/>
    <x v="314"/>
    <x v="314"/>
    <x v="0"/>
    <x v="0"/>
    <x v="0"/>
    <x v="233"/>
    <x v="283"/>
    <x v="0"/>
    <x v="0"/>
    <x v="265"/>
    <x v="309"/>
    <x v="311"/>
    <x v="292"/>
    <x v="310"/>
    <x v="311"/>
    <x v="0"/>
    <x v="311"/>
    <x v="0"/>
    <x v="1"/>
    <x v="0"/>
    <x v="311"/>
    <x v="0"/>
    <x v="0"/>
    <x v="0"/>
    <x v="3"/>
  </r>
  <r>
    <x v="314"/>
    <x v="0"/>
    <x v="2"/>
    <x v="1"/>
    <x v="1"/>
    <x v="2"/>
    <x v="0"/>
    <x v="0"/>
    <x v="0"/>
    <x v="0"/>
    <x v="0"/>
    <x v="0"/>
    <x v="0"/>
    <x v="27"/>
    <x v="315"/>
    <x v="7"/>
    <x v="38"/>
    <x v="0"/>
    <x v="315"/>
    <x v="315"/>
    <x v="162"/>
    <x v="75"/>
    <x v="169"/>
    <x v="234"/>
    <x v="284"/>
    <x v="115"/>
    <x v="182"/>
    <x v="266"/>
    <x v="310"/>
    <x v="312"/>
    <x v="293"/>
    <x v="311"/>
    <x v="312"/>
    <x v="169"/>
    <x v="312"/>
    <x v="0"/>
    <x v="1"/>
    <x v="0"/>
    <x v="312"/>
    <x v="0"/>
    <x v="182"/>
    <x v="0"/>
    <x v="3"/>
  </r>
  <r>
    <x v="315"/>
    <x v="1"/>
    <x v="2"/>
    <x v="1"/>
    <x v="1"/>
    <x v="2"/>
    <x v="0"/>
    <x v="0"/>
    <x v="0"/>
    <x v="0"/>
    <x v="0"/>
    <x v="0"/>
    <x v="0"/>
    <x v="7"/>
    <x v="316"/>
    <x v="6"/>
    <x v="29"/>
    <x v="0"/>
    <x v="316"/>
    <x v="316"/>
    <x v="132"/>
    <x v="153"/>
    <x v="170"/>
    <x v="1"/>
    <x v="285"/>
    <x v="0"/>
    <x v="183"/>
    <x v="1"/>
    <x v="311"/>
    <x v="313"/>
    <x v="294"/>
    <x v="312"/>
    <x v="313"/>
    <x v="170"/>
    <x v="313"/>
    <x v="0"/>
    <x v="1"/>
    <x v="0"/>
    <x v="313"/>
    <x v="1"/>
    <x v="183"/>
    <x v="0"/>
    <x v="3"/>
  </r>
  <r>
    <x v="316"/>
    <x v="1"/>
    <x v="2"/>
    <x v="1"/>
    <x v="1"/>
    <x v="2"/>
    <x v="0"/>
    <x v="0"/>
    <x v="0"/>
    <x v="0"/>
    <x v="0"/>
    <x v="0"/>
    <x v="0"/>
    <x v="18"/>
    <x v="317"/>
    <x v="5"/>
    <x v="12"/>
    <x v="0"/>
    <x v="317"/>
    <x v="317"/>
    <x v="163"/>
    <x v="154"/>
    <x v="171"/>
    <x v="235"/>
    <x v="286"/>
    <x v="0"/>
    <x v="184"/>
    <x v="267"/>
    <x v="222"/>
    <x v="314"/>
    <x v="295"/>
    <x v="313"/>
    <x v="314"/>
    <x v="171"/>
    <x v="314"/>
    <x v="0"/>
    <x v="1"/>
    <x v="0"/>
    <x v="314"/>
    <x v="0"/>
    <x v="184"/>
    <x v="0"/>
    <x v="3"/>
  </r>
  <r>
    <x v="317"/>
    <x v="0"/>
    <x v="2"/>
    <x v="1"/>
    <x v="1"/>
    <x v="2"/>
    <x v="0"/>
    <x v="0"/>
    <x v="0"/>
    <x v="0"/>
    <x v="0"/>
    <x v="0"/>
    <x v="0"/>
    <x v="40"/>
    <x v="318"/>
    <x v="7"/>
    <x v="27"/>
    <x v="0"/>
    <x v="318"/>
    <x v="318"/>
    <x v="164"/>
    <x v="42"/>
    <x v="172"/>
    <x v="1"/>
    <x v="287"/>
    <x v="116"/>
    <x v="185"/>
    <x v="268"/>
    <x v="312"/>
    <x v="315"/>
    <x v="296"/>
    <x v="314"/>
    <x v="315"/>
    <x v="172"/>
    <x v="315"/>
    <x v="0"/>
    <x v="1"/>
    <x v="0"/>
    <x v="315"/>
    <x v="0"/>
    <x v="185"/>
    <x v="0"/>
    <x v="3"/>
  </r>
  <r>
    <x v="318"/>
    <x v="1"/>
    <x v="2"/>
    <x v="1"/>
    <x v="1"/>
    <x v="2"/>
    <x v="0"/>
    <x v="0"/>
    <x v="0"/>
    <x v="0"/>
    <x v="0"/>
    <x v="0"/>
    <x v="0"/>
    <x v="9"/>
    <x v="319"/>
    <x v="1"/>
    <x v="10"/>
    <x v="0"/>
    <x v="319"/>
    <x v="319"/>
    <x v="0"/>
    <x v="0"/>
    <x v="0"/>
    <x v="236"/>
    <x v="288"/>
    <x v="0"/>
    <x v="0"/>
    <x v="269"/>
    <x v="313"/>
    <x v="316"/>
    <x v="297"/>
    <x v="315"/>
    <x v="316"/>
    <x v="0"/>
    <x v="316"/>
    <x v="0"/>
    <x v="1"/>
    <x v="0"/>
    <x v="316"/>
    <x v="0"/>
    <x v="0"/>
    <x v="0"/>
    <x v="3"/>
  </r>
  <r>
    <x v="319"/>
    <x v="0"/>
    <x v="2"/>
    <x v="1"/>
    <x v="1"/>
    <x v="2"/>
    <x v="0"/>
    <x v="0"/>
    <x v="0"/>
    <x v="0"/>
    <x v="0"/>
    <x v="0"/>
    <x v="0"/>
    <x v="2"/>
    <x v="320"/>
    <x v="2"/>
    <x v="6"/>
    <x v="0"/>
    <x v="320"/>
    <x v="320"/>
    <x v="63"/>
    <x v="4"/>
    <x v="173"/>
    <x v="237"/>
    <x v="289"/>
    <x v="0"/>
    <x v="186"/>
    <x v="270"/>
    <x v="314"/>
    <x v="317"/>
    <x v="298"/>
    <x v="316"/>
    <x v="317"/>
    <x v="173"/>
    <x v="317"/>
    <x v="0"/>
    <x v="1"/>
    <x v="0"/>
    <x v="317"/>
    <x v="0"/>
    <x v="186"/>
    <x v="0"/>
    <x v="3"/>
  </r>
  <r>
    <x v="320"/>
    <x v="0"/>
    <x v="2"/>
    <x v="0"/>
    <x v="1"/>
    <x v="54"/>
    <x v="0"/>
    <x v="0"/>
    <x v="0"/>
    <x v="0"/>
    <x v="0"/>
    <x v="0"/>
    <x v="0"/>
    <x v="11"/>
    <x v="321"/>
    <x v="8"/>
    <x v="43"/>
    <x v="0"/>
    <x v="321"/>
    <x v="321"/>
    <x v="155"/>
    <x v="152"/>
    <x v="154"/>
    <x v="238"/>
    <x v="290"/>
    <x v="98"/>
    <x v="187"/>
    <x v="271"/>
    <x v="315"/>
    <x v="318"/>
    <x v="299"/>
    <x v="317"/>
    <x v="318"/>
    <x v="154"/>
    <x v="318"/>
    <x v="0"/>
    <x v="1"/>
    <x v="0"/>
    <x v="318"/>
    <x v="0"/>
    <x v="187"/>
    <x v="0"/>
    <x v="3"/>
  </r>
  <r>
    <x v="321"/>
    <x v="1"/>
    <x v="2"/>
    <x v="1"/>
    <x v="1"/>
    <x v="2"/>
    <x v="0"/>
    <x v="0"/>
    <x v="0"/>
    <x v="0"/>
    <x v="0"/>
    <x v="0"/>
    <x v="0"/>
    <x v="20"/>
    <x v="322"/>
    <x v="5"/>
    <x v="12"/>
    <x v="0"/>
    <x v="322"/>
    <x v="322"/>
    <x v="165"/>
    <x v="155"/>
    <x v="109"/>
    <x v="239"/>
    <x v="241"/>
    <x v="117"/>
    <x v="188"/>
    <x v="272"/>
    <x v="316"/>
    <x v="319"/>
    <x v="300"/>
    <x v="318"/>
    <x v="319"/>
    <x v="109"/>
    <x v="319"/>
    <x v="0"/>
    <x v="1"/>
    <x v="0"/>
    <x v="319"/>
    <x v="0"/>
    <x v="188"/>
    <x v="0"/>
    <x v="3"/>
  </r>
  <r>
    <x v="322"/>
    <x v="2"/>
    <x v="2"/>
    <x v="0"/>
    <x v="1"/>
    <x v="2"/>
    <x v="1"/>
    <x v="0"/>
    <x v="0"/>
    <x v="0"/>
    <x v="0"/>
    <x v="0"/>
    <x v="0"/>
    <x v="22"/>
    <x v="323"/>
    <x v="2"/>
    <x v="2"/>
    <x v="0"/>
    <x v="323"/>
    <x v="323"/>
    <x v="0"/>
    <x v="0"/>
    <x v="0"/>
    <x v="240"/>
    <x v="291"/>
    <x v="0"/>
    <x v="0"/>
    <x v="273"/>
    <x v="317"/>
    <x v="320"/>
    <x v="301"/>
    <x v="319"/>
    <x v="320"/>
    <x v="0"/>
    <x v="320"/>
    <x v="0"/>
    <x v="1"/>
    <x v="0"/>
    <x v="320"/>
    <x v="0"/>
    <x v="0"/>
    <x v="0"/>
    <x v="3"/>
  </r>
  <r>
    <x v="323"/>
    <x v="1"/>
    <x v="2"/>
    <x v="1"/>
    <x v="1"/>
    <x v="2"/>
    <x v="0"/>
    <x v="0"/>
    <x v="0"/>
    <x v="0"/>
    <x v="0"/>
    <x v="0"/>
    <x v="0"/>
    <x v="16"/>
    <x v="324"/>
    <x v="10"/>
    <x v="56"/>
    <x v="1"/>
    <x v="324"/>
    <x v="324"/>
    <x v="35"/>
    <x v="156"/>
    <x v="174"/>
    <x v="1"/>
    <x v="71"/>
    <x v="118"/>
    <x v="189"/>
    <x v="274"/>
    <x v="318"/>
    <x v="321"/>
    <x v="302"/>
    <x v="320"/>
    <x v="321"/>
    <x v="174"/>
    <x v="321"/>
    <x v="0"/>
    <x v="1"/>
    <x v="0"/>
    <x v="321"/>
    <x v="0"/>
    <x v="189"/>
    <x v="0"/>
    <x v="3"/>
  </r>
  <r>
    <x v="324"/>
    <x v="0"/>
    <x v="2"/>
    <x v="1"/>
    <x v="1"/>
    <x v="2"/>
    <x v="0"/>
    <x v="0"/>
    <x v="0"/>
    <x v="0"/>
    <x v="0"/>
    <x v="0"/>
    <x v="0"/>
    <x v="17"/>
    <x v="325"/>
    <x v="9"/>
    <x v="20"/>
    <x v="0"/>
    <x v="325"/>
    <x v="325"/>
    <x v="166"/>
    <x v="157"/>
    <x v="175"/>
    <x v="1"/>
    <x v="292"/>
    <x v="0"/>
    <x v="190"/>
    <x v="1"/>
    <x v="319"/>
    <x v="322"/>
    <x v="303"/>
    <x v="321"/>
    <x v="322"/>
    <x v="175"/>
    <x v="322"/>
    <x v="0"/>
    <x v="1"/>
    <x v="0"/>
    <x v="322"/>
    <x v="0"/>
    <x v="190"/>
    <x v="0"/>
    <x v="3"/>
  </r>
  <r>
    <x v="325"/>
    <x v="1"/>
    <x v="2"/>
    <x v="1"/>
    <x v="1"/>
    <x v="2"/>
    <x v="0"/>
    <x v="0"/>
    <x v="0"/>
    <x v="0"/>
    <x v="0"/>
    <x v="0"/>
    <x v="0"/>
    <x v="6"/>
    <x v="326"/>
    <x v="5"/>
    <x v="19"/>
    <x v="0"/>
    <x v="326"/>
    <x v="326"/>
    <x v="167"/>
    <x v="158"/>
    <x v="176"/>
    <x v="1"/>
    <x v="293"/>
    <x v="0"/>
    <x v="191"/>
    <x v="1"/>
    <x v="320"/>
    <x v="323"/>
    <x v="304"/>
    <x v="322"/>
    <x v="323"/>
    <x v="176"/>
    <x v="323"/>
    <x v="0"/>
    <x v="1"/>
    <x v="0"/>
    <x v="323"/>
    <x v="0"/>
    <x v="191"/>
    <x v="0"/>
    <x v="3"/>
  </r>
  <r>
    <x v="326"/>
    <x v="1"/>
    <x v="2"/>
    <x v="1"/>
    <x v="1"/>
    <x v="55"/>
    <x v="0"/>
    <x v="0"/>
    <x v="0"/>
    <x v="0"/>
    <x v="0"/>
    <x v="0"/>
    <x v="0"/>
    <x v="20"/>
    <x v="327"/>
    <x v="5"/>
    <x v="12"/>
    <x v="2"/>
    <x v="327"/>
    <x v="327"/>
    <x v="81"/>
    <x v="128"/>
    <x v="177"/>
    <x v="241"/>
    <x v="294"/>
    <x v="119"/>
    <x v="192"/>
    <x v="275"/>
    <x v="321"/>
    <x v="324"/>
    <x v="305"/>
    <x v="323"/>
    <x v="324"/>
    <x v="177"/>
    <x v="324"/>
    <x v="0"/>
    <x v="1"/>
    <x v="0"/>
    <x v="324"/>
    <x v="0"/>
    <x v="192"/>
    <x v="0"/>
    <x v="3"/>
  </r>
  <r>
    <x v="327"/>
    <x v="1"/>
    <x v="2"/>
    <x v="1"/>
    <x v="1"/>
    <x v="2"/>
    <x v="0"/>
    <x v="0"/>
    <x v="0"/>
    <x v="0"/>
    <x v="0"/>
    <x v="0"/>
    <x v="0"/>
    <x v="1"/>
    <x v="328"/>
    <x v="1"/>
    <x v="6"/>
    <x v="0"/>
    <x v="328"/>
    <x v="328"/>
    <x v="0"/>
    <x v="0"/>
    <x v="0"/>
    <x v="242"/>
    <x v="295"/>
    <x v="0"/>
    <x v="0"/>
    <x v="276"/>
    <x v="322"/>
    <x v="325"/>
    <x v="306"/>
    <x v="324"/>
    <x v="325"/>
    <x v="0"/>
    <x v="325"/>
    <x v="0"/>
    <x v="1"/>
    <x v="0"/>
    <x v="325"/>
    <x v="0"/>
    <x v="0"/>
    <x v="0"/>
    <x v="3"/>
  </r>
  <r>
    <x v="328"/>
    <x v="1"/>
    <x v="2"/>
    <x v="1"/>
    <x v="1"/>
    <x v="2"/>
    <x v="0"/>
    <x v="0"/>
    <x v="0"/>
    <x v="0"/>
    <x v="0"/>
    <x v="0"/>
    <x v="0"/>
    <x v="14"/>
    <x v="329"/>
    <x v="6"/>
    <x v="29"/>
    <x v="0"/>
    <x v="329"/>
    <x v="329"/>
    <x v="168"/>
    <x v="81"/>
    <x v="178"/>
    <x v="243"/>
    <x v="296"/>
    <x v="120"/>
    <x v="192"/>
    <x v="254"/>
    <x v="323"/>
    <x v="326"/>
    <x v="307"/>
    <x v="325"/>
    <x v="326"/>
    <x v="178"/>
    <x v="326"/>
    <x v="0"/>
    <x v="1"/>
    <x v="0"/>
    <x v="326"/>
    <x v="0"/>
    <x v="193"/>
    <x v="0"/>
    <x v="3"/>
  </r>
  <r>
    <x v="329"/>
    <x v="1"/>
    <x v="2"/>
    <x v="1"/>
    <x v="1"/>
    <x v="2"/>
    <x v="0"/>
    <x v="0"/>
    <x v="0"/>
    <x v="0"/>
    <x v="0"/>
    <x v="0"/>
    <x v="0"/>
    <x v="1"/>
    <x v="330"/>
    <x v="1"/>
    <x v="13"/>
    <x v="0"/>
    <x v="330"/>
    <x v="330"/>
    <x v="0"/>
    <x v="0"/>
    <x v="0"/>
    <x v="244"/>
    <x v="297"/>
    <x v="0"/>
    <x v="0"/>
    <x v="277"/>
    <x v="324"/>
    <x v="327"/>
    <x v="308"/>
    <x v="326"/>
    <x v="327"/>
    <x v="0"/>
    <x v="327"/>
    <x v="0"/>
    <x v="1"/>
    <x v="0"/>
    <x v="327"/>
    <x v="0"/>
    <x v="0"/>
    <x v="0"/>
    <x v="3"/>
  </r>
  <r>
    <x v="330"/>
    <x v="0"/>
    <x v="2"/>
    <x v="1"/>
    <x v="1"/>
    <x v="2"/>
    <x v="0"/>
    <x v="0"/>
    <x v="0"/>
    <x v="0"/>
    <x v="0"/>
    <x v="0"/>
    <x v="0"/>
    <x v="17"/>
    <x v="331"/>
    <x v="9"/>
    <x v="57"/>
    <x v="0"/>
    <x v="331"/>
    <x v="331"/>
    <x v="169"/>
    <x v="159"/>
    <x v="179"/>
    <x v="245"/>
    <x v="298"/>
    <x v="121"/>
    <x v="193"/>
    <x v="278"/>
    <x v="325"/>
    <x v="328"/>
    <x v="309"/>
    <x v="327"/>
    <x v="328"/>
    <x v="179"/>
    <x v="328"/>
    <x v="0"/>
    <x v="1"/>
    <x v="0"/>
    <x v="328"/>
    <x v="0"/>
    <x v="194"/>
    <x v="0"/>
    <x v="3"/>
  </r>
  <r>
    <x v="331"/>
    <x v="1"/>
    <x v="2"/>
    <x v="1"/>
    <x v="1"/>
    <x v="2"/>
    <x v="0"/>
    <x v="0"/>
    <x v="0"/>
    <x v="0"/>
    <x v="0"/>
    <x v="0"/>
    <x v="0"/>
    <x v="4"/>
    <x v="332"/>
    <x v="10"/>
    <x v="39"/>
    <x v="0"/>
    <x v="332"/>
    <x v="332"/>
    <x v="170"/>
    <x v="85"/>
    <x v="64"/>
    <x v="246"/>
    <x v="299"/>
    <x v="122"/>
    <x v="194"/>
    <x v="279"/>
    <x v="326"/>
    <x v="329"/>
    <x v="310"/>
    <x v="328"/>
    <x v="329"/>
    <x v="64"/>
    <x v="329"/>
    <x v="0"/>
    <x v="1"/>
    <x v="0"/>
    <x v="329"/>
    <x v="0"/>
    <x v="195"/>
    <x v="0"/>
    <x v="3"/>
  </r>
  <r>
    <x v="332"/>
    <x v="0"/>
    <x v="0"/>
    <x v="2"/>
    <x v="1"/>
    <x v="56"/>
    <x v="0"/>
    <x v="0"/>
    <x v="0"/>
    <x v="0"/>
    <x v="0"/>
    <x v="0"/>
    <x v="0"/>
    <x v="37"/>
    <x v="333"/>
    <x v="7"/>
    <x v="16"/>
    <x v="1"/>
    <x v="333"/>
    <x v="333"/>
    <x v="171"/>
    <x v="160"/>
    <x v="180"/>
    <x v="1"/>
    <x v="71"/>
    <x v="123"/>
    <x v="195"/>
    <x v="280"/>
    <x v="327"/>
    <x v="330"/>
    <x v="311"/>
    <x v="329"/>
    <x v="330"/>
    <x v="180"/>
    <x v="330"/>
    <x v="0"/>
    <x v="1"/>
    <x v="0"/>
    <x v="330"/>
    <x v="0"/>
    <x v="196"/>
    <x v="0"/>
    <x v="3"/>
  </r>
  <r>
    <x v="333"/>
    <x v="2"/>
    <x v="2"/>
    <x v="0"/>
    <x v="1"/>
    <x v="2"/>
    <x v="1"/>
    <x v="0"/>
    <x v="0"/>
    <x v="0"/>
    <x v="0"/>
    <x v="0"/>
    <x v="0"/>
    <x v="22"/>
    <x v="334"/>
    <x v="2"/>
    <x v="2"/>
    <x v="0"/>
    <x v="334"/>
    <x v="334"/>
    <x v="0"/>
    <x v="0"/>
    <x v="0"/>
    <x v="247"/>
    <x v="300"/>
    <x v="0"/>
    <x v="0"/>
    <x v="281"/>
    <x v="328"/>
    <x v="331"/>
    <x v="312"/>
    <x v="330"/>
    <x v="331"/>
    <x v="0"/>
    <x v="331"/>
    <x v="0"/>
    <x v="1"/>
    <x v="0"/>
    <x v="331"/>
    <x v="0"/>
    <x v="0"/>
    <x v="0"/>
    <x v="3"/>
  </r>
  <r>
    <x v="334"/>
    <x v="1"/>
    <x v="2"/>
    <x v="1"/>
    <x v="1"/>
    <x v="2"/>
    <x v="0"/>
    <x v="0"/>
    <x v="0"/>
    <x v="0"/>
    <x v="0"/>
    <x v="0"/>
    <x v="0"/>
    <x v="9"/>
    <x v="335"/>
    <x v="1"/>
    <x v="10"/>
    <x v="0"/>
    <x v="335"/>
    <x v="335"/>
    <x v="0"/>
    <x v="0"/>
    <x v="0"/>
    <x v="1"/>
    <x v="301"/>
    <x v="0"/>
    <x v="0"/>
    <x v="1"/>
    <x v="329"/>
    <x v="332"/>
    <x v="1"/>
    <x v="331"/>
    <x v="332"/>
    <x v="0"/>
    <x v="332"/>
    <x v="0"/>
    <x v="1"/>
    <x v="0"/>
    <x v="332"/>
    <x v="1"/>
    <x v="0"/>
    <x v="0"/>
    <x v="3"/>
  </r>
  <r>
    <x v="335"/>
    <x v="1"/>
    <x v="2"/>
    <x v="1"/>
    <x v="1"/>
    <x v="2"/>
    <x v="0"/>
    <x v="0"/>
    <x v="0"/>
    <x v="0"/>
    <x v="0"/>
    <x v="0"/>
    <x v="0"/>
    <x v="1"/>
    <x v="336"/>
    <x v="1"/>
    <x v="25"/>
    <x v="0"/>
    <x v="336"/>
    <x v="336"/>
    <x v="0"/>
    <x v="0"/>
    <x v="0"/>
    <x v="248"/>
    <x v="302"/>
    <x v="0"/>
    <x v="0"/>
    <x v="282"/>
    <x v="330"/>
    <x v="333"/>
    <x v="313"/>
    <x v="332"/>
    <x v="333"/>
    <x v="0"/>
    <x v="333"/>
    <x v="0"/>
    <x v="1"/>
    <x v="0"/>
    <x v="333"/>
    <x v="0"/>
    <x v="0"/>
    <x v="0"/>
    <x v="3"/>
  </r>
  <r>
    <x v="336"/>
    <x v="0"/>
    <x v="2"/>
    <x v="1"/>
    <x v="1"/>
    <x v="2"/>
    <x v="0"/>
    <x v="0"/>
    <x v="0"/>
    <x v="0"/>
    <x v="0"/>
    <x v="0"/>
    <x v="0"/>
    <x v="22"/>
    <x v="337"/>
    <x v="7"/>
    <x v="16"/>
    <x v="0"/>
    <x v="337"/>
    <x v="337"/>
    <x v="77"/>
    <x v="161"/>
    <x v="181"/>
    <x v="84"/>
    <x v="303"/>
    <x v="124"/>
    <x v="196"/>
    <x v="283"/>
    <x v="331"/>
    <x v="334"/>
    <x v="314"/>
    <x v="333"/>
    <x v="334"/>
    <x v="181"/>
    <x v="334"/>
    <x v="0"/>
    <x v="1"/>
    <x v="0"/>
    <x v="334"/>
    <x v="0"/>
    <x v="197"/>
    <x v="0"/>
    <x v="3"/>
  </r>
  <r>
    <x v="337"/>
    <x v="0"/>
    <x v="2"/>
    <x v="1"/>
    <x v="1"/>
    <x v="2"/>
    <x v="0"/>
    <x v="0"/>
    <x v="0"/>
    <x v="0"/>
    <x v="0"/>
    <x v="0"/>
    <x v="0"/>
    <x v="12"/>
    <x v="338"/>
    <x v="7"/>
    <x v="16"/>
    <x v="0"/>
    <x v="338"/>
    <x v="338"/>
    <x v="172"/>
    <x v="162"/>
    <x v="179"/>
    <x v="249"/>
    <x v="304"/>
    <x v="125"/>
    <x v="197"/>
    <x v="284"/>
    <x v="332"/>
    <x v="335"/>
    <x v="315"/>
    <x v="334"/>
    <x v="335"/>
    <x v="179"/>
    <x v="335"/>
    <x v="0"/>
    <x v="1"/>
    <x v="0"/>
    <x v="335"/>
    <x v="0"/>
    <x v="198"/>
    <x v="0"/>
    <x v="3"/>
  </r>
  <r>
    <x v="338"/>
    <x v="1"/>
    <x v="2"/>
    <x v="1"/>
    <x v="1"/>
    <x v="2"/>
    <x v="0"/>
    <x v="0"/>
    <x v="0"/>
    <x v="0"/>
    <x v="0"/>
    <x v="0"/>
    <x v="0"/>
    <x v="14"/>
    <x v="339"/>
    <x v="6"/>
    <x v="8"/>
    <x v="0"/>
    <x v="339"/>
    <x v="339"/>
    <x v="173"/>
    <x v="121"/>
    <x v="182"/>
    <x v="250"/>
    <x v="305"/>
    <x v="126"/>
    <x v="69"/>
    <x v="285"/>
    <x v="333"/>
    <x v="336"/>
    <x v="316"/>
    <x v="335"/>
    <x v="336"/>
    <x v="182"/>
    <x v="336"/>
    <x v="0"/>
    <x v="1"/>
    <x v="0"/>
    <x v="336"/>
    <x v="0"/>
    <x v="199"/>
    <x v="0"/>
    <x v="3"/>
  </r>
  <r>
    <x v="339"/>
    <x v="1"/>
    <x v="2"/>
    <x v="1"/>
    <x v="1"/>
    <x v="2"/>
    <x v="0"/>
    <x v="0"/>
    <x v="0"/>
    <x v="0"/>
    <x v="0"/>
    <x v="0"/>
    <x v="0"/>
    <x v="7"/>
    <x v="340"/>
    <x v="6"/>
    <x v="29"/>
    <x v="0"/>
    <x v="340"/>
    <x v="340"/>
    <x v="104"/>
    <x v="138"/>
    <x v="135"/>
    <x v="251"/>
    <x v="306"/>
    <x v="0"/>
    <x v="198"/>
    <x v="286"/>
    <x v="334"/>
    <x v="337"/>
    <x v="317"/>
    <x v="336"/>
    <x v="337"/>
    <x v="135"/>
    <x v="337"/>
    <x v="0"/>
    <x v="1"/>
    <x v="0"/>
    <x v="337"/>
    <x v="0"/>
    <x v="200"/>
    <x v="0"/>
    <x v="3"/>
  </r>
  <r>
    <x v="340"/>
    <x v="1"/>
    <x v="2"/>
    <x v="1"/>
    <x v="1"/>
    <x v="2"/>
    <x v="0"/>
    <x v="0"/>
    <x v="0"/>
    <x v="0"/>
    <x v="0"/>
    <x v="0"/>
    <x v="0"/>
    <x v="1"/>
    <x v="341"/>
    <x v="1"/>
    <x v="47"/>
    <x v="1"/>
    <x v="341"/>
    <x v="341"/>
    <x v="138"/>
    <x v="163"/>
    <x v="183"/>
    <x v="1"/>
    <x v="71"/>
    <x v="127"/>
    <x v="199"/>
    <x v="287"/>
    <x v="335"/>
    <x v="338"/>
    <x v="318"/>
    <x v="337"/>
    <x v="338"/>
    <x v="183"/>
    <x v="338"/>
    <x v="0"/>
    <x v="1"/>
    <x v="0"/>
    <x v="338"/>
    <x v="0"/>
    <x v="201"/>
    <x v="0"/>
    <x v="3"/>
  </r>
  <r>
    <x v="341"/>
    <x v="1"/>
    <x v="2"/>
    <x v="1"/>
    <x v="1"/>
    <x v="2"/>
    <x v="0"/>
    <x v="0"/>
    <x v="0"/>
    <x v="0"/>
    <x v="0"/>
    <x v="0"/>
    <x v="0"/>
    <x v="18"/>
    <x v="342"/>
    <x v="5"/>
    <x v="58"/>
    <x v="0"/>
    <x v="342"/>
    <x v="342"/>
    <x v="174"/>
    <x v="164"/>
    <x v="184"/>
    <x v="197"/>
    <x v="307"/>
    <x v="0"/>
    <x v="200"/>
    <x v="288"/>
    <x v="336"/>
    <x v="339"/>
    <x v="319"/>
    <x v="338"/>
    <x v="339"/>
    <x v="184"/>
    <x v="339"/>
    <x v="0"/>
    <x v="1"/>
    <x v="0"/>
    <x v="339"/>
    <x v="0"/>
    <x v="202"/>
    <x v="0"/>
    <x v="3"/>
  </r>
  <r>
    <x v="342"/>
    <x v="1"/>
    <x v="2"/>
    <x v="1"/>
    <x v="1"/>
    <x v="2"/>
    <x v="0"/>
    <x v="0"/>
    <x v="0"/>
    <x v="0"/>
    <x v="0"/>
    <x v="0"/>
    <x v="0"/>
    <x v="6"/>
    <x v="343"/>
    <x v="5"/>
    <x v="23"/>
    <x v="0"/>
    <x v="343"/>
    <x v="343"/>
    <x v="0"/>
    <x v="0"/>
    <x v="0"/>
    <x v="252"/>
    <x v="308"/>
    <x v="0"/>
    <x v="0"/>
    <x v="289"/>
    <x v="337"/>
    <x v="340"/>
    <x v="320"/>
    <x v="339"/>
    <x v="340"/>
    <x v="0"/>
    <x v="340"/>
    <x v="0"/>
    <x v="1"/>
    <x v="0"/>
    <x v="340"/>
    <x v="0"/>
    <x v="0"/>
    <x v="0"/>
    <x v="3"/>
  </r>
  <r>
    <x v="343"/>
    <x v="1"/>
    <x v="2"/>
    <x v="1"/>
    <x v="1"/>
    <x v="2"/>
    <x v="0"/>
    <x v="0"/>
    <x v="0"/>
    <x v="0"/>
    <x v="0"/>
    <x v="0"/>
    <x v="0"/>
    <x v="7"/>
    <x v="344"/>
    <x v="6"/>
    <x v="29"/>
    <x v="0"/>
    <x v="344"/>
    <x v="344"/>
    <x v="0"/>
    <x v="0"/>
    <x v="0"/>
    <x v="253"/>
    <x v="309"/>
    <x v="0"/>
    <x v="0"/>
    <x v="290"/>
    <x v="338"/>
    <x v="341"/>
    <x v="321"/>
    <x v="340"/>
    <x v="341"/>
    <x v="0"/>
    <x v="341"/>
    <x v="0"/>
    <x v="1"/>
    <x v="0"/>
    <x v="341"/>
    <x v="0"/>
    <x v="0"/>
    <x v="0"/>
    <x v="3"/>
  </r>
  <r>
    <x v="344"/>
    <x v="1"/>
    <x v="2"/>
    <x v="1"/>
    <x v="1"/>
    <x v="2"/>
    <x v="0"/>
    <x v="0"/>
    <x v="0"/>
    <x v="0"/>
    <x v="0"/>
    <x v="0"/>
    <x v="0"/>
    <x v="1"/>
    <x v="345"/>
    <x v="1"/>
    <x v="47"/>
    <x v="1"/>
    <x v="345"/>
    <x v="345"/>
    <x v="175"/>
    <x v="165"/>
    <x v="185"/>
    <x v="1"/>
    <x v="71"/>
    <x v="128"/>
    <x v="201"/>
    <x v="291"/>
    <x v="339"/>
    <x v="342"/>
    <x v="322"/>
    <x v="341"/>
    <x v="342"/>
    <x v="185"/>
    <x v="342"/>
    <x v="0"/>
    <x v="1"/>
    <x v="0"/>
    <x v="342"/>
    <x v="0"/>
    <x v="203"/>
    <x v="0"/>
    <x v="3"/>
  </r>
  <r>
    <x v="345"/>
    <x v="1"/>
    <x v="2"/>
    <x v="1"/>
    <x v="1"/>
    <x v="2"/>
    <x v="0"/>
    <x v="0"/>
    <x v="0"/>
    <x v="0"/>
    <x v="0"/>
    <x v="0"/>
    <x v="0"/>
    <x v="1"/>
    <x v="346"/>
    <x v="1"/>
    <x v="47"/>
    <x v="1"/>
    <x v="346"/>
    <x v="346"/>
    <x v="143"/>
    <x v="143"/>
    <x v="186"/>
    <x v="1"/>
    <x v="71"/>
    <x v="129"/>
    <x v="202"/>
    <x v="292"/>
    <x v="340"/>
    <x v="343"/>
    <x v="323"/>
    <x v="342"/>
    <x v="343"/>
    <x v="186"/>
    <x v="343"/>
    <x v="0"/>
    <x v="1"/>
    <x v="0"/>
    <x v="343"/>
    <x v="0"/>
    <x v="204"/>
    <x v="0"/>
    <x v="3"/>
  </r>
  <r>
    <x v="346"/>
    <x v="2"/>
    <x v="0"/>
    <x v="3"/>
    <x v="1"/>
    <x v="57"/>
    <x v="1"/>
    <x v="0"/>
    <x v="0"/>
    <x v="0"/>
    <x v="0"/>
    <x v="0"/>
    <x v="0"/>
    <x v="24"/>
    <x v="347"/>
    <x v="12"/>
    <x v="59"/>
    <x v="0"/>
    <x v="347"/>
    <x v="347"/>
    <x v="0"/>
    <x v="0"/>
    <x v="0"/>
    <x v="254"/>
    <x v="310"/>
    <x v="0"/>
    <x v="0"/>
    <x v="293"/>
    <x v="341"/>
    <x v="344"/>
    <x v="324"/>
    <x v="343"/>
    <x v="344"/>
    <x v="0"/>
    <x v="344"/>
    <x v="0"/>
    <x v="1"/>
    <x v="0"/>
    <x v="344"/>
    <x v="0"/>
    <x v="0"/>
    <x v="0"/>
    <x v="3"/>
  </r>
  <r>
    <x v="347"/>
    <x v="0"/>
    <x v="2"/>
    <x v="3"/>
    <x v="32"/>
    <x v="2"/>
    <x v="0"/>
    <x v="0"/>
    <x v="0"/>
    <x v="0"/>
    <x v="0"/>
    <x v="0"/>
    <x v="0"/>
    <x v="22"/>
    <x v="348"/>
    <x v="7"/>
    <x v="27"/>
    <x v="0"/>
    <x v="348"/>
    <x v="348"/>
    <x v="154"/>
    <x v="166"/>
    <x v="187"/>
    <x v="1"/>
    <x v="311"/>
    <x v="0"/>
    <x v="203"/>
    <x v="1"/>
    <x v="342"/>
    <x v="345"/>
    <x v="325"/>
    <x v="344"/>
    <x v="345"/>
    <x v="187"/>
    <x v="345"/>
    <x v="0"/>
    <x v="1"/>
    <x v="0"/>
    <x v="345"/>
    <x v="1"/>
    <x v="205"/>
    <x v="0"/>
    <x v="3"/>
  </r>
  <r>
    <x v="348"/>
    <x v="0"/>
    <x v="2"/>
    <x v="1"/>
    <x v="1"/>
    <x v="2"/>
    <x v="0"/>
    <x v="0"/>
    <x v="0"/>
    <x v="0"/>
    <x v="0"/>
    <x v="0"/>
    <x v="0"/>
    <x v="41"/>
    <x v="349"/>
    <x v="7"/>
    <x v="27"/>
    <x v="0"/>
    <x v="349"/>
    <x v="349"/>
    <x v="97"/>
    <x v="138"/>
    <x v="150"/>
    <x v="255"/>
    <x v="312"/>
    <x v="119"/>
    <x v="204"/>
    <x v="294"/>
    <x v="343"/>
    <x v="346"/>
    <x v="326"/>
    <x v="345"/>
    <x v="346"/>
    <x v="150"/>
    <x v="346"/>
    <x v="0"/>
    <x v="1"/>
    <x v="0"/>
    <x v="346"/>
    <x v="0"/>
    <x v="206"/>
    <x v="0"/>
    <x v="3"/>
  </r>
  <r>
    <x v="349"/>
    <x v="0"/>
    <x v="2"/>
    <x v="0"/>
    <x v="1"/>
    <x v="2"/>
    <x v="0"/>
    <x v="0"/>
    <x v="0"/>
    <x v="0"/>
    <x v="0"/>
    <x v="0"/>
    <x v="0"/>
    <x v="32"/>
    <x v="350"/>
    <x v="7"/>
    <x v="27"/>
    <x v="2"/>
    <x v="350"/>
    <x v="350"/>
    <x v="120"/>
    <x v="133"/>
    <x v="188"/>
    <x v="256"/>
    <x v="313"/>
    <x v="130"/>
    <x v="205"/>
    <x v="295"/>
    <x v="341"/>
    <x v="347"/>
    <x v="327"/>
    <x v="346"/>
    <x v="347"/>
    <x v="188"/>
    <x v="347"/>
    <x v="0"/>
    <x v="1"/>
    <x v="0"/>
    <x v="347"/>
    <x v="0"/>
    <x v="207"/>
    <x v="0"/>
    <x v="3"/>
  </r>
  <r>
    <x v="350"/>
    <x v="2"/>
    <x v="2"/>
    <x v="0"/>
    <x v="1"/>
    <x v="58"/>
    <x v="1"/>
    <x v="0"/>
    <x v="0"/>
    <x v="0"/>
    <x v="0"/>
    <x v="0"/>
    <x v="0"/>
    <x v="24"/>
    <x v="351"/>
    <x v="12"/>
    <x v="59"/>
    <x v="0"/>
    <x v="351"/>
    <x v="351"/>
    <x v="0"/>
    <x v="0"/>
    <x v="0"/>
    <x v="257"/>
    <x v="314"/>
    <x v="0"/>
    <x v="0"/>
    <x v="296"/>
    <x v="344"/>
    <x v="348"/>
    <x v="328"/>
    <x v="347"/>
    <x v="348"/>
    <x v="0"/>
    <x v="348"/>
    <x v="0"/>
    <x v="1"/>
    <x v="0"/>
    <x v="348"/>
    <x v="0"/>
    <x v="0"/>
    <x v="0"/>
    <x v="3"/>
  </r>
  <r>
    <x v="351"/>
    <x v="0"/>
    <x v="2"/>
    <x v="0"/>
    <x v="1"/>
    <x v="2"/>
    <x v="1"/>
    <x v="0"/>
    <x v="0"/>
    <x v="0"/>
    <x v="0"/>
    <x v="0"/>
    <x v="0"/>
    <x v="22"/>
    <x v="352"/>
    <x v="7"/>
    <x v="27"/>
    <x v="0"/>
    <x v="352"/>
    <x v="352"/>
    <x v="131"/>
    <x v="100"/>
    <x v="186"/>
    <x v="258"/>
    <x v="315"/>
    <x v="0"/>
    <x v="206"/>
    <x v="297"/>
    <x v="345"/>
    <x v="349"/>
    <x v="329"/>
    <x v="348"/>
    <x v="349"/>
    <x v="186"/>
    <x v="349"/>
    <x v="0"/>
    <x v="1"/>
    <x v="0"/>
    <x v="349"/>
    <x v="0"/>
    <x v="208"/>
    <x v="0"/>
    <x v="3"/>
  </r>
  <r>
    <x v="352"/>
    <x v="1"/>
    <x v="2"/>
    <x v="1"/>
    <x v="1"/>
    <x v="2"/>
    <x v="0"/>
    <x v="0"/>
    <x v="0"/>
    <x v="0"/>
    <x v="0"/>
    <x v="0"/>
    <x v="0"/>
    <x v="7"/>
    <x v="353"/>
    <x v="6"/>
    <x v="8"/>
    <x v="0"/>
    <x v="353"/>
    <x v="353"/>
    <x v="0"/>
    <x v="0"/>
    <x v="0"/>
    <x v="1"/>
    <x v="316"/>
    <x v="0"/>
    <x v="0"/>
    <x v="1"/>
    <x v="346"/>
    <x v="350"/>
    <x v="1"/>
    <x v="349"/>
    <x v="350"/>
    <x v="0"/>
    <x v="350"/>
    <x v="0"/>
    <x v="1"/>
    <x v="0"/>
    <x v="350"/>
    <x v="1"/>
    <x v="0"/>
    <x v="0"/>
    <x v="3"/>
  </r>
  <r>
    <x v="353"/>
    <x v="0"/>
    <x v="2"/>
    <x v="0"/>
    <x v="1"/>
    <x v="2"/>
    <x v="1"/>
    <x v="0"/>
    <x v="0"/>
    <x v="0"/>
    <x v="0"/>
    <x v="0"/>
    <x v="0"/>
    <x v="15"/>
    <x v="354"/>
    <x v="0"/>
    <x v="18"/>
    <x v="0"/>
    <x v="354"/>
    <x v="354"/>
    <x v="176"/>
    <x v="167"/>
    <x v="189"/>
    <x v="259"/>
    <x v="317"/>
    <x v="131"/>
    <x v="207"/>
    <x v="298"/>
    <x v="347"/>
    <x v="351"/>
    <x v="330"/>
    <x v="350"/>
    <x v="351"/>
    <x v="189"/>
    <x v="351"/>
    <x v="0"/>
    <x v="1"/>
    <x v="0"/>
    <x v="351"/>
    <x v="0"/>
    <x v="209"/>
    <x v="0"/>
    <x v="3"/>
  </r>
  <r>
    <x v="354"/>
    <x v="2"/>
    <x v="2"/>
    <x v="0"/>
    <x v="1"/>
    <x v="2"/>
    <x v="1"/>
    <x v="0"/>
    <x v="0"/>
    <x v="0"/>
    <x v="0"/>
    <x v="0"/>
    <x v="0"/>
    <x v="12"/>
    <x v="355"/>
    <x v="2"/>
    <x v="2"/>
    <x v="0"/>
    <x v="355"/>
    <x v="355"/>
    <x v="0"/>
    <x v="0"/>
    <x v="0"/>
    <x v="260"/>
    <x v="318"/>
    <x v="0"/>
    <x v="0"/>
    <x v="271"/>
    <x v="348"/>
    <x v="352"/>
    <x v="331"/>
    <x v="351"/>
    <x v="352"/>
    <x v="0"/>
    <x v="352"/>
    <x v="0"/>
    <x v="1"/>
    <x v="0"/>
    <x v="352"/>
    <x v="0"/>
    <x v="0"/>
    <x v="0"/>
    <x v="3"/>
  </r>
  <r>
    <x v="355"/>
    <x v="1"/>
    <x v="1"/>
    <x v="1"/>
    <x v="1"/>
    <x v="59"/>
    <x v="0"/>
    <x v="3"/>
    <x v="0"/>
    <x v="0"/>
    <x v="0"/>
    <x v="0"/>
    <x v="0"/>
    <x v="6"/>
    <x v="356"/>
    <x v="5"/>
    <x v="7"/>
    <x v="0"/>
    <x v="356"/>
    <x v="356"/>
    <x v="0"/>
    <x v="0"/>
    <x v="0"/>
    <x v="261"/>
    <x v="319"/>
    <x v="0"/>
    <x v="0"/>
    <x v="299"/>
    <x v="349"/>
    <x v="353"/>
    <x v="332"/>
    <x v="352"/>
    <x v="353"/>
    <x v="0"/>
    <x v="353"/>
    <x v="0"/>
    <x v="1"/>
    <x v="0"/>
    <x v="353"/>
    <x v="0"/>
    <x v="0"/>
    <x v="0"/>
    <x v="3"/>
  </r>
  <r>
    <x v="356"/>
    <x v="0"/>
    <x v="0"/>
    <x v="0"/>
    <x v="33"/>
    <x v="60"/>
    <x v="2"/>
    <x v="0"/>
    <x v="0"/>
    <x v="0"/>
    <x v="0"/>
    <x v="0"/>
    <x v="0"/>
    <x v="42"/>
    <x v="357"/>
    <x v="0"/>
    <x v="60"/>
    <x v="0"/>
    <x v="357"/>
    <x v="357"/>
    <x v="131"/>
    <x v="49"/>
    <x v="172"/>
    <x v="262"/>
    <x v="320"/>
    <x v="132"/>
    <x v="208"/>
    <x v="300"/>
    <x v="350"/>
    <x v="354"/>
    <x v="333"/>
    <x v="353"/>
    <x v="354"/>
    <x v="172"/>
    <x v="354"/>
    <x v="0"/>
    <x v="1"/>
    <x v="0"/>
    <x v="354"/>
    <x v="0"/>
    <x v="210"/>
    <x v="0"/>
    <x v="3"/>
  </r>
  <r>
    <x v="357"/>
    <x v="0"/>
    <x v="1"/>
    <x v="0"/>
    <x v="1"/>
    <x v="2"/>
    <x v="2"/>
    <x v="0"/>
    <x v="0"/>
    <x v="0"/>
    <x v="0"/>
    <x v="0"/>
    <x v="0"/>
    <x v="10"/>
    <x v="358"/>
    <x v="7"/>
    <x v="11"/>
    <x v="0"/>
    <x v="358"/>
    <x v="358"/>
    <x v="177"/>
    <x v="168"/>
    <x v="190"/>
    <x v="263"/>
    <x v="321"/>
    <x v="133"/>
    <x v="209"/>
    <x v="301"/>
    <x v="351"/>
    <x v="355"/>
    <x v="334"/>
    <x v="354"/>
    <x v="355"/>
    <x v="190"/>
    <x v="355"/>
    <x v="0"/>
    <x v="1"/>
    <x v="0"/>
    <x v="355"/>
    <x v="0"/>
    <x v="211"/>
    <x v="0"/>
    <x v="3"/>
  </r>
  <r>
    <x v="358"/>
    <x v="0"/>
    <x v="0"/>
    <x v="0"/>
    <x v="34"/>
    <x v="33"/>
    <x v="0"/>
    <x v="0"/>
    <x v="0"/>
    <x v="0"/>
    <x v="0"/>
    <x v="0"/>
    <x v="0"/>
    <x v="0"/>
    <x v="359"/>
    <x v="3"/>
    <x v="3"/>
    <x v="1"/>
    <x v="359"/>
    <x v="359"/>
    <x v="178"/>
    <x v="169"/>
    <x v="191"/>
    <x v="1"/>
    <x v="71"/>
    <x v="134"/>
    <x v="210"/>
    <x v="302"/>
    <x v="352"/>
    <x v="356"/>
    <x v="335"/>
    <x v="355"/>
    <x v="356"/>
    <x v="191"/>
    <x v="356"/>
    <x v="0"/>
    <x v="1"/>
    <x v="0"/>
    <x v="356"/>
    <x v="0"/>
    <x v="212"/>
    <x v="0"/>
    <x v="3"/>
  </r>
  <r>
    <x v="359"/>
    <x v="1"/>
    <x v="2"/>
    <x v="1"/>
    <x v="1"/>
    <x v="2"/>
    <x v="0"/>
    <x v="0"/>
    <x v="0"/>
    <x v="0"/>
    <x v="0"/>
    <x v="0"/>
    <x v="0"/>
    <x v="25"/>
    <x v="360"/>
    <x v="1"/>
    <x v="10"/>
    <x v="0"/>
    <x v="360"/>
    <x v="360"/>
    <x v="0"/>
    <x v="0"/>
    <x v="0"/>
    <x v="264"/>
    <x v="322"/>
    <x v="0"/>
    <x v="0"/>
    <x v="303"/>
    <x v="353"/>
    <x v="357"/>
    <x v="336"/>
    <x v="356"/>
    <x v="357"/>
    <x v="0"/>
    <x v="357"/>
    <x v="0"/>
    <x v="1"/>
    <x v="0"/>
    <x v="357"/>
    <x v="0"/>
    <x v="0"/>
    <x v="0"/>
    <x v="3"/>
  </r>
  <r>
    <x v="360"/>
    <x v="1"/>
    <x v="2"/>
    <x v="1"/>
    <x v="1"/>
    <x v="2"/>
    <x v="0"/>
    <x v="0"/>
    <x v="0"/>
    <x v="0"/>
    <x v="0"/>
    <x v="0"/>
    <x v="0"/>
    <x v="1"/>
    <x v="361"/>
    <x v="1"/>
    <x v="25"/>
    <x v="0"/>
    <x v="361"/>
    <x v="361"/>
    <x v="179"/>
    <x v="63"/>
    <x v="192"/>
    <x v="265"/>
    <x v="323"/>
    <x v="0"/>
    <x v="211"/>
    <x v="304"/>
    <x v="354"/>
    <x v="358"/>
    <x v="337"/>
    <x v="357"/>
    <x v="358"/>
    <x v="192"/>
    <x v="358"/>
    <x v="0"/>
    <x v="1"/>
    <x v="0"/>
    <x v="358"/>
    <x v="0"/>
    <x v="213"/>
    <x v="0"/>
    <x v="3"/>
  </r>
  <r>
    <x v="361"/>
    <x v="1"/>
    <x v="2"/>
    <x v="1"/>
    <x v="1"/>
    <x v="2"/>
    <x v="0"/>
    <x v="0"/>
    <x v="0"/>
    <x v="0"/>
    <x v="0"/>
    <x v="0"/>
    <x v="0"/>
    <x v="1"/>
    <x v="362"/>
    <x v="1"/>
    <x v="6"/>
    <x v="0"/>
    <x v="362"/>
    <x v="362"/>
    <x v="0"/>
    <x v="0"/>
    <x v="0"/>
    <x v="1"/>
    <x v="324"/>
    <x v="0"/>
    <x v="0"/>
    <x v="1"/>
    <x v="355"/>
    <x v="359"/>
    <x v="1"/>
    <x v="358"/>
    <x v="359"/>
    <x v="0"/>
    <x v="359"/>
    <x v="0"/>
    <x v="1"/>
    <x v="0"/>
    <x v="359"/>
    <x v="1"/>
    <x v="0"/>
    <x v="0"/>
    <x v="3"/>
  </r>
  <r>
    <x v="362"/>
    <x v="1"/>
    <x v="2"/>
    <x v="1"/>
    <x v="1"/>
    <x v="2"/>
    <x v="0"/>
    <x v="0"/>
    <x v="0"/>
    <x v="0"/>
    <x v="0"/>
    <x v="0"/>
    <x v="0"/>
    <x v="7"/>
    <x v="363"/>
    <x v="6"/>
    <x v="29"/>
    <x v="0"/>
    <x v="363"/>
    <x v="363"/>
    <x v="0"/>
    <x v="0"/>
    <x v="0"/>
    <x v="266"/>
    <x v="306"/>
    <x v="0"/>
    <x v="0"/>
    <x v="305"/>
    <x v="335"/>
    <x v="360"/>
    <x v="338"/>
    <x v="359"/>
    <x v="360"/>
    <x v="0"/>
    <x v="360"/>
    <x v="0"/>
    <x v="1"/>
    <x v="0"/>
    <x v="360"/>
    <x v="0"/>
    <x v="0"/>
    <x v="0"/>
    <x v="3"/>
  </r>
  <r>
    <x v="363"/>
    <x v="1"/>
    <x v="2"/>
    <x v="1"/>
    <x v="1"/>
    <x v="2"/>
    <x v="0"/>
    <x v="0"/>
    <x v="0"/>
    <x v="0"/>
    <x v="0"/>
    <x v="0"/>
    <x v="0"/>
    <x v="1"/>
    <x v="364"/>
    <x v="1"/>
    <x v="6"/>
    <x v="2"/>
    <x v="364"/>
    <x v="364"/>
    <x v="0"/>
    <x v="0"/>
    <x v="0"/>
    <x v="267"/>
    <x v="325"/>
    <x v="0"/>
    <x v="0"/>
    <x v="306"/>
    <x v="356"/>
    <x v="361"/>
    <x v="339"/>
    <x v="360"/>
    <x v="361"/>
    <x v="0"/>
    <x v="361"/>
    <x v="0"/>
    <x v="1"/>
    <x v="0"/>
    <x v="361"/>
    <x v="0"/>
    <x v="0"/>
    <x v="0"/>
    <x v="3"/>
  </r>
  <r>
    <x v="364"/>
    <x v="1"/>
    <x v="2"/>
    <x v="1"/>
    <x v="1"/>
    <x v="2"/>
    <x v="0"/>
    <x v="0"/>
    <x v="0"/>
    <x v="0"/>
    <x v="0"/>
    <x v="0"/>
    <x v="0"/>
    <x v="9"/>
    <x v="365"/>
    <x v="1"/>
    <x v="10"/>
    <x v="0"/>
    <x v="365"/>
    <x v="365"/>
    <x v="0"/>
    <x v="0"/>
    <x v="0"/>
    <x v="268"/>
    <x v="326"/>
    <x v="0"/>
    <x v="0"/>
    <x v="307"/>
    <x v="357"/>
    <x v="362"/>
    <x v="340"/>
    <x v="361"/>
    <x v="362"/>
    <x v="0"/>
    <x v="362"/>
    <x v="0"/>
    <x v="1"/>
    <x v="0"/>
    <x v="362"/>
    <x v="0"/>
    <x v="0"/>
    <x v="0"/>
    <x v="3"/>
  </r>
  <r>
    <x v="365"/>
    <x v="0"/>
    <x v="2"/>
    <x v="0"/>
    <x v="1"/>
    <x v="61"/>
    <x v="0"/>
    <x v="0"/>
    <x v="0"/>
    <x v="0"/>
    <x v="0"/>
    <x v="0"/>
    <x v="0"/>
    <x v="25"/>
    <x v="366"/>
    <x v="7"/>
    <x v="27"/>
    <x v="1"/>
    <x v="366"/>
    <x v="366"/>
    <x v="0"/>
    <x v="0"/>
    <x v="0"/>
    <x v="269"/>
    <x v="327"/>
    <x v="0"/>
    <x v="0"/>
    <x v="308"/>
    <x v="358"/>
    <x v="363"/>
    <x v="341"/>
    <x v="362"/>
    <x v="363"/>
    <x v="0"/>
    <x v="363"/>
    <x v="0"/>
    <x v="1"/>
    <x v="0"/>
    <x v="363"/>
    <x v="0"/>
    <x v="0"/>
    <x v="0"/>
    <x v="3"/>
  </r>
  <r>
    <x v="366"/>
    <x v="0"/>
    <x v="1"/>
    <x v="0"/>
    <x v="1"/>
    <x v="2"/>
    <x v="0"/>
    <x v="0"/>
    <x v="0"/>
    <x v="0"/>
    <x v="0"/>
    <x v="0"/>
    <x v="0"/>
    <x v="21"/>
    <x v="367"/>
    <x v="11"/>
    <x v="30"/>
    <x v="0"/>
    <x v="367"/>
    <x v="367"/>
    <x v="180"/>
    <x v="153"/>
    <x v="193"/>
    <x v="1"/>
    <x v="71"/>
    <x v="135"/>
    <x v="212"/>
    <x v="309"/>
    <x v="359"/>
    <x v="364"/>
    <x v="306"/>
    <x v="363"/>
    <x v="364"/>
    <x v="193"/>
    <x v="364"/>
    <x v="0"/>
    <x v="1"/>
    <x v="0"/>
    <x v="364"/>
    <x v="0"/>
    <x v="214"/>
    <x v="0"/>
    <x v="3"/>
  </r>
  <r>
    <x v="367"/>
    <x v="1"/>
    <x v="2"/>
    <x v="1"/>
    <x v="1"/>
    <x v="2"/>
    <x v="0"/>
    <x v="0"/>
    <x v="0"/>
    <x v="0"/>
    <x v="0"/>
    <x v="0"/>
    <x v="0"/>
    <x v="14"/>
    <x v="368"/>
    <x v="6"/>
    <x v="29"/>
    <x v="0"/>
    <x v="368"/>
    <x v="368"/>
    <x v="122"/>
    <x v="142"/>
    <x v="141"/>
    <x v="270"/>
    <x v="328"/>
    <x v="0"/>
    <x v="0"/>
    <x v="310"/>
    <x v="360"/>
    <x v="365"/>
    <x v="342"/>
    <x v="364"/>
    <x v="365"/>
    <x v="141"/>
    <x v="365"/>
    <x v="0"/>
    <x v="1"/>
    <x v="0"/>
    <x v="365"/>
    <x v="0"/>
    <x v="215"/>
    <x v="0"/>
    <x v="3"/>
  </r>
  <r>
    <x v="368"/>
    <x v="1"/>
    <x v="2"/>
    <x v="1"/>
    <x v="1"/>
    <x v="2"/>
    <x v="0"/>
    <x v="0"/>
    <x v="0"/>
    <x v="0"/>
    <x v="0"/>
    <x v="0"/>
    <x v="0"/>
    <x v="1"/>
    <x v="369"/>
    <x v="1"/>
    <x v="4"/>
    <x v="2"/>
    <x v="369"/>
    <x v="369"/>
    <x v="0"/>
    <x v="0"/>
    <x v="0"/>
    <x v="271"/>
    <x v="297"/>
    <x v="0"/>
    <x v="0"/>
    <x v="311"/>
    <x v="324"/>
    <x v="366"/>
    <x v="298"/>
    <x v="326"/>
    <x v="366"/>
    <x v="0"/>
    <x v="366"/>
    <x v="0"/>
    <x v="1"/>
    <x v="0"/>
    <x v="366"/>
    <x v="0"/>
    <x v="0"/>
    <x v="0"/>
    <x v="3"/>
  </r>
  <r>
    <x v="369"/>
    <x v="0"/>
    <x v="2"/>
    <x v="0"/>
    <x v="1"/>
    <x v="2"/>
    <x v="2"/>
    <x v="0"/>
    <x v="0"/>
    <x v="0"/>
    <x v="0"/>
    <x v="0"/>
    <x v="0"/>
    <x v="8"/>
    <x v="370"/>
    <x v="7"/>
    <x v="9"/>
    <x v="0"/>
    <x v="370"/>
    <x v="370"/>
    <x v="181"/>
    <x v="170"/>
    <x v="194"/>
    <x v="272"/>
    <x v="329"/>
    <x v="136"/>
    <x v="213"/>
    <x v="312"/>
    <x v="361"/>
    <x v="367"/>
    <x v="343"/>
    <x v="365"/>
    <x v="367"/>
    <x v="194"/>
    <x v="367"/>
    <x v="0"/>
    <x v="1"/>
    <x v="0"/>
    <x v="367"/>
    <x v="0"/>
    <x v="216"/>
    <x v="0"/>
    <x v="3"/>
  </r>
  <r>
    <x v="370"/>
    <x v="1"/>
    <x v="2"/>
    <x v="1"/>
    <x v="1"/>
    <x v="2"/>
    <x v="0"/>
    <x v="0"/>
    <x v="0"/>
    <x v="0"/>
    <x v="0"/>
    <x v="0"/>
    <x v="0"/>
    <x v="1"/>
    <x v="371"/>
    <x v="1"/>
    <x v="4"/>
    <x v="2"/>
    <x v="371"/>
    <x v="371"/>
    <x v="0"/>
    <x v="0"/>
    <x v="0"/>
    <x v="273"/>
    <x v="71"/>
    <x v="0"/>
    <x v="0"/>
    <x v="313"/>
    <x v="362"/>
    <x v="368"/>
    <x v="344"/>
    <x v="366"/>
    <x v="368"/>
    <x v="0"/>
    <x v="368"/>
    <x v="0"/>
    <x v="1"/>
    <x v="0"/>
    <x v="368"/>
    <x v="1"/>
    <x v="0"/>
    <x v="0"/>
    <x v="3"/>
  </r>
  <r>
    <x v="371"/>
    <x v="0"/>
    <x v="2"/>
    <x v="0"/>
    <x v="1"/>
    <x v="2"/>
    <x v="2"/>
    <x v="0"/>
    <x v="0"/>
    <x v="0"/>
    <x v="0"/>
    <x v="0"/>
    <x v="0"/>
    <x v="2"/>
    <x v="372"/>
    <x v="7"/>
    <x v="16"/>
    <x v="0"/>
    <x v="372"/>
    <x v="372"/>
    <x v="182"/>
    <x v="171"/>
    <x v="195"/>
    <x v="274"/>
    <x v="330"/>
    <x v="137"/>
    <x v="214"/>
    <x v="314"/>
    <x v="363"/>
    <x v="369"/>
    <x v="345"/>
    <x v="367"/>
    <x v="369"/>
    <x v="195"/>
    <x v="369"/>
    <x v="0"/>
    <x v="1"/>
    <x v="0"/>
    <x v="369"/>
    <x v="0"/>
    <x v="217"/>
    <x v="0"/>
    <x v="3"/>
  </r>
  <r>
    <x v="372"/>
    <x v="1"/>
    <x v="2"/>
    <x v="1"/>
    <x v="1"/>
    <x v="2"/>
    <x v="0"/>
    <x v="0"/>
    <x v="0"/>
    <x v="0"/>
    <x v="0"/>
    <x v="0"/>
    <x v="0"/>
    <x v="9"/>
    <x v="373"/>
    <x v="1"/>
    <x v="10"/>
    <x v="0"/>
    <x v="373"/>
    <x v="373"/>
    <x v="0"/>
    <x v="0"/>
    <x v="0"/>
    <x v="275"/>
    <x v="331"/>
    <x v="0"/>
    <x v="0"/>
    <x v="315"/>
    <x v="364"/>
    <x v="370"/>
    <x v="346"/>
    <x v="368"/>
    <x v="370"/>
    <x v="0"/>
    <x v="370"/>
    <x v="0"/>
    <x v="1"/>
    <x v="0"/>
    <x v="370"/>
    <x v="0"/>
    <x v="0"/>
    <x v="0"/>
    <x v="3"/>
  </r>
  <r>
    <x v="373"/>
    <x v="1"/>
    <x v="2"/>
    <x v="1"/>
    <x v="1"/>
    <x v="2"/>
    <x v="0"/>
    <x v="0"/>
    <x v="0"/>
    <x v="0"/>
    <x v="0"/>
    <x v="0"/>
    <x v="0"/>
    <x v="1"/>
    <x v="374"/>
    <x v="1"/>
    <x v="47"/>
    <x v="1"/>
    <x v="374"/>
    <x v="374"/>
    <x v="183"/>
    <x v="172"/>
    <x v="196"/>
    <x v="1"/>
    <x v="71"/>
    <x v="138"/>
    <x v="215"/>
    <x v="316"/>
    <x v="365"/>
    <x v="371"/>
    <x v="347"/>
    <x v="319"/>
    <x v="371"/>
    <x v="196"/>
    <x v="371"/>
    <x v="0"/>
    <x v="1"/>
    <x v="0"/>
    <x v="371"/>
    <x v="0"/>
    <x v="218"/>
    <x v="0"/>
    <x v="3"/>
  </r>
  <r>
    <x v="374"/>
    <x v="0"/>
    <x v="1"/>
    <x v="0"/>
    <x v="1"/>
    <x v="62"/>
    <x v="0"/>
    <x v="1"/>
    <x v="0"/>
    <x v="0"/>
    <x v="0"/>
    <x v="0"/>
    <x v="0"/>
    <x v="8"/>
    <x v="375"/>
    <x v="7"/>
    <x v="9"/>
    <x v="2"/>
    <x v="375"/>
    <x v="375"/>
    <x v="184"/>
    <x v="173"/>
    <x v="197"/>
    <x v="276"/>
    <x v="332"/>
    <x v="139"/>
    <x v="216"/>
    <x v="317"/>
    <x v="366"/>
    <x v="372"/>
    <x v="348"/>
    <x v="369"/>
    <x v="372"/>
    <x v="197"/>
    <x v="372"/>
    <x v="0"/>
    <x v="1"/>
    <x v="0"/>
    <x v="372"/>
    <x v="0"/>
    <x v="219"/>
    <x v="0"/>
    <x v="3"/>
  </r>
  <r>
    <x v="375"/>
    <x v="2"/>
    <x v="2"/>
    <x v="3"/>
    <x v="1"/>
    <x v="52"/>
    <x v="1"/>
    <x v="0"/>
    <x v="0"/>
    <x v="0"/>
    <x v="0"/>
    <x v="0"/>
    <x v="0"/>
    <x v="22"/>
    <x v="376"/>
    <x v="2"/>
    <x v="2"/>
    <x v="0"/>
    <x v="376"/>
    <x v="376"/>
    <x v="0"/>
    <x v="0"/>
    <x v="0"/>
    <x v="277"/>
    <x v="333"/>
    <x v="0"/>
    <x v="0"/>
    <x v="318"/>
    <x v="367"/>
    <x v="373"/>
    <x v="349"/>
    <x v="370"/>
    <x v="373"/>
    <x v="0"/>
    <x v="373"/>
    <x v="0"/>
    <x v="1"/>
    <x v="0"/>
    <x v="373"/>
    <x v="0"/>
    <x v="0"/>
    <x v="0"/>
    <x v="3"/>
  </r>
  <r>
    <x v="376"/>
    <x v="0"/>
    <x v="2"/>
    <x v="0"/>
    <x v="1"/>
    <x v="2"/>
    <x v="2"/>
    <x v="0"/>
    <x v="0"/>
    <x v="0"/>
    <x v="0"/>
    <x v="0"/>
    <x v="0"/>
    <x v="18"/>
    <x v="377"/>
    <x v="7"/>
    <x v="27"/>
    <x v="0"/>
    <x v="377"/>
    <x v="377"/>
    <x v="185"/>
    <x v="117"/>
    <x v="198"/>
    <x v="1"/>
    <x v="334"/>
    <x v="0"/>
    <x v="217"/>
    <x v="1"/>
    <x v="368"/>
    <x v="374"/>
    <x v="350"/>
    <x v="371"/>
    <x v="374"/>
    <x v="198"/>
    <x v="374"/>
    <x v="0"/>
    <x v="1"/>
    <x v="0"/>
    <x v="374"/>
    <x v="0"/>
    <x v="220"/>
    <x v="0"/>
    <x v="3"/>
  </r>
  <r>
    <x v="377"/>
    <x v="1"/>
    <x v="2"/>
    <x v="1"/>
    <x v="1"/>
    <x v="2"/>
    <x v="0"/>
    <x v="0"/>
    <x v="0"/>
    <x v="0"/>
    <x v="0"/>
    <x v="0"/>
    <x v="0"/>
    <x v="16"/>
    <x v="378"/>
    <x v="10"/>
    <x v="56"/>
    <x v="0"/>
    <x v="378"/>
    <x v="378"/>
    <x v="186"/>
    <x v="174"/>
    <x v="199"/>
    <x v="1"/>
    <x v="335"/>
    <x v="140"/>
    <x v="218"/>
    <x v="319"/>
    <x v="369"/>
    <x v="375"/>
    <x v="275"/>
    <x v="372"/>
    <x v="375"/>
    <x v="199"/>
    <x v="375"/>
    <x v="0"/>
    <x v="1"/>
    <x v="0"/>
    <x v="375"/>
    <x v="0"/>
    <x v="221"/>
    <x v="0"/>
    <x v="3"/>
  </r>
  <r>
    <x v="378"/>
    <x v="1"/>
    <x v="2"/>
    <x v="1"/>
    <x v="1"/>
    <x v="2"/>
    <x v="0"/>
    <x v="0"/>
    <x v="0"/>
    <x v="0"/>
    <x v="0"/>
    <x v="0"/>
    <x v="0"/>
    <x v="14"/>
    <x v="379"/>
    <x v="6"/>
    <x v="29"/>
    <x v="0"/>
    <x v="379"/>
    <x v="379"/>
    <x v="48"/>
    <x v="120"/>
    <x v="111"/>
    <x v="278"/>
    <x v="336"/>
    <x v="141"/>
    <x v="219"/>
    <x v="320"/>
    <x v="370"/>
    <x v="376"/>
    <x v="351"/>
    <x v="373"/>
    <x v="376"/>
    <x v="111"/>
    <x v="376"/>
    <x v="0"/>
    <x v="1"/>
    <x v="0"/>
    <x v="376"/>
    <x v="0"/>
    <x v="222"/>
    <x v="0"/>
    <x v="3"/>
  </r>
  <r>
    <x v="379"/>
    <x v="1"/>
    <x v="2"/>
    <x v="1"/>
    <x v="1"/>
    <x v="2"/>
    <x v="0"/>
    <x v="0"/>
    <x v="0"/>
    <x v="0"/>
    <x v="0"/>
    <x v="0"/>
    <x v="0"/>
    <x v="16"/>
    <x v="380"/>
    <x v="10"/>
    <x v="56"/>
    <x v="0"/>
    <x v="380"/>
    <x v="380"/>
    <x v="122"/>
    <x v="142"/>
    <x v="141"/>
    <x v="279"/>
    <x v="337"/>
    <x v="142"/>
    <x v="220"/>
    <x v="321"/>
    <x v="371"/>
    <x v="377"/>
    <x v="352"/>
    <x v="374"/>
    <x v="377"/>
    <x v="141"/>
    <x v="377"/>
    <x v="0"/>
    <x v="1"/>
    <x v="0"/>
    <x v="377"/>
    <x v="0"/>
    <x v="223"/>
    <x v="0"/>
    <x v="3"/>
  </r>
  <r>
    <x v="380"/>
    <x v="0"/>
    <x v="2"/>
    <x v="0"/>
    <x v="1"/>
    <x v="2"/>
    <x v="1"/>
    <x v="0"/>
    <x v="0"/>
    <x v="0"/>
    <x v="0"/>
    <x v="0"/>
    <x v="0"/>
    <x v="33"/>
    <x v="381"/>
    <x v="9"/>
    <x v="20"/>
    <x v="0"/>
    <x v="381"/>
    <x v="381"/>
    <x v="187"/>
    <x v="175"/>
    <x v="200"/>
    <x v="1"/>
    <x v="338"/>
    <x v="0"/>
    <x v="221"/>
    <x v="1"/>
    <x v="372"/>
    <x v="378"/>
    <x v="353"/>
    <x v="375"/>
    <x v="378"/>
    <x v="200"/>
    <x v="378"/>
    <x v="0"/>
    <x v="1"/>
    <x v="0"/>
    <x v="378"/>
    <x v="0"/>
    <x v="224"/>
    <x v="0"/>
    <x v="3"/>
  </r>
  <r>
    <x v="381"/>
    <x v="2"/>
    <x v="2"/>
    <x v="3"/>
    <x v="1"/>
    <x v="63"/>
    <x v="1"/>
    <x v="0"/>
    <x v="0"/>
    <x v="0"/>
    <x v="0"/>
    <x v="0"/>
    <x v="0"/>
    <x v="12"/>
    <x v="382"/>
    <x v="2"/>
    <x v="2"/>
    <x v="0"/>
    <x v="382"/>
    <x v="382"/>
    <x v="0"/>
    <x v="0"/>
    <x v="0"/>
    <x v="280"/>
    <x v="339"/>
    <x v="0"/>
    <x v="0"/>
    <x v="322"/>
    <x v="373"/>
    <x v="379"/>
    <x v="354"/>
    <x v="376"/>
    <x v="379"/>
    <x v="0"/>
    <x v="379"/>
    <x v="0"/>
    <x v="1"/>
    <x v="0"/>
    <x v="379"/>
    <x v="0"/>
    <x v="0"/>
    <x v="0"/>
    <x v="3"/>
  </r>
  <r>
    <x v="382"/>
    <x v="2"/>
    <x v="2"/>
    <x v="3"/>
    <x v="1"/>
    <x v="64"/>
    <x v="1"/>
    <x v="0"/>
    <x v="0"/>
    <x v="0"/>
    <x v="0"/>
    <x v="0"/>
    <x v="0"/>
    <x v="13"/>
    <x v="383"/>
    <x v="2"/>
    <x v="2"/>
    <x v="0"/>
    <x v="383"/>
    <x v="383"/>
    <x v="0"/>
    <x v="0"/>
    <x v="0"/>
    <x v="281"/>
    <x v="340"/>
    <x v="0"/>
    <x v="0"/>
    <x v="323"/>
    <x v="374"/>
    <x v="380"/>
    <x v="355"/>
    <x v="377"/>
    <x v="380"/>
    <x v="0"/>
    <x v="380"/>
    <x v="0"/>
    <x v="1"/>
    <x v="0"/>
    <x v="380"/>
    <x v="0"/>
    <x v="0"/>
    <x v="0"/>
    <x v="3"/>
  </r>
  <r>
    <x v="383"/>
    <x v="1"/>
    <x v="2"/>
    <x v="1"/>
    <x v="1"/>
    <x v="2"/>
    <x v="0"/>
    <x v="0"/>
    <x v="0"/>
    <x v="0"/>
    <x v="0"/>
    <x v="0"/>
    <x v="0"/>
    <x v="32"/>
    <x v="384"/>
    <x v="17"/>
    <x v="3"/>
    <x v="0"/>
    <x v="384"/>
    <x v="384"/>
    <x v="49"/>
    <x v="126"/>
    <x v="138"/>
    <x v="1"/>
    <x v="341"/>
    <x v="0"/>
    <x v="222"/>
    <x v="1"/>
    <x v="375"/>
    <x v="381"/>
    <x v="356"/>
    <x v="232"/>
    <x v="381"/>
    <x v="138"/>
    <x v="381"/>
    <x v="0"/>
    <x v="1"/>
    <x v="0"/>
    <x v="381"/>
    <x v="1"/>
    <x v="225"/>
    <x v="0"/>
    <x v="3"/>
  </r>
  <r>
    <x v="384"/>
    <x v="1"/>
    <x v="2"/>
    <x v="1"/>
    <x v="1"/>
    <x v="2"/>
    <x v="0"/>
    <x v="0"/>
    <x v="0"/>
    <x v="0"/>
    <x v="0"/>
    <x v="0"/>
    <x v="0"/>
    <x v="6"/>
    <x v="385"/>
    <x v="5"/>
    <x v="31"/>
    <x v="0"/>
    <x v="385"/>
    <x v="385"/>
    <x v="0"/>
    <x v="0"/>
    <x v="0"/>
    <x v="282"/>
    <x v="342"/>
    <x v="0"/>
    <x v="0"/>
    <x v="324"/>
    <x v="376"/>
    <x v="260"/>
    <x v="357"/>
    <x v="378"/>
    <x v="382"/>
    <x v="0"/>
    <x v="382"/>
    <x v="0"/>
    <x v="1"/>
    <x v="0"/>
    <x v="382"/>
    <x v="0"/>
    <x v="0"/>
    <x v="0"/>
    <x v="3"/>
  </r>
  <r>
    <x v="385"/>
    <x v="0"/>
    <x v="2"/>
    <x v="0"/>
    <x v="1"/>
    <x v="2"/>
    <x v="2"/>
    <x v="0"/>
    <x v="0"/>
    <x v="0"/>
    <x v="0"/>
    <x v="0"/>
    <x v="0"/>
    <x v="22"/>
    <x v="386"/>
    <x v="7"/>
    <x v="27"/>
    <x v="0"/>
    <x v="386"/>
    <x v="386"/>
    <x v="0"/>
    <x v="0"/>
    <x v="0"/>
    <x v="283"/>
    <x v="343"/>
    <x v="0"/>
    <x v="0"/>
    <x v="325"/>
    <x v="377"/>
    <x v="382"/>
    <x v="358"/>
    <x v="379"/>
    <x v="383"/>
    <x v="0"/>
    <x v="383"/>
    <x v="0"/>
    <x v="1"/>
    <x v="0"/>
    <x v="383"/>
    <x v="0"/>
    <x v="0"/>
    <x v="0"/>
    <x v="3"/>
  </r>
  <r>
    <x v="386"/>
    <x v="0"/>
    <x v="2"/>
    <x v="0"/>
    <x v="1"/>
    <x v="2"/>
    <x v="2"/>
    <x v="0"/>
    <x v="0"/>
    <x v="0"/>
    <x v="0"/>
    <x v="0"/>
    <x v="0"/>
    <x v="21"/>
    <x v="387"/>
    <x v="11"/>
    <x v="61"/>
    <x v="0"/>
    <x v="387"/>
    <x v="387"/>
    <x v="172"/>
    <x v="176"/>
    <x v="201"/>
    <x v="284"/>
    <x v="71"/>
    <x v="143"/>
    <x v="223"/>
    <x v="326"/>
    <x v="378"/>
    <x v="383"/>
    <x v="359"/>
    <x v="380"/>
    <x v="384"/>
    <x v="201"/>
    <x v="384"/>
    <x v="0"/>
    <x v="1"/>
    <x v="0"/>
    <x v="384"/>
    <x v="0"/>
    <x v="226"/>
    <x v="0"/>
    <x v="3"/>
  </r>
  <r>
    <x v="387"/>
    <x v="1"/>
    <x v="2"/>
    <x v="1"/>
    <x v="1"/>
    <x v="2"/>
    <x v="0"/>
    <x v="0"/>
    <x v="0"/>
    <x v="0"/>
    <x v="0"/>
    <x v="0"/>
    <x v="0"/>
    <x v="43"/>
    <x v="388"/>
    <x v="6"/>
    <x v="29"/>
    <x v="0"/>
    <x v="388"/>
    <x v="388"/>
    <x v="153"/>
    <x v="177"/>
    <x v="64"/>
    <x v="1"/>
    <x v="344"/>
    <x v="0"/>
    <x v="224"/>
    <x v="1"/>
    <x v="379"/>
    <x v="384"/>
    <x v="360"/>
    <x v="381"/>
    <x v="385"/>
    <x v="64"/>
    <x v="385"/>
    <x v="0"/>
    <x v="1"/>
    <x v="0"/>
    <x v="385"/>
    <x v="1"/>
    <x v="227"/>
    <x v="0"/>
    <x v="3"/>
  </r>
  <r>
    <x v="388"/>
    <x v="1"/>
    <x v="2"/>
    <x v="1"/>
    <x v="1"/>
    <x v="2"/>
    <x v="0"/>
    <x v="0"/>
    <x v="0"/>
    <x v="0"/>
    <x v="0"/>
    <x v="0"/>
    <x v="0"/>
    <x v="1"/>
    <x v="389"/>
    <x v="1"/>
    <x v="47"/>
    <x v="1"/>
    <x v="389"/>
    <x v="389"/>
    <x v="0"/>
    <x v="0"/>
    <x v="0"/>
    <x v="285"/>
    <x v="345"/>
    <x v="0"/>
    <x v="0"/>
    <x v="327"/>
    <x v="380"/>
    <x v="385"/>
    <x v="361"/>
    <x v="382"/>
    <x v="386"/>
    <x v="0"/>
    <x v="386"/>
    <x v="0"/>
    <x v="1"/>
    <x v="0"/>
    <x v="386"/>
    <x v="0"/>
    <x v="0"/>
    <x v="0"/>
    <x v="3"/>
  </r>
  <r>
    <x v="389"/>
    <x v="0"/>
    <x v="1"/>
    <x v="0"/>
    <x v="1"/>
    <x v="65"/>
    <x v="1"/>
    <x v="1"/>
    <x v="0"/>
    <x v="0"/>
    <x v="0"/>
    <x v="0"/>
    <x v="0"/>
    <x v="29"/>
    <x v="390"/>
    <x v="0"/>
    <x v="0"/>
    <x v="0"/>
    <x v="390"/>
    <x v="390"/>
    <x v="188"/>
    <x v="178"/>
    <x v="202"/>
    <x v="1"/>
    <x v="346"/>
    <x v="0"/>
    <x v="0"/>
    <x v="1"/>
    <x v="381"/>
    <x v="386"/>
    <x v="362"/>
    <x v="383"/>
    <x v="387"/>
    <x v="202"/>
    <x v="387"/>
    <x v="0"/>
    <x v="1"/>
    <x v="0"/>
    <x v="387"/>
    <x v="1"/>
    <x v="228"/>
    <x v="0"/>
    <x v="3"/>
  </r>
  <r>
    <x v="390"/>
    <x v="0"/>
    <x v="1"/>
    <x v="0"/>
    <x v="1"/>
    <x v="66"/>
    <x v="1"/>
    <x v="0"/>
    <x v="0"/>
    <x v="0"/>
    <x v="0"/>
    <x v="0"/>
    <x v="0"/>
    <x v="9"/>
    <x v="391"/>
    <x v="0"/>
    <x v="18"/>
    <x v="0"/>
    <x v="391"/>
    <x v="391"/>
    <x v="0"/>
    <x v="0"/>
    <x v="0"/>
    <x v="286"/>
    <x v="347"/>
    <x v="0"/>
    <x v="0"/>
    <x v="328"/>
    <x v="382"/>
    <x v="387"/>
    <x v="363"/>
    <x v="384"/>
    <x v="388"/>
    <x v="0"/>
    <x v="388"/>
    <x v="0"/>
    <x v="1"/>
    <x v="0"/>
    <x v="388"/>
    <x v="0"/>
    <x v="0"/>
    <x v="0"/>
    <x v="3"/>
  </r>
  <r>
    <x v="391"/>
    <x v="1"/>
    <x v="2"/>
    <x v="1"/>
    <x v="1"/>
    <x v="2"/>
    <x v="0"/>
    <x v="0"/>
    <x v="0"/>
    <x v="0"/>
    <x v="0"/>
    <x v="0"/>
    <x v="0"/>
    <x v="1"/>
    <x v="392"/>
    <x v="1"/>
    <x v="1"/>
    <x v="1"/>
    <x v="392"/>
    <x v="392"/>
    <x v="114"/>
    <x v="75"/>
    <x v="186"/>
    <x v="1"/>
    <x v="71"/>
    <x v="144"/>
    <x v="225"/>
    <x v="329"/>
    <x v="383"/>
    <x v="388"/>
    <x v="364"/>
    <x v="385"/>
    <x v="389"/>
    <x v="186"/>
    <x v="389"/>
    <x v="0"/>
    <x v="1"/>
    <x v="0"/>
    <x v="389"/>
    <x v="0"/>
    <x v="229"/>
    <x v="0"/>
    <x v="3"/>
  </r>
  <r>
    <x v="392"/>
    <x v="1"/>
    <x v="2"/>
    <x v="1"/>
    <x v="1"/>
    <x v="2"/>
    <x v="0"/>
    <x v="0"/>
    <x v="0"/>
    <x v="0"/>
    <x v="0"/>
    <x v="0"/>
    <x v="0"/>
    <x v="1"/>
    <x v="393"/>
    <x v="1"/>
    <x v="47"/>
    <x v="1"/>
    <x v="393"/>
    <x v="393"/>
    <x v="189"/>
    <x v="179"/>
    <x v="141"/>
    <x v="1"/>
    <x v="71"/>
    <x v="145"/>
    <x v="226"/>
    <x v="330"/>
    <x v="384"/>
    <x v="389"/>
    <x v="365"/>
    <x v="386"/>
    <x v="390"/>
    <x v="141"/>
    <x v="390"/>
    <x v="0"/>
    <x v="1"/>
    <x v="0"/>
    <x v="390"/>
    <x v="0"/>
    <x v="230"/>
    <x v="0"/>
    <x v="3"/>
  </r>
  <r>
    <x v="393"/>
    <x v="1"/>
    <x v="2"/>
    <x v="1"/>
    <x v="1"/>
    <x v="67"/>
    <x v="0"/>
    <x v="0"/>
    <x v="0"/>
    <x v="0"/>
    <x v="0"/>
    <x v="0"/>
    <x v="0"/>
    <x v="1"/>
    <x v="394"/>
    <x v="1"/>
    <x v="1"/>
    <x v="1"/>
    <x v="394"/>
    <x v="394"/>
    <x v="164"/>
    <x v="143"/>
    <x v="64"/>
    <x v="1"/>
    <x v="71"/>
    <x v="146"/>
    <x v="227"/>
    <x v="331"/>
    <x v="385"/>
    <x v="390"/>
    <x v="366"/>
    <x v="387"/>
    <x v="391"/>
    <x v="64"/>
    <x v="391"/>
    <x v="0"/>
    <x v="1"/>
    <x v="0"/>
    <x v="391"/>
    <x v="0"/>
    <x v="231"/>
    <x v="0"/>
    <x v="3"/>
  </r>
  <r>
    <x v="394"/>
    <x v="2"/>
    <x v="2"/>
    <x v="1"/>
    <x v="1"/>
    <x v="68"/>
    <x v="1"/>
    <x v="1"/>
    <x v="0"/>
    <x v="1"/>
    <x v="0"/>
    <x v="0"/>
    <x v="0"/>
    <x v="23"/>
    <x v="395"/>
    <x v="12"/>
    <x v="32"/>
    <x v="1"/>
    <x v="395"/>
    <x v="395"/>
    <x v="0"/>
    <x v="0"/>
    <x v="0"/>
    <x v="287"/>
    <x v="348"/>
    <x v="0"/>
    <x v="0"/>
    <x v="332"/>
    <x v="386"/>
    <x v="391"/>
    <x v="367"/>
    <x v="388"/>
    <x v="392"/>
    <x v="0"/>
    <x v="392"/>
    <x v="0"/>
    <x v="1"/>
    <x v="0"/>
    <x v="392"/>
    <x v="0"/>
    <x v="0"/>
    <x v="0"/>
    <x v="3"/>
  </r>
  <r>
    <x v="395"/>
    <x v="1"/>
    <x v="2"/>
    <x v="1"/>
    <x v="1"/>
    <x v="2"/>
    <x v="0"/>
    <x v="0"/>
    <x v="0"/>
    <x v="0"/>
    <x v="0"/>
    <x v="0"/>
    <x v="0"/>
    <x v="1"/>
    <x v="396"/>
    <x v="1"/>
    <x v="4"/>
    <x v="1"/>
    <x v="396"/>
    <x v="396"/>
    <x v="0"/>
    <x v="0"/>
    <x v="0"/>
    <x v="1"/>
    <x v="71"/>
    <x v="147"/>
    <x v="142"/>
    <x v="299"/>
    <x v="387"/>
    <x v="392"/>
    <x v="332"/>
    <x v="389"/>
    <x v="393"/>
    <x v="0"/>
    <x v="393"/>
    <x v="0"/>
    <x v="1"/>
    <x v="0"/>
    <x v="393"/>
    <x v="0"/>
    <x v="0"/>
    <x v="0"/>
    <x v="3"/>
  </r>
  <r>
    <x v="396"/>
    <x v="0"/>
    <x v="2"/>
    <x v="0"/>
    <x v="1"/>
    <x v="69"/>
    <x v="2"/>
    <x v="0"/>
    <x v="0"/>
    <x v="0"/>
    <x v="0"/>
    <x v="0"/>
    <x v="0"/>
    <x v="8"/>
    <x v="397"/>
    <x v="9"/>
    <x v="22"/>
    <x v="0"/>
    <x v="397"/>
    <x v="397"/>
    <x v="142"/>
    <x v="180"/>
    <x v="161"/>
    <x v="288"/>
    <x v="349"/>
    <x v="0"/>
    <x v="85"/>
    <x v="333"/>
    <x v="388"/>
    <x v="393"/>
    <x v="368"/>
    <x v="390"/>
    <x v="394"/>
    <x v="161"/>
    <x v="394"/>
    <x v="0"/>
    <x v="1"/>
    <x v="0"/>
    <x v="394"/>
    <x v="0"/>
    <x v="232"/>
    <x v="0"/>
    <x v="3"/>
  </r>
  <r>
    <x v="397"/>
    <x v="2"/>
    <x v="1"/>
    <x v="0"/>
    <x v="1"/>
    <x v="70"/>
    <x v="1"/>
    <x v="0"/>
    <x v="0"/>
    <x v="0"/>
    <x v="0"/>
    <x v="0"/>
    <x v="0"/>
    <x v="0"/>
    <x v="398"/>
    <x v="3"/>
    <x v="3"/>
    <x v="1"/>
    <x v="398"/>
    <x v="398"/>
    <x v="0"/>
    <x v="0"/>
    <x v="0"/>
    <x v="289"/>
    <x v="350"/>
    <x v="0"/>
    <x v="0"/>
    <x v="334"/>
    <x v="389"/>
    <x v="394"/>
    <x v="369"/>
    <x v="391"/>
    <x v="395"/>
    <x v="0"/>
    <x v="395"/>
    <x v="0"/>
    <x v="1"/>
    <x v="0"/>
    <x v="395"/>
    <x v="0"/>
    <x v="0"/>
    <x v="0"/>
    <x v="3"/>
  </r>
  <r>
    <x v="398"/>
    <x v="0"/>
    <x v="2"/>
    <x v="0"/>
    <x v="1"/>
    <x v="2"/>
    <x v="2"/>
    <x v="0"/>
    <x v="0"/>
    <x v="0"/>
    <x v="0"/>
    <x v="0"/>
    <x v="0"/>
    <x v="12"/>
    <x v="399"/>
    <x v="7"/>
    <x v="16"/>
    <x v="0"/>
    <x v="399"/>
    <x v="399"/>
    <x v="190"/>
    <x v="181"/>
    <x v="203"/>
    <x v="290"/>
    <x v="351"/>
    <x v="148"/>
    <x v="228"/>
    <x v="335"/>
    <x v="390"/>
    <x v="395"/>
    <x v="370"/>
    <x v="392"/>
    <x v="396"/>
    <x v="203"/>
    <x v="396"/>
    <x v="0"/>
    <x v="1"/>
    <x v="0"/>
    <x v="396"/>
    <x v="0"/>
    <x v="233"/>
    <x v="0"/>
    <x v="3"/>
  </r>
  <r>
    <x v="399"/>
    <x v="1"/>
    <x v="0"/>
    <x v="1"/>
    <x v="1"/>
    <x v="71"/>
    <x v="0"/>
    <x v="0"/>
    <x v="0"/>
    <x v="0"/>
    <x v="0"/>
    <x v="0"/>
    <x v="0"/>
    <x v="37"/>
    <x v="400"/>
    <x v="18"/>
    <x v="62"/>
    <x v="1"/>
    <x v="400"/>
    <x v="400"/>
    <x v="191"/>
    <x v="182"/>
    <x v="204"/>
    <x v="291"/>
    <x v="352"/>
    <x v="149"/>
    <x v="229"/>
    <x v="336"/>
    <x v="391"/>
    <x v="396"/>
    <x v="371"/>
    <x v="393"/>
    <x v="397"/>
    <x v="204"/>
    <x v="397"/>
    <x v="0"/>
    <x v="1"/>
    <x v="0"/>
    <x v="397"/>
    <x v="0"/>
    <x v="234"/>
    <x v="0"/>
    <x v="3"/>
  </r>
  <r>
    <x v="400"/>
    <x v="1"/>
    <x v="2"/>
    <x v="1"/>
    <x v="1"/>
    <x v="2"/>
    <x v="0"/>
    <x v="0"/>
    <x v="0"/>
    <x v="0"/>
    <x v="0"/>
    <x v="0"/>
    <x v="0"/>
    <x v="1"/>
    <x v="401"/>
    <x v="1"/>
    <x v="47"/>
    <x v="1"/>
    <x v="401"/>
    <x v="401"/>
    <x v="126"/>
    <x v="85"/>
    <x v="124"/>
    <x v="1"/>
    <x v="71"/>
    <x v="150"/>
    <x v="230"/>
    <x v="337"/>
    <x v="392"/>
    <x v="397"/>
    <x v="372"/>
    <x v="394"/>
    <x v="398"/>
    <x v="124"/>
    <x v="398"/>
    <x v="0"/>
    <x v="1"/>
    <x v="0"/>
    <x v="398"/>
    <x v="0"/>
    <x v="235"/>
    <x v="0"/>
    <x v="3"/>
  </r>
  <r>
    <x v="401"/>
    <x v="2"/>
    <x v="0"/>
    <x v="0"/>
    <x v="1"/>
    <x v="72"/>
    <x v="1"/>
    <x v="0"/>
    <x v="0"/>
    <x v="0"/>
    <x v="0"/>
    <x v="0"/>
    <x v="0"/>
    <x v="11"/>
    <x v="402"/>
    <x v="8"/>
    <x v="14"/>
    <x v="0"/>
    <x v="402"/>
    <x v="402"/>
    <x v="0"/>
    <x v="0"/>
    <x v="0"/>
    <x v="292"/>
    <x v="353"/>
    <x v="151"/>
    <x v="231"/>
    <x v="338"/>
    <x v="393"/>
    <x v="398"/>
    <x v="373"/>
    <x v="395"/>
    <x v="399"/>
    <x v="0"/>
    <x v="399"/>
    <x v="0"/>
    <x v="1"/>
    <x v="0"/>
    <x v="399"/>
    <x v="0"/>
    <x v="0"/>
    <x v="0"/>
    <x v="3"/>
  </r>
  <r>
    <x v="402"/>
    <x v="1"/>
    <x v="2"/>
    <x v="1"/>
    <x v="1"/>
    <x v="2"/>
    <x v="0"/>
    <x v="0"/>
    <x v="0"/>
    <x v="0"/>
    <x v="0"/>
    <x v="0"/>
    <x v="0"/>
    <x v="1"/>
    <x v="403"/>
    <x v="1"/>
    <x v="4"/>
    <x v="2"/>
    <x v="403"/>
    <x v="403"/>
    <x v="0"/>
    <x v="0"/>
    <x v="0"/>
    <x v="293"/>
    <x v="354"/>
    <x v="0"/>
    <x v="0"/>
    <x v="339"/>
    <x v="340"/>
    <x v="397"/>
    <x v="374"/>
    <x v="396"/>
    <x v="400"/>
    <x v="0"/>
    <x v="400"/>
    <x v="0"/>
    <x v="1"/>
    <x v="0"/>
    <x v="400"/>
    <x v="0"/>
    <x v="0"/>
    <x v="0"/>
    <x v="3"/>
  </r>
  <r>
    <x v="403"/>
    <x v="1"/>
    <x v="2"/>
    <x v="1"/>
    <x v="1"/>
    <x v="2"/>
    <x v="0"/>
    <x v="0"/>
    <x v="0"/>
    <x v="0"/>
    <x v="0"/>
    <x v="0"/>
    <x v="0"/>
    <x v="20"/>
    <x v="404"/>
    <x v="5"/>
    <x v="12"/>
    <x v="0"/>
    <x v="404"/>
    <x v="404"/>
    <x v="76"/>
    <x v="183"/>
    <x v="205"/>
    <x v="294"/>
    <x v="335"/>
    <x v="0"/>
    <x v="232"/>
    <x v="340"/>
    <x v="394"/>
    <x v="399"/>
    <x v="375"/>
    <x v="397"/>
    <x v="401"/>
    <x v="205"/>
    <x v="401"/>
    <x v="0"/>
    <x v="1"/>
    <x v="0"/>
    <x v="401"/>
    <x v="0"/>
    <x v="236"/>
    <x v="0"/>
    <x v="3"/>
  </r>
  <r>
    <x v="404"/>
    <x v="0"/>
    <x v="2"/>
    <x v="0"/>
    <x v="1"/>
    <x v="2"/>
    <x v="2"/>
    <x v="0"/>
    <x v="0"/>
    <x v="0"/>
    <x v="0"/>
    <x v="0"/>
    <x v="0"/>
    <x v="8"/>
    <x v="405"/>
    <x v="7"/>
    <x v="9"/>
    <x v="0"/>
    <x v="405"/>
    <x v="405"/>
    <x v="192"/>
    <x v="184"/>
    <x v="206"/>
    <x v="295"/>
    <x v="355"/>
    <x v="152"/>
    <x v="233"/>
    <x v="341"/>
    <x v="395"/>
    <x v="400"/>
    <x v="376"/>
    <x v="398"/>
    <x v="402"/>
    <x v="206"/>
    <x v="402"/>
    <x v="0"/>
    <x v="1"/>
    <x v="0"/>
    <x v="402"/>
    <x v="0"/>
    <x v="237"/>
    <x v="0"/>
    <x v="3"/>
  </r>
  <r>
    <x v="405"/>
    <x v="0"/>
    <x v="2"/>
    <x v="0"/>
    <x v="1"/>
    <x v="2"/>
    <x v="2"/>
    <x v="0"/>
    <x v="0"/>
    <x v="0"/>
    <x v="0"/>
    <x v="0"/>
    <x v="0"/>
    <x v="25"/>
    <x v="406"/>
    <x v="7"/>
    <x v="16"/>
    <x v="2"/>
    <x v="406"/>
    <x v="406"/>
    <x v="164"/>
    <x v="120"/>
    <x v="207"/>
    <x v="296"/>
    <x v="351"/>
    <x v="153"/>
    <x v="138"/>
    <x v="342"/>
    <x v="396"/>
    <x v="401"/>
    <x v="377"/>
    <x v="399"/>
    <x v="403"/>
    <x v="207"/>
    <x v="403"/>
    <x v="0"/>
    <x v="1"/>
    <x v="0"/>
    <x v="403"/>
    <x v="1"/>
    <x v="238"/>
    <x v="0"/>
    <x v="3"/>
  </r>
  <r>
    <x v="406"/>
    <x v="1"/>
    <x v="2"/>
    <x v="1"/>
    <x v="1"/>
    <x v="2"/>
    <x v="0"/>
    <x v="0"/>
    <x v="0"/>
    <x v="0"/>
    <x v="0"/>
    <x v="0"/>
    <x v="0"/>
    <x v="6"/>
    <x v="407"/>
    <x v="5"/>
    <x v="12"/>
    <x v="0"/>
    <x v="407"/>
    <x v="407"/>
    <x v="0"/>
    <x v="0"/>
    <x v="0"/>
    <x v="297"/>
    <x v="356"/>
    <x v="0"/>
    <x v="0"/>
    <x v="343"/>
    <x v="392"/>
    <x v="399"/>
    <x v="378"/>
    <x v="400"/>
    <x v="404"/>
    <x v="0"/>
    <x v="404"/>
    <x v="0"/>
    <x v="1"/>
    <x v="0"/>
    <x v="404"/>
    <x v="0"/>
    <x v="0"/>
    <x v="0"/>
    <x v="3"/>
  </r>
  <r>
    <x v="407"/>
    <x v="0"/>
    <x v="2"/>
    <x v="0"/>
    <x v="1"/>
    <x v="2"/>
    <x v="2"/>
    <x v="0"/>
    <x v="0"/>
    <x v="0"/>
    <x v="0"/>
    <x v="0"/>
    <x v="0"/>
    <x v="22"/>
    <x v="408"/>
    <x v="7"/>
    <x v="27"/>
    <x v="0"/>
    <x v="408"/>
    <x v="408"/>
    <x v="0"/>
    <x v="0"/>
    <x v="0"/>
    <x v="1"/>
    <x v="357"/>
    <x v="0"/>
    <x v="0"/>
    <x v="1"/>
    <x v="397"/>
    <x v="402"/>
    <x v="1"/>
    <x v="401"/>
    <x v="405"/>
    <x v="0"/>
    <x v="405"/>
    <x v="0"/>
    <x v="1"/>
    <x v="0"/>
    <x v="405"/>
    <x v="1"/>
    <x v="0"/>
    <x v="0"/>
    <x v="3"/>
  </r>
  <r>
    <x v="408"/>
    <x v="0"/>
    <x v="2"/>
    <x v="0"/>
    <x v="1"/>
    <x v="73"/>
    <x v="1"/>
    <x v="0"/>
    <x v="0"/>
    <x v="0"/>
    <x v="0"/>
    <x v="0"/>
    <x v="0"/>
    <x v="11"/>
    <x v="409"/>
    <x v="8"/>
    <x v="63"/>
    <x v="0"/>
    <x v="409"/>
    <x v="409"/>
    <x v="170"/>
    <x v="49"/>
    <x v="169"/>
    <x v="298"/>
    <x v="358"/>
    <x v="154"/>
    <x v="234"/>
    <x v="344"/>
    <x v="398"/>
    <x v="403"/>
    <x v="379"/>
    <x v="317"/>
    <x v="406"/>
    <x v="169"/>
    <x v="406"/>
    <x v="0"/>
    <x v="1"/>
    <x v="0"/>
    <x v="406"/>
    <x v="0"/>
    <x v="239"/>
    <x v="0"/>
    <x v="3"/>
  </r>
  <r>
    <x v="409"/>
    <x v="1"/>
    <x v="2"/>
    <x v="1"/>
    <x v="1"/>
    <x v="74"/>
    <x v="0"/>
    <x v="0"/>
    <x v="0"/>
    <x v="0"/>
    <x v="0"/>
    <x v="0"/>
    <x v="0"/>
    <x v="1"/>
    <x v="410"/>
    <x v="1"/>
    <x v="1"/>
    <x v="1"/>
    <x v="410"/>
    <x v="410"/>
    <x v="164"/>
    <x v="145"/>
    <x v="208"/>
    <x v="1"/>
    <x v="71"/>
    <x v="155"/>
    <x v="235"/>
    <x v="250"/>
    <x v="399"/>
    <x v="404"/>
    <x v="380"/>
    <x v="402"/>
    <x v="407"/>
    <x v="208"/>
    <x v="407"/>
    <x v="0"/>
    <x v="1"/>
    <x v="0"/>
    <x v="407"/>
    <x v="0"/>
    <x v="240"/>
    <x v="0"/>
    <x v="3"/>
  </r>
  <r>
    <x v="410"/>
    <x v="1"/>
    <x v="2"/>
    <x v="1"/>
    <x v="1"/>
    <x v="2"/>
    <x v="0"/>
    <x v="0"/>
    <x v="0"/>
    <x v="0"/>
    <x v="0"/>
    <x v="0"/>
    <x v="0"/>
    <x v="20"/>
    <x v="411"/>
    <x v="5"/>
    <x v="7"/>
    <x v="0"/>
    <x v="411"/>
    <x v="411"/>
    <x v="0"/>
    <x v="0"/>
    <x v="0"/>
    <x v="299"/>
    <x v="359"/>
    <x v="0"/>
    <x v="0"/>
    <x v="345"/>
    <x v="400"/>
    <x v="405"/>
    <x v="381"/>
    <x v="403"/>
    <x v="408"/>
    <x v="0"/>
    <x v="408"/>
    <x v="0"/>
    <x v="1"/>
    <x v="0"/>
    <x v="408"/>
    <x v="0"/>
    <x v="0"/>
    <x v="0"/>
    <x v="3"/>
  </r>
  <r>
    <x v="411"/>
    <x v="1"/>
    <x v="2"/>
    <x v="1"/>
    <x v="1"/>
    <x v="2"/>
    <x v="0"/>
    <x v="0"/>
    <x v="0"/>
    <x v="0"/>
    <x v="0"/>
    <x v="0"/>
    <x v="0"/>
    <x v="1"/>
    <x v="412"/>
    <x v="1"/>
    <x v="4"/>
    <x v="0"/>
    <x v="412"/>
    <x v="412"/>
    <x v="0"/>
    <x v="0"/>
    <x v="0"/>
    <x v="1"/>
    <x v="360"/>
    <x v="0"/>
    <x v="0"/>
    <x v="1"/>
    <x v="401"/>
    <x v="406"/>
    <x v="1"/>
    <x v="404"/>
    <x v="409"/>
    <x v="0"/>
    <x v="409"/>
    <x v="0"/>
    <x v="1"/>
    <x v="0"/>
    <x v="409"/>
    <x v="1"/>
    <x v="0"/>
    <x v="0"/>
    <x v="3"/>
  </r>
  <r>
    <x v="412"/>
    <x v="1"/>
    <x v="2"/>
    <x v="1"/>
    <x v="1"/>
    <x v="2"/>
    <x v="0"/>
    <x v="0"/>
    <x v="0"/>
    <x v="0"/>
    <x v="0"/>
    <x v="0"/>
    <x v="0"/>
    <x v="22"/>
    <x v="413"/>
    <x v="9"/>
    <x v="22"/>
    <x v="0"/>
    <x v="413"/>
    <x v="413"/>
    <x v="0"/>
    <x v="0"/>
    <x v="0"/>
    <x v="300"/>
    <x v="361"/>
    <x v="0"/>
    <x v="0"/>
    <x v="346"/>
    <x v="402"/>
    <x v="407"/>
    <x v="382"/>
    <x v="405"/>
    <x v="410"/>
    <x v="0"/>
    <x v="410"/>
    <x v="0"/>
    <x v="1"/>
    <x v="0"/>
    <x v="410"/>
    <x v="0"/>
    <x v="0"/>
    <x v="0"/>
    <x v="3"/>
  </r>
  <r>
    <x v="413"/>
    <x v="1"/>
    <x v="2"/>
    <x v="1"/>
    <x v="1"/>
    <x v="2"/>
    <x v="0"/>
    <x v="0"/>
    <x v="0"/>
    <x v="0"/>
    <x v="0"/>
    <x v="0"/>
    <x v="0"/>
    <x v="6"/>
    <x v="414"/>
    <x v="5"/>
    <x v="19"/>
    <x v="0"/>
    <x v="414"/>
    <x v="414"/>
    <x v="193"/>
    <x v="185"/>
    <x v="209"/>
    <x v="1"/>
    <x v="362"/>
    <x v="0"/>
    <x v="236"/>
    <x v="1"/>
    <x v="403"/>
    <x v="408"/>
    <x v="383"/>
    <x v="406"/>
    <x v="411"/>
    <x v="209"/>
    <x v="411"/>
    <x v="0"/>
    <x v="1"/>
    <x v="0"/>
    <x v="411"/>
    <x v="0"/>
    <x v="241"/>
    <x v="0"/>
    <x v="3"/>
  </r>
  <r>
    <x v="414"/>
    <x v="1"/>
    <x v="2"/>
    <x v="1"/>
    <x v="1"/>
    <x v="2"/>
    <x v="0"/>
    <x v="0"/>
    <x v="0"/>
    <x v="0"/>
    <x v="0"/>
    <x v="0"/>
    <x v="0"/>
    <x v="14"/>
    <x v="415"/>
    <x v="6"/>
    <x v="8"/>
    <x v="0"/>
    <x v="415"/>
    <x v="415"/>
    <x v="173"/>
    <x v="186"/>
    <x v="210"/>
    <x v="1"/>
    <x v="363"/>
    <x v="0"/>
    <x v="237"/>
    <x v="1"/>
    <x v="404"/>
    <x v="409"/>
    <x v="384"/>
    <x v="407"/>
    <x v="412"/>
    <x v="210"/>
    <x v="412"/>
    <x v="0"/>
    <x v="1"/>
    <x v="0"/>
    <x v="412"/>
    <x v="1"/>
    <x v="242"/>
    <x v="0"/>
    <x v="3"/>
  </r>
  <r>
    <x v="415"/>
    <x v="1"/>
    <x v="2"/>
    <x v="1"/>
    <x v="1"/>
    <x v="2"/>
    <x v="0"/>
    <x v="0"/>
    <x v="0"/>
    <x v="0"/>
    <x v="0"/>
    <x v="0"/>
    <x v="0"/>
    <x v="20"/>
    <x v="416"/>
    <x v="5"/>
    <x v="7"/>
    <x v="0"/>
    <x v="416"/>
    <x v="416"/>
    <x v="194"/>
    <x v="126"/>
    <x v="211"/>
    <x v="301"/>
    <x v="364"/>
    <x v="0"/>
    <x v="85"/>
    <x v="347"/>
    <x v="405"/>
    <x v="410"/>
    <x v="385"/>
    <x v="408"/>
    <x v="413"/>
    <x v="211"/>
    <x v="413"/>
    <x v="0"/>
    <x v="1"/>
    <x v="0"/>
    <x v="413"/>
    <x v="0"/>
    <x v="243"/>
    <x v="0"/>
    <x v="3"/>
  </r>
  <r>
    <x v="416"/>
    <x v="1"/>
    <x v="2"/>
    <x v="1"/>
    <x v="1"/>
    <x v="2"/>
    <x v="0"/>
    <x v="0"/>
    <x v="0"/>
    <x v="0"/>
    <x v="0"/>
    <x v="0"/>
    <x v="0"/>
    <x v="9"/>
    <x v="417"/>
    <x v="1"/>
    <x v="10"/>
    <x v="0"/>
    <x v="417"/>
    <x v="417"/>
    <x v="162"/>
    <x v="152"/>
    <x v="212"/>
    <x v="302"/>
    <x v="365"/>
    <x v="0"/>
    <x v="238"/>
    <x v="348"/>
    <x v="406"/>
    <x v="411"/>
    <x v="386"/>
    <x v="409"/>
    <x v="414"/>
    <x v="212"/>
    <x v="414"/>
    <x v="0"/>
    <x v="1"/>
    <x v="0"/>
    <x v="414"/>
    <x v="0"/>
    <x v="244"/>
    <x v="0"/>
    <x v="3"/>
  </r>
  <r>
    <x v="417"/>
    <x v="1"/>
    <x v="2"/>
    <x v="1"/>
    <x v="1"/>
    <x v="2"/>
    <x v="0"/>
    <x v="0"/>
    <x v="0"/>
    <x v="0"/>
    <x v="0"/>
    <x v="0"/>
    <x v="0"/>
    <x v="1"/>
    <x v="418"/>
    <x v="1"/>
    <x v="13"/>
    <x v="0"/>
    <x v="418"/>
    <x v="418"/>
    <x v="0"/>
    <x v="0"/>
    <x v="0"/>
    <x v="1"/>
    <x v="258"/>
    <x v="0"/>
    <x v="0"/>
    <x v="1"/>
    <x v="407"/>
    <x v="412"/>
    <x v="1"/>
    <x v="410"/>
    <x v="415"/>
    <x v="0"/>
    <x v="415"/>
    <x v="0"/>
    <x v="1"/>
    <x v="0"/>
    <x v="415"/>
    <x v="1"/>
    <x v="0"/>
    <x v="0"/>
    <x v="3"/>
  </r>
  <r>
    <x v="418"/>
    <x v="2"/>
    <x v="2"/>
    <x v="0"/>
    <x v="1"/>
    <x v="2"/>
    <x v="1"/>
    <x v="0"/>
    <x v="0"/>
    <x v="0"/>
    <x v="0"/>
    <x v="0"/>
    <x v="0"/>
    <x v="2"/>
    <x v="419"/>
    <x v="2"/>
    <x v="2"/>
    <x v="0"/>
    <x v="419"/>
    <x v="419"/>
    <x v="0"/>
    <x v="0"/>
    <x v="0"/>
    <x v="303"/>
    <x v="291"/>
    <x v="0"/>
    <x v="0"/>
    <x v="349"/>
    <x v="317"/>
    <x v="413"/>
    <x v="387"/>
    <x v="319"/>
    <x v="416"/>
    <x v="0"/>
    <x v="416"/>
    <x v="0"/>
    <x v="1"/>
    <x v="0"/>
    <x v="416"/>
    <x v="0"/>
    <x v="0"/>
    <x v="0"/>
    <x v="3"/>
  </r>
  <r>
    <x v="419"/>
    <x v="1"/>
    <x v="2"/>
    <x v="1"/>
    <x v="1"/>
    <x v="2"/>
    <x v="0"/>
    <x v="0"/>
    <x v="0"/>
    <x v="0"/>
    <x v="0"/>
    <x v="0"/>
    <x v="0"/>
    <x v="20"/>
    <x v="420"/>
    <x v="5"/>
    <x v="12"/>
    <x v="0"/>
    <x v="420"/>
    <x v="420"/>
    <x v="131"/>
    <x v="133"/>
    <x v="213"/>
    <x v="282"/>
    <x v="366"/>
    <x v="0"/>
    <x v="239"/>
    <x v="324"/>
    <x v="408"/>
    <x v="414"/>
    <x v="388"/>
    <x v="411"/>
    <x v="417"/>
    <x v="213"/>
    <x v="417"/>
    <x v="0"/>
    <x v="1"/>
    <x v="0"/>
    <x v="417"/>
    <x v="0"/>
    <x v="245"/>
    <x v="0"/>
    <x v="3"/>
  </r>
  <r>
    <x v="420"/>
    <x v="1"/>
    <x v="2"/>
    <x v="1"/>
    <x v="1"/>
    <x v="2"/>
    <x v="0"/>
    <x v="0"/>
    <x v="0"/>
    <x v="0"/>
    <x v="0"/>
    <x v="0"/>
    <x v="0"/>
    <x v="1"/>
    <x v="421"/>
    <x v="1"/>
    <x v="13"/>
    <x v="0"/>
    <x v="421"/>
    <x v="421"/>
    <x v="0"/>
    <x v="0"/>
    <x v="0"/>
    <x v="304"/>
    <x v="319"/>
    <x v="0"/>
    <x v="0"/>
    <x v="350"/>
    <x v="349"/>
    <x v="415"/>
    <x v="389"/>
    <x v="352"/>
    <x v="418"/>
    <x v="0"/>
    <x v="418"/>
    <x v="0"/>
    <x v="1"/>
    <x v="0"/>
    <x v="418"/>
    <x v="0"/>
    <x v="0"/>
    <x v="0"/>
    <x v="3"/>
  </r>
  <r>
    <x v="421"/>
    <x v="1"/>
    <x v="2"/>
    <x v="1"/>
    <x v="1"/>
    <x v="2"/>
    <x v="0"/>
    <x v="0"/>
    <x v="0"/>
    <x v="0"/>
    <x v="0"/>
    <x v="0"/>
    <x v="0"/>
    <x v="4"/>
    <x v="422"/>
    <x v="10"/>
    <x v="39"/>
    <x v="0"/>
    <x v="422"/>
    <x v="422"/>
    <x v="0"/>
    <x v="0"/>
    <x v="0"/>
    <x v="1"/>
    <x v="367"/>
    <x v="0"/>
    <x v="0"/>
    <x v="1"/>
    <x v="409"/>
    <x v="416"/>
    <x v="1"/>
    <x v="412"/>
    <x v="419"/>
    <x v="0"/>
    <x v="419"/>
    <x v="0"/>
    <x v="1"/>
    <x v="0"/>
    <x v="419"/>
    <x v="1"/>
    <x v="0"/>
    <x v="0"/>
    <x v="3"/>
  </r>
  <r>
    <x v="422"/>
    <x v="1"/>
    <x v="2"/>
    <x v="1"/>
    <x v="1"/>
    <x v="2"/>
    <x v="0"/>
    <x v="0"/>
    <x v="0"/>
    <x v="0"/>
    <x v="0"/>
    <x v="0"/>
    <x v="0"/>
    <x v="1"/>
    <x v="423"/>
    <x v="1"/>
    <x v="1"/>
    <x v="1"/>
    <x v="423"/>
    <x v="423"/>
    <x v="0"/>
    <x v="0"/>
    <x v="0"/>
    <x v="1"/>
    <x v="71"/>
    <x v="156"/>
    <x v="79"/>
    <x v="351"/>
    <x v="410"/>
    <x v="417"/>
    <x v="345"/>
    <x v="413"/>
    <x v="420"/>
    <x v="0"/>
    <x v="420"/>
    <x v="0"/>
    <x v="1"/>
    <x v="0"/>
    <x v="420"/>
    <x v="0"/>
    <x v="0"/>
    <x v="0"/>
    <x v="3"/>
  </r>
  <r>
    <x v="423"/>
    <x v="2"/>
    <x v="2"/>
    <x v="1"/>
    <x v="1"/>
    <x v="2"/>
    <x v="1"/>
    <x v="0"/>
    <x v="0"/>
    <x v="0"/>
    <x v="0"/>
    <x v="0"/>
    <x v="0"/>
    <x v="23"/>
    <x v="424"/>
    <x v="12"/>
    <x v="32"/>
    <x v="1"/>
    <x v="424"/>
    <x v="424"/>
    <x v="0"/>
    <x v="0"/>
    <x v="0"/>
    <x v="305"/>
    <x v="368"/>
    <x v="0"/>
    <x v="0"/>
    <x v="352"/>
    <x v="411"/>
    <x v="417"/>
    <x v="390"/>
    <x v="414"/>
    <x v="420"/>
    <x v="0"/>
    <x v="420"/>
    <x v="0"/>
    <x v="1"/>
    <x v="0"/>
    <x v="420"/>
    <x v="0"/>
    <x v="0"/>
    <x v="0"/>
    <x v="3"/>
  </r>
  <r>
    <x v="424"/>
    <x v="1"/>
    <x v="0"/>
    <x v="1"/>
    <x v="1"/>
    <x v="75"/>
    <x v="0"/>
    <x v="0"/>
    <x v="0"/>
    <x v="0"/>
    <x v="0"/>
    <x v="0"/>
    <x v="0"/>
    <x v="14"/>
    <x v="425"/>
    <x v="6"/>
    <x v="8"/>
    <x v="0"/>
    <x v="425"/>
    <x v="425"/>
    <x v="0"/>
    <x v="0"/>
    <x v="0"/>
    <x v="306"/>
    <x v="369"/>
    <x v="0"/>
    <x v="0"/>
    <x v="353"/>
    <x v="412"/>
    <x v="418"/>
    <x v="391"/>
    <x v="415"/>
    <x v="421"/>
    <x v="0"/>
    <x v="421"/>
    <x v="0"/>
    <x v="1"/>
    <x v="0"/>
    <x v="421"/>
    <x v="0"/>
    <x v="0"/>
    <x v="0"/>
    <x v="3"/>
  </r>
  <r>
    <x v="425"/>
    <x v="1"/>
    <x v="2"/>
    <x v="1"/>
    <x v="1"/>
    <x v="2"/>
    <x v="0"/>
    <x v="0"/>
    <x v="0"/>
    <x v="0"/>
    <x v="0"/>
    <x v="0"/>
    <x v="0"/>
    <x v="6"/>
    <x v="426"/>
    <x v="5"/>
    <x v="7"/>
    <x v="0"/>
    <x v="426"/>
    <x v="426"/>
    <x v="0"/>
    <x v="0"/>
    <x v="0"/>
    <x v="1"/>
    <x v="370"/>
    <x v="0"/>
    <x v="0"/>
    <x v="1"/>
    <x v="413"/>
    <x v="419"/>
    <x v="1"/>
    <x v="416"/>
    <x v="422"/>
    <x v="0"/>
    <x v="422"/>
    <x v="0"/>
    <x v="1"/>
    <x v="0"/>
    <x v="422"/>
    <x v="1"/>
    <x v="0"/>
    <x v="0"/>
    <x v="3"/>
  </r>
  <r>
    <x v="426"/>
    <x v="0"/>
    <x v="0"/>
    <x v="0"/>
    <x v="1"/>
    <x v="76"/>
    <x v="1"/>
    <x v="0"/>
    <x v="0"/>
    <x v="0"/>
    <x v="0"/>
    <x v="0"/>
    <x v="0"/>
    <x v="22"/>
    <x v="427"/>
    <x v="7"/>
    <x v="27"/>
    <x v="0"/>
    <x v="427"/>
    <x v="427"/>
    <x v="153"/>
    <x v="100"/>
    <x v="208"/>
    <x v="1"/>
    <x v="71"/>
    <x v="157"/>
    <x v="240"/>
    <x v="354"/>
    <x v="414"/>
    <x v="420"/>
    <x v="392"/>
    <x v="400"/>
    <x v="423"/>
    <x v="208"/>
    <x v="423"/>
    <x v="0"/>
    <x v="1"/>
    <x v="0"/>
    <x v="423"/>
    <x v="0"/>
    <x v="246"/>
    <x v="0"/>
    <x v="3"/>
  </r>
  <r>
    <x v="427"/>
    <x v="0"/>
    <x v="1"/>
    <x v="0"/>
    <x v="1"/>
    <x v="77"/>
    <x v="1"/>
    <x v="0"/>
    <x v="0"/>
    <x v="0"/>
    <x v="0"/>
    <x v="0"/>
    <x v="0"/>
    <x v="12"/>
    <x v="428"/>
    <x v="7"/>
    <x v="51"/>
    <x v="2"/>
    <x v="428"/>
    <x v="428"/>
    <x v="122"/>
    <x v="120"/>
    <x v="169"/>
    <x v="307"/>
    <x v="371"/>
    <x v="158"/>
    <x v="241"/>
    <x v="355"/>
    <x v="415"/>
    <x v="421"/>
    <x v="393"/>
    <x v="417"/>
    <x v="424"/>
    <x v="169"/>
    <x v="424"/>
    <x v="0"/>
    <x v="1"/>
    <x v="0"/>
    <x v="424"/>
    <x v="0"/>
    <x v="247"/>
    <x v="0"/>
    <x v="3"/>
  </r>
  <r>
    <x v="428"/>
    <x v="0"/>
    <x v="2"/>
    <x v="0"/>
    <x v="1"/>
    <x v="2"/>
    <x v="2"/>
    <x v="0"/>
    <x v="0"/>
    <x v="0"/>
    <x v="0"/>
    <x v="0"/>
    <x v="0"/>
    <x v="17"/>
    <x v="429"/>
    <x v="9"/>
    <x v="22"/>
    <x v="0"/>
    <x v="429"/>
    <x v="429"/>
    <x v="195"/>
    <x v="187"/>
    <x v="214"/>
    <x v="308"/>
    <x v="372"/>
    <x v="159"/>
    <x v="242"/>
    <x v="356"/>
    <x v="416"/>
    <x v="422"/>
    <x v="394"/>
    <x v="418"/>
    <x v="425"/>
    <x v="214"/>
    <x v="425"/>
    <x v="0"/>
    <x v="1"/>
    <x v="0"/>
    <x v="425"/>
    <x v="0"/>
    <x v="248"/>
    <x v="0"/>
    <x v="3"/>
  </r>
  <r>
    <x v="429"/>
    <x v="0"/>
    <x v="2"/>
    <x v="2"/>
    <x v="28"/>
    <x v="2"/>
    <x v="0"/>
    <x v="0"/>
    <x v="0"/>
    <x v="0"/>
    <x v="0"/>
    <x v="0"/>
    <x v="0"/>
    <x v="21"/>
    <x v="430"/>
    <x v="11"/>
    <x v="30"/>
    <x v="0"/>
    <x v="430"/>
    <x v="430"/>
    <x v="81"/>
    <x v="188"/>
    <x v="215"/>
    <x v="1"/>
    <x v="71"/>
    <x v="160"/>
    <x v="243"/>
    <x v="357"/>
    <x v="417"/>
    <x v="423"/>
    <x v="395"/>
    <x v="419"/>
    <x v="426"/>
    <x v="215"/>
    <x v="426"/>
    <x v="0"/>
    <x v="1"/>
    <x v="0"/>
    <x v="426"/>
    <x v="0"/>
    <x v="249"/>
    <x v="0"/>
    <x v="3"/>
  </r>
  <r>
    <x v="430"/>
    <x v="1"/>
    <x v="2"/>
    <x v="1"/>
    <x v="1"/>
    <x v="2"/>
    <x v="0"/>
    <x v="0"/>
    <x v="0"/>
    <x v="0"/>
    <x v="0"/>
    <x v="0"/>
    <x v="0"/>
    <x v="1"/>
    <x v="431"/>
    <x v="1"/>
    <x v="13"/>
    <x v="0"/>
    <x v="431"/>
    <x v="431"/>
    <x v="196"/>
    <x v="53"/>
    <x v="216"/>
    <x v="1"/>
    <x v="373"/>
    <x v="0"/>
    <x v="244"/>
    <x v="1"/>
    <x v="418"/>
    <x v="424"/>
    <x v="396"/>
    <x v="420"/>
    <x v="427"/>
    <x v="216"/>
    <x v="427"/>
    <x v="0"/>
    <x v="1"/>
    <x v="0"/>
    <x v="427"/>
    <x v="0"/>
    <x v="250"/>
    <x v="0"/>
    <x v="3"/>
  </r>
  <r>
    <x v="431"/>
    <x v="0"/>
    <x v="2"/>
    <x v="0"/>
    <x v="1"/>
    <x v="2"/>
    <x v="2"/>
    <x v="0"/>
    <x v="0"/>
    <x v="0"/>
    <x v="0"/>
    <x v="0"/>
    <x v="0"/>
    <x v="44"/>
    <x v="432"/>
    <x v="0"/>
    <x v="64"/>
    <x v="0"/>
    <x v="432"/>
    <x v="432"/>
    <x v="142"/>
    <x v="189"/>
    <x v="217"/>
    <x v="309"/>
    <x v="374"/>
    <x v="151"/>
    <x v="245"/>
    <x v="358"/>
    <x v="419"/>
    <x v="425"/>
    <x v="397"/>
    <x v="421"/>
    <x v="428"/>
    <x v="217"/>
    <x v="428"/>
    <x v="0"/>
    <x v="1"/>
    <x v="0"/>
    <x v="428"/>
    <x v="0"/>
    <x v="251"/>
    <x v="0"/>
    <x v="3"/>
  </r>
  <r>
    <x v="432"/>
    <x v="1"/>
    <x v="2"/>
    <x v="1"/>
    <x v="1"/>
    <x v="2"/>
    <x v="0"/>
    <x v="0"/>
    <x v="0"/>
    <x v="0"/>
    <x v="0"/>
    <x v="0"/>
    <x v="0"/>
    <x v="6"/>
    <x v="433"/>
    <x v="5"/>
    <x v="7"/>
    <x v="0"/>
    <x v="433"/>
    <x v="433"/>
    <x v="0"/>
    <x v="0"/>
    <x v="0"/>
    <x v="301"/>
    <x v="375"/>
    <x v="0"/>
    <x v="0"/>
    <x v="347"/>
    <x v="420"/>
    <x v="426"/>
    <x v="398"/>
    <x v="422"/>
    <x v="429"/>
    <x v="0"/>
    <x v="429"/>
    <x v="0"/>
    <x v="1"/>
    <x v="0"/>
    <x v="429"/>
    <x v="0"/>
    <x v="0"/>
    <x v="0"/>
    <x v="3"/>
  </r>
  <r>
    <x v="433"/>
    <x v="0"/>
    <x v="2"/>
    <x v="0"/>
    <x v="1"/>
    <x v="2"/>
    <x v="2"/>
    <x v="0"/>
    <x v="0"/>
    <x v="0"/>
    <x v="0"/>
    <x v="0"/>
    <x v="0"/>
    <x v="33"/>
    <x v="434"/>
    <x v="7"/>
    <x v="38"/>
    <x v="0"/>
    <x v="434"/>
    <x v="434"/>
    <x v="197"/>
    <x v="190"/>
    <x v="218"/>
    <x v="310"/>
    <x v="376"/>
    <x v="161"/>
    <x v="246"/>
    <x v="359"/>
    <x v="421"/>
    <x v="427"/>
    <x v="399"/>
    <x v="423"/>
    <x v="430"/>
    <x v="218"/>
    <x v="430"/>
    <x v="0"/>
    <x v="1"/>
    <x v="0"/>
    <x v="430"/>
    <x v="0"/>
    <x v="252"/>
    <x v="0"/>
    <x v="3"/>
  </r>
  <r>
    <x v="434"/>
    <x v="0"/>
    <x v="2"/>
    <x v="0"/>
    <x v="1"/>
    <x v="2"/>
    <x v="1"/>
    <x v="0"/>
    <x v="0"/>
    <x v="0"/>
    <x v="0"/>
    <x v="0"/>
    <x v="0"/>
    <x v="33"/>
    <x v="435"/>
    <x v="9"/>
    <x v="20"/>
    <x v="0"/>
    <x v="435"/>
    <x v="435"/>
    <x v="114"/>
    <x v="191"/>
    <x v="192"/>
    <x v="311"/>
    <x v="377"/>
    <x v="0"/>
    <x v="247"/>
    <x v="360"/>
    <x v="422"/>
    <x v="428"/>
    <x v="400"/>
    <x v="424"/>
    <x v="431"/>
    <x v="192"/>
    <x v="431"/>
    <x v="0"/>
    <x v="1"/>
    <x v="0"/>
    <x v="431"/>
    <x v="0"/>
    <x v="253"/>
    <x v="0"/>
    <x v="3"/>
  </r>
  <r>
    <x v="435"/>
    <x v="0"/>
    <x v="2"/>
    <x v="0"/>
    <x v="1"/>
    <x v="78"/>
    <x v="0"/>
    <x v="2"/>
    <x v="0"/>
    <x v="0"/>
    <x v="0"/>
    <x v="0"/>
    <x v="0"/>
    <x v="45"/>
    <x v="436"/>
    <x v="0"/>
    <x v="0"/>
    <x v="0"/>
    <x v="436"/>
    <x v="436"/>
    <x v="0"/>
    <x v="0"/>
    <x v="0"/>
    <x v="1"/>
    <x v="378"/>
    <x v="0"/>
    <x v="0"/>
    <x v="1"/>
    <x v="423"/>
    <x v="429"/>
    <x v="1"/>
    <x v="425"/>
    <x v="432"/>
    <x v="0"/>
    <x v="432"/>
    <x v="0"/>
    <x v="1"/>
    <x v="0"/>
    <x v="432"/>
    <x v="1"/>
    <x v="0"/>
    <x v="0"/>
    <x v="3"/>
  </r>
  <r>
    <x v="436"/>
    <x v="0"/>
    <x v="2"/>
    <x v="0"/>
    <x v="1"/>
    <x v="2"/>
    <x v="1"/>
    <x v="0"/>
    <x v="0"/>
    <x v="0"/>
    <x v="0"/>
    <x v="0"/>
    <x v="0"/>
    <x v="0"/>
    <x v="437"/>
    <x v="3"/>
    <x v="3"/>
    <x v="1"/>
    <x v="437"/>
    <x v="437"/>
    <x v="125"/>
    <x v="183"/>
    <x v="215"/>
    <x v="312"/>
    <x v="379"/>
    <x v="162"/>
    <x v="183"/>
    <x v="361"/>
    <x v="424"/>
    <x v="430"/>
    <x v="401"/>
    <x v="426"/>
    <x v="433"/>
    <x v="215"/>
    <x v="433"/>
    <x v="0"/>
    <x v="1"/>
    <x v="0"/>
    <x v="433"/>
    <x v="0"/>
    <x v="254"/>
    <x v="0"/>
    <x v="3"/>
  </r>
  <r>
    <x v="437"/>
    <x v="1"/>
    <x v="2"/>
    <x v="1"/>
    <x v="1"/>
    <x v="2"/>
    <x v="0"/>
    <x v="0"/>
    <x v="0"/>
    <x v="0"/>
    <x v="0"/>
    <x v="0"/>
    <x v="0"/>
    <x v="14"/>
    <x v="438"/>
    <x v="6"/>
    <x v="8"/>
    <x v="0"/>
    <x v="438"/>
    <x v="438"/>
    <x v="163"/>
    <x v="192"/>
    <x v="219"/>
    <x v="313"/>
    <x v="336"/>
    <x v="0"/>
    <x v="248"/>
    <x v="362"/>
    <x v="421"/>
    <x v="431"/>
    <x v="402"/>
    <x v="427"/>
    <x v="434"/>
    <x v="219"/>
    <x v="434"/>
    <x v="0"/>
    <x v="1"/>
    <x v="0"/>
    <x v="434"/>
    <x v="0"/>
    <x v="255"/>
    <x v="0"/>
    <x v="3"/>
  </r>
  <r>
    <x v="438"/>
    <x v="1"/>
    <x v="2"/>
    <x v="1"/>
    <x v="1"/>
    <x v="2"/>
    <x v="0"/>
    <x v="0"/>
    <x v="0"/>
    <x v="0"/>
    <x v="0"/>
    <x v="0"/>
    <x v="0"/>
    <x v="6"/>
    <x v="439"/>
    <x v="5"/>
    <x v="31"/>
    <x v="0"/>
    <x v="439"/>
    <x v="439"/>
    <x v="97"/>
    <x v="138"/>
    <x v="150"/>
    <x v="314"/>
    <x v="380"/>
    <x v="0"/>
    <x v="249"/>
    <x v="363"/>
    <x v="425"/>
    <x v="432"/>
    <x v="403"/>
    <x v="428"/>
    <x v="435"/>
    <x v="150"/>
    <x v="435"/>
    <x v="0"/>
    <x v="1"/>
    <x v="0"/>
    <x v="435"/>
    <x v="0"/>
    <x v="256"/>
    <x v="0"/>
    <x v="3"/>
  </r>
  <r>
    <x v="439"/>
    <x v="0"/>
    <x v="2"/>
    <x v="0"/>
    <x v="1"/>
    <x v="2"/>
    <x v="0"/>
    <x v="0"/>
    <x v="0"/>
    <x v="0"/>
    <x v="0"/>
    <x v="0"/>
    <x v="0"/>
    <x v="32"/>
    <x v="440"/>
    <x v="7"/>
    <x v="27"/>
    <x v="0"/>
    <x v="440"/>
    <x v="440"/>
    <x v="171"/>
    <x v="193"/>
    <x v="220"/>
    <x v="1"/>
    <x v="381"/>
    <x v="163"/>
    <x v="250"/>
    <x v="364"/>
    <x v="426"/>
    <x v="433"/>
    <x v="404"/>
    <x v="429"/>
    <x v="436"/>
    <x v="220"/>
    <x v="436"/>
    <x v="0"/>
    <x v="1"/>
    <x v="0"/>
    <x v="436"/>
    <x v="0"/>
    <x v="257"/>
    <x v="0"/>
    <x v="3"/>
  </r>
  <r>
    <x v="440"/>
    <x v="0"/>
    <x v="1"/>
    <x v="0"/>
    <x v="1"/>
    <x v="79"/>
    <x v="2"/>
    <x v="0"/>
    <x v="0"/>
    <x v="0"/>
    <x v="0"/>
    <x v="0"/>
    <x v="0"/>
    <x v="31"/>
    <x v="441"/>
    <x v="0"/>
    <x v="40"/>
    <x v="0"/>
    <x v="441"/>
    <x v="441"/>
    <x v="198"/>
    <x v="141"/>
    <x v="221"/>
    <x v="1"/>
    <x v="382"/>
    <x v="0"/>
    <x v="251"/>
    <x v="1"/>
    <x v="427"/>
    <x v="434"/>
    <x v="405"/>
    <x v="430"/>
    <x v="437"/>
    <x v="221"/>
    <x v="437"/>
    <x v="0"/>
    <x v="1"/>
    <x v="0"/>
    <x v="437"/>
    <x v="1"/>
    <x v="258"/>
    <x v="0"/>
    <x v="3"/>
  </r>
  <r>
    <x v="441"/>
    <x v="0"/>
    <x v="2"/>
    <x v="3"/>
    <x v="35"/>
    <x v="2"/>
    <x v="2"/>
    <x v="0"/>
    <x v="0"/>
    <x v="0"/>
    <x v="0"/>
    <x v="0"/>
    <x v="0"/>
    <x v="10"/>
    <x v="442"/>
    <x v="7"/>
    <x v="11"/>
    <x v="0"/>
    <x v="442"/>
    <x v="442"/>
    <x v="199"/>
    <x v="194"/>
    <x v="222"/>
    <x v="315"/>
    <x v="355"/>
    <x v="164"/>
    <x v="252"/>
    <x v="365"/>
    <x v="428"/>
    <x v="435"/>
    <x v="406"/>
    <x v="423"/>
    <x v="438"/>
    <x v="222"/>
    <x v="438"/>
    <x v="0"/>
    <x v="1"/>
    <x v="0"/>
    <x v="438"/>
    <x v="0"/>
    <x v="259"/>
    <x v="0"/>
    <x v="3"/>
  </r>
  <r>
    <x v="442"/>
    <x v="1"/>
    <x v="2"/>
    <x v="1"/>
    <x v="1"/>
    <x v="2"/>
    <x v="0"/>
    <x v="0"/>
    <x v="0"/>
    <x v="0"/>
    <x v="0"/>
    <x v="0"/>
    <x v="0"/>
    <x v="6"/>
    <x v="443"/>
    <x v="5"/>
    <x v="19"/>
    <x v="0"/>
    <x v="443"/>
    <x v="443"/>
    <x v="0"/>
    <x v="152"/>
    <x v="150"/>
    <x v="316"/>
    <x v="383"/>
    <x v="0"/>
    <x v="253"/>
    <x v="366"/>
    <x v="429"/>
    <x v="436"/>
    <x v="138"/>
    <x v="431"/>
    <x v="439"/>
    <x v="150"/>
    <x v="439"/>
    <x v="0"/>
    <x v="1"/>
    <x v="0"/>
    <x v="439"/>
    <x v="0"/>
    <x v="260"/>
    <x v="0"/>
    <x v="3"/>
  </r>
  <r>
    <x v="443"/>
    <x v="1"/>
    <x v="2"/>
    <x v="1"/>
    <x v="1"/>
    <x v="2"/>
    <x v="0"/>
    <x v="0"/>
    <x v="0"/>
    <x v="0"/>
    <x v="0"/>
    <x v="0"/>
    <x v="0"/>
    <x v="6"/>
    <x v="444"/>
    <x v="5"/>
    <x v="12"/>
    <x v="0"/>
    <x v="444"/>
    <x v="444"/>
    <x v="0"/>
    <x v="0"/>
    <x v="0"/>
    <x v="282"/>
    <x v="384"/>
    <x v="0"/>
    <x v="0"/>
    <x v="324"/>
    <x v="430"/>
    <x v="437"/>
    <x v="357"/>
    <x v="432"/>
    <x v="440"/>
    <x v="0"/>
    <x v="440"/>
    <x v="0"/>
    <x v="1"/>
    <x v="0"/>
    <x v="440"/>
    <x v="0"/>
    <x v="0"/>
    <x v="0"/>
    <x v="3"/>
  </r>
  <r>
    <x v="444"/>
    <x v="0"/>
    <x v="2"/>
    <x v="0"/>
    <x v="1"/>
    <x v="2"/>
    <x v="1"/>
    <x v="0"/>
    <x v="0"/>
    <x v="0"/>
    <x v="0"/>
    <x v="0"/>
    <x v="0"/>
    <x v="10"/>
    <x v="445"/>
    <x v="2"/>
    <x v="2"/>
    <x v="0"/>
    <x v="445"/>
    <x v="445"/>
    <x v="114"/>
    <x v="138"/>
    <x v="154"/>
    <x v="317"/>
    <x v="385"/>
    <x v="165"/>
    <x v="254"/>
    <x v="367"/>
    <x v="431"/>
    <x v="438"/>
    <x v="407"/>
    <x v="433"/>
    <x v="441"/>
    <x v="154"/>
    <x v="441"/>
    <x v="0"/>
    <x v="1"/>
    <x v="0"/>
    <x v="441"/>
    <x v="0"/>
    <x v="261"/>
    <x v="0"/>
    <x v="3"/>
  </r>
  <r>
    <x v="445"/>
    <x v="0"/>
    <x v="2"/>
    <x v="0"/>
    <x v="36"/>
    <x v="2"/>
    <x v="1"/>
    <x v="0"/>
    <x v="0"/>
    <x v="0"/>
    <x v="0"/>
    <x v="0"/>
    <x v="0"/>
    <x v="32"/>
    <x v="446"/>
    <x v="7"/>
    <x v="27"/>
    <x v="0"/>
    <x v="446"/>
    <x v="446"/>
    <x v="200"/>
    <x v="194"/>
    <x v="223"/>
    <x v="1"/>
    <x v="71"/>
    <x v="0"/>
    <x v="255"/>
    <x v="1"/>
    <x v="432"/>
    <x v="439"/>
    <x v="408"/>
    <x v="434"/>
    <x v="442"/>
    <x v="223"/>
    <x v="442"/>
    <x v="0"/>
    <x v="1"/>
    <x v="0"/>
    <x v="442"/>
    <x v="0"/>
    <x v="262"/>
    <x v="0"/>
    <x v="3"/>
  </r>
  <r>
    <x v="446"/>
    <x v="1"/>
    <x v="0"/>
    <x v="1"/>
    <x v="1"/>
    <x v="80"/>
    <x v="0"/>
    <x v="0"/>
    <x v="0"/>
    <x v="0"/>
    <x v="0"/>
    <x v="0"/>
    <x v="0"/>
    <x v="6"/>
    <x v="447"/>
    <x v="5"/>
    <x v="31"/>
    <x v="0"/>
    <x v="447"/>
    <x v="447"/>
    <x v="97"/>
    <x v="138"/>
    <x v="150"/>
    <x v="318"/>
    <x v="386"/>
    <x v="0"/>
    <x v="238"/>
    <x v="368"/>
    <x v="433"/>
    <x v="440"/>
    <x v="409"/>
    <x v="435"/>
    <x v="443"/>
    <x v="150"/>
    <x v="443"/>
    <x v="0"/>
    <x v="1"/>
    <x v="0"/>
    <x v="443"/>
    <x v="0"/>
    <x v="263"/>
    <x v="0"/>
    <x v="3"/>
  </r>
  <r>
    <x v="447"/>
    <x v="0"/>
    <x v="2"/>
    <x v="0"/>
    <x v="1"/>
    <x v="2"/>
    <x v="2"/>
    <x v="0"/>
    <x v="0"/>
    <x v="0"/>
    <x v="0"/>
    <x v="0"/>
    <x v="0"/>
    <x v="8"/>
    <x v="448"/>
    <x v="7"/>
    <x v="9"/>
    <x v="0"/>
    <x v="448"/>
    <x v="448"/>
    <x v="201"/>
    <x v="195"/>
    <x v="224"/>
    <x v="1"/>
    <x v="71"/>
    <x v="166"/>
    <x v="256"/>
    <x v="369"/>
    <x v="434"/>
    <x v="441"/>
    <x v="410"/>
    <x v="436"/>
    <x v="444"/>
    <x v="224"/>
    <x v="444"/>
    <x v="0"/>
    <x v="1"/>
    <x v="0"/>
    <x v="444"/>
    <x v="0"/>
    <x v="129"/>
    <x v="0"/>
    <x v="3"/>
  </r>
  <r>
    <x v="448"/>
    <x v="0"/>
    <x v="2"/>
    <x v="0"/>
    <x v="1"/>
    <x v="81"/>
    <x v="1"/>
    <x v="2"/>
    <x v="0"/>
    <x v="0"/>
    <x v="0"/>
    <x v="0"/>
    <x v="0"/>
    <x v="24"/>
    <x v="449"/>
    <x v="12"/>
    <x v="32"/>
    <x v="0"/>
    <x v="449"/>
    <x v="449"/>
    <x v="114"/>
    <x v="0"/>
    <x v="164"/>
    <x v="1"/>
    <x v="387"/>
    <x v="167"/>
    <x v="111"/>
    <x v="370"/>
    <x v="330"/>
    <x v="442"/>
    <x v="362"/>
    <x v="332"/>
    <x v="445"/>
    <x v="164"/>
    <x v="445"/>
    <x v="0"/>
    <x v="1"/>
    <x v="0"/>
    <x v="445"/>
    <x v="1"/>
    <x v="264"/>
    <x v="0"/>
    <x v="3"/>
  </r>
  <r>
    <x v="449"/>
    <x v="0"/>
    <x v="1"/>
    <x v="0"/>
    <x v="1"/>
    <x v="17"/>
    <x v="1"/>
    <x v="0"/>
    <x v="0"/>
    <x v="0"/>
    <x v="0"/>
    <x v="0"/>
    <x v="0"/>
    <x v="12"/>
    <x v="450"/>
    <x v="7"/>
    <x v="51"/>
    <x v="2"/>
    <x v="450"/>
    <x v="450"/>
    <x v="131"/>
    <x v="100"/>
    <x v="186"/>
    <x v="319"/>
    <x v="388"/>
    <x v="168"/>
    <x v="257"/>
    <x v="362"/>
    <x v="435"/>
    <x v="443"/>
    <x v="411"/>
    <x v="437"/>
    <x v="446"/>
    <x v="186"/>
    <x v="446"/>
    <x v="0"/>
    <x v="1"/>
    <x v="0"/>
    <x v="446"/>
    <x v="0"/>
    <x v="265"/>
    <x v="0"/>
    <x v="3"/>
  </r>
  <r>
    <x v="450"/>
    <x v="0"/>
    <x v="2"/>
    <x v="0"/>
    <x v="1"/>
    <x v="2"/>
    <x v="1"/>
    <x v="0"/>
    <x v="0"/>
    <x v="0"/>
    <x v="0"/>
    <x v="0"/>
    <x v="0"/>
    <x v="22"/>
    <x v="451"/>
    <x v="9"/>
    <x v="22"/>
    <x v="0"/>
    <x v="451"/>
    <x v="451"/>
    <x v="0"/>
    <x v="0"/>
    <x v="0"/>
    <x v="320"/>
    <x v="361"/>
    <x v="0"/>
    <x v="0"/>
    <x v="371"/>
    <x v="402"/>
    <x v="443"/>
    <x v="412"/>
    <x v="405"/>
    <x v="447"/>
    <x v="0"/>
    <x v="447"/>
    <x v="0"/>
    <x v="1"/>
    <x v="0"/>
    <x v="447"/>
    <x v="0"/>
    <x v="0"/>
    <x v="0"/>
    <x v="3"/>
  </r>
  <r>
    <x v="451"/>
    <x v="2"/>
    <x v="2"/>
    <x v="1"/>
    <x v="1"/>
    <x v="63"/>
    <x v="1"/>
    <x v="0"/>
    <x v="0"/>
    <x v="0"/>
    <x v="0"/>
    <x v="0"/>
    <x v="0"/>
    <x v="12"/>
    <x v="452"/>
    <x v="2"/>
    <x v="2"/>
    <x v="0"/>
    <x v="452"/>
    <x v="452"/>
    <x v="0"/>
    <x v="0"/>
    <x v="0"/>
    <x v="321"/>
    <x v="389"/>
    <x v="0"/>
    <x v="0"/>
    <x v="372"/>
    <x v="436"/>
    <x v="444"/>
    <x v="413"/>
    <x v="438"/>
    <x v="448"/>
    <x v="0"/>
    <x v="448"/>
    <x v="0"/>
    <x v="1"/>
    <x v="0"/>
    <x v="448"/>
    <x v="0"/>
    <x v="0"/>
    <x v="0"/>
    <x v="3"/>
  </r>
  <r>
    <x v="452"/>
    <x v="0"/>
    <x v="2"/>
    <x v="0"/>
    <x v="1"/>
    <x v="2"/>
    <x v="2"/>
    <x v="0"/>
    <x v="0"/>
    <x v="0"/>
    <x v="0"/>
    <x v="0"/>
    <x v="0"/>
    <x v="10"/>
    <x v="453"/>
    <x v="7"/>
    <x v="11"/>
    <x v="0"/>
    <x v="453"/>
    <x v="453"/>
    <x v="202"/>
    <x v="196"/>
    <x v="47"/>
    <x v="322"/>
    <x v="390"/>
    <x v="169"/>
    <x v="258"/>
    <x v="214"/>
    <x v="437"/>
    <x v="445"/>
    <x v="414"/>
    <x v="439"/>
    <x v="449"/>
    <x v="47"/>
    <x v="449"/>
    <x v="0"/>
    <x v="1"/>
    <x v="0"/>
    <x v="449"/>
    <x v="0"/>
    <x v="266"/>
    <x v="0"/>
    <x v="3"/>
  </r>
  <r>
    <x v="453"/>
    <x v="1"/>
    <x v="2"/>
    <x v="1"/>
    <x v="1"/>
    <x v="2"/>
    <x v="0"/>
    <x v="0"/>
    <x v="0"/>
    <x v="0"/>
    <x v="0"/>
    <x v="0"/>
    <x v="0"/>
    <x v="30"/>
    <x v="454"/>
    <x v="10"/>
    <x v="39"/>
    <x v="0"/>
    <x v="454"/>
    <x v="454"/>
    <x v="203"/>
    <x v="197"/>
    <x v="225"/>
    <x v="323"/>
    <x v="391"/>
    <x v="170"/>
    <x v="259"/>
    <x v="373"/>
    <x v="438"/>
    <x v="446"/>
    <x v="394"/>
    <x v="440"/>
    <x v="450"/>
    <x v="225"/>
    <x v="450"/>
    <x v="0"/>
    <x v="1"/>
    <x v="0"/>
    <x v="450"/>
    <x v="0"/>
    <x v="267"/>
    <x v="0"/>
    <x v="3"/>
  </r>
  <r>
    <x v="454"/>
    <x v="1"/>
    <x v="2"/>
    <x v="1"/>
    <x v="1"/>
    <x v="2"/>
    <x v="0"/>
    <x v="0"/>
    <x v="0"/>
    <x v="0"/>
    <x v="0"/>
    <x v="0"/>
    <x v="0"/>
    <x v="4"/>
    <x v="455"/>
    <x v="10"/>
    <x v="39"/>
    <x v="0"/>
    <x v="455"/>
    <x v="455"/>
    <x v="204"/>
    <x v="198"/>
    <x v="226"/>
    <x v="1"/>
    <x v="392"/>
    <x v="0"/>
    <x v="260"/>
    <x v="1"/>
    <x v="439"/>
    <x v="447"/>
    <x v="415"/>
    <x v="230"/>
    <x v="451"/>
    <x v="226"/>
    <x v="451"/>
    <x v="0"/>
    <x v="1"/>
    <x v="0"/>
    <x v="451"/>
    <x v="0"/>
    <x v="268"/>
    <x v="0"/>
    <x v="3"/>
  </r>
  <r>
    <x v="455"/>
    <x v="1"/>
    <x v="2"/>
    <x v="1"/>
    <x v="1"/>
    <x v="2"/>
    <x v="0"/>
    <x v="0"/>
    <x v="0"/>
    <x v="0"/>
    <x v="0"/>
    <x v="0"/>
    <x v="0"/>
    <x v="14"/>
    <x v="456"/>
    <x v="6"/>
    <x v="29"/>
    <x v="0"/>
    <x v="456"/>
    <x v="456"/>
    <x v="205"/>
    <x v="133"/>
    <x v="173"/>
    <x v="324"/>
    <x v="393"/>
    <x v="171"/>
    <x v="261"/>
    <x v="374"/>
    <x v="440"/>
    <x v="448"/>
    <x v="416"/>
    <x v="441"/>
    <x v="451"/>
    <x v="173"/>
    <x v="451"/>
    <x v="0"/>
    <x v="1"/>
    <x v="0"/>
    <x v="451"/>
    <x v="0"/>
    <x v="269"/>
    <x v="0"/>
    <x v="3"/>
  </r>
  <r>
    <x v="456"/>
    <x v="0"/>
    <x v="1"/>
    <x v="0"/>
    <x v="37"/>
    <x v="82"/>
    <x v="1"/>
    <x v="0"/>
    <x v="0"/>
    <x v="0"/>
    <x v="0"/>
    <x v="0"/>
    <x v="0"/>
    <x v="15"/>
    <x v="457"/>
    <x v="0"/>
    <x v="18"/>
    <x v="1"/>
    <x v="457"/>
    <x v="457"/>
    <x v="0"/>
    <x v="0"/>
    <x v="0"/>
    <x v="325"/>
    <x v="394"/>
    <x v="0"/>
    <x v="0"/>
    <x v="375"/>
    <x v="441"/>
    <x v="449"/>
    <x v="417"/>
    <x v="442"/>
    <x v="452"/>
    <x v="0"/>
    <x v="452"/>
    <x v="0"/>
    <x v="1"/>
    <x v="0"/>
    <x v="452"/>
    <x v="0"/>
    <x v="0"/>
    <x v="0"/>
    <x v="3"/>
  </r>
  <r>
    <x v="457"/>
    <x v="0"/>
    <x v="0"/>
    <x v="2"/>
    <x v="38"/>
    <x v="83"/>
    <x v="0"/>
    <x v="0"/>
    <x v="0"/>
    <x v="0"/>
    <x v="0"/>
    <x v="0"/>
    <x v="0"/>
    <x v="26"/>
    <x v="458"/>
    <x v="0"/>
    <x v="60"/>
    <x v="0"/>
    <x v="458"/>
    <x v="458"/>
    <x v="0"/>
    <x v="0"/>
    <x v="0"/>
    <x v="1"/>
    <x v="395"/>
    <x v="0"/>
    <x v="0"/>
    <x v="1"/>
    <x v="442"/>
    <x v="450"/>
    <x v="1"/>
    <x v="443"/>
    <x v="453"/>
    <x v="0"/>
    <x v="453"/>
    <x v="0"/>
    <x v="1"/>
    <x v="0"/>
    <x v="453"/>
    <x v="1"/>
    <x v="0"/>
    <x v="0"/>
    <x v="3"/>
  </r>
  <r>
    <x v="458"/>
    <x v="0"/>
    <x v="2"/>
    <x v="0"/>
    <x v="1"/>
    <x v="2"/>
    <x v="1"/>
    <x v="0"/>
    <x v="0"/>
    <x v="0"/>
    <x v="0"/>
    <x v="0"/>
    <x v="0"/>
    <x v="42"/>
    <x v="459"/>
    <x v="0"/>
    <x v="60"/>
    <x v="0"/>
    <x v="459"/>
    <x v="459"/>
    <x v="155"/>
    <x v="63"/>
    <x v="212"/>
    <x v="326"/>
    <x v="396"/>
    <x v="0"/>
    <x v="0"/>
    <x v="376"/>
    <x v="437"/>
    <x v="451"/>
    <x v="402"/>
    <x v="444"/>
    <x v="454"/>
    <x v="212"/>
    <x v="454"/>
    <x v="0"/>
    <x v="1"/>
    <x v="0"/>
    <x v="454"/>
    <x v="0"/>
    <x v="270"/>
    <x v="0"/>
    <x v="3"/>
  </r>
  <r>
    <x v="459"/>
    <x v="2"/>
    <x v="2"/>
    <x v="0"/>
    <x v="1"/>
    <x v="84"/>
    <x v="1"/>
    <x v="0"/>
    <x v="0"/>
    <x v="0"/>
    <x v="0"/>
    <x v="0"/>
    <x v="0"/>
    <x v="2"/>
    <x v="460"/>
    <x v="2"/>
    <x v="2"/>
    <x v="0"/>
    <x v="460"/>
    <x v="460"/>
    <x v="0"/>
    <x v="0"/>
    <x v="0"/>
    <x v="327"/>
    <x v="397"/>
    <x v="0"/>
    <x v="0"/>
    <x v="377"/>
    <x v="443"/>
    <x v="452"/>
    <x v="295"/>
    <x v="445"/>
    <x v="454"/>
    <x v="0"/>
    <x v="454"/>
    <x v="0"/>
    <x v="1"/>
    <x v="0"/>
    <x v="454"/>
    <x v="0"/>
    <x v="0"/>
    <x v="0"/>
    <x v="3"/>
  </r>
  <r>
    <x v="460"/>
    <x v="0"/>
    <x v="2"/>
    <x v="0"/>
    <x v="1"/>
    <x v="2"/>
    <x v="1"/>
    <x v="0"/>
    <x v="0"/>
    <x v="0"/>
    <x v="0"/>
    <x v="0"/>
    <x v="0"/>
    <x v="32"/>
    <x v="461"/>
    <x v="7"/>
    <x v="27"/>
    <x v="0"/>
    <x v="461"/>
    <x v="461"/>
    <x v="110"/>
    <x v="42"/>
    <x v="111"/>
    <x v="1"/>
    <x v="398"/>
    <x v="0"/>
    <x v="262"/>
    <x v="1"/>
    <x v="444"/>
    <x v="453"/>
    <x v="418"/>
    <x v="446"/>
    <x v="455"/>
    <x v="111"/>
    <x v="455"/>
    <x v="0"/>
    <x v="1"/>
    <x v="0"/>
    <x v="455"/>
    <x v="1"/>
    <x v="271"/>
    <x v="0"/>
    <x v="3"/>
  </r>
  <r>
    <x v="461"/>
    <x v="0"/>
    <x v="2"/>
    <x v="0"/>
    <x v="1"/>
    <x v="2"/>
    <x v="1"/>
    <x v="0"/>
    <x v="0"/>
    <x v="0"/>
    <x v="0"/>
    <x v="0"/>
    <x v="0"/>
    <x v="22"/>
    <x v="462"/>
    <x v="9"/>
    <x v="20"/>
    <x v="0"/>
    <x v="462"/>
    <x v="462"/>
    <x v="0"/>
    <x v="0"/>
    <x v="0"/>
    <x v="328"/>
    <x v="399"/>
    <x v="0"/>
    <x v="0"/>
    <x v="378"/>
    <x v="445"/>
    <x v="454"/>
    <x v="419"/>
    <x v="437"/>
    <x v="456"/>
    <x v="0"/>
    <x v="456"/>
    <x v="0"/>
    <x v="1"/>
    <x v="0"/>
    <x v="456"/>
    <x v="0"/>
    <x v="0"/>
    <x v="0"/>
    <x v="3"/>
  </r>
  <r>
    <x v="462"/>
    <x v="1"/>
    <x v="2"/>
    <x v="1"/>
    <x v="1"/>
    <x v="2"/>
    <x v="0"/>
    <x v="0"/>
    <x v="0"/>
    <x v="0"/>
    <x v="0"/>
    <x v="0"/>
    <x v="0"/>
    <x v="46"/>
    <x v="463"/>
    <x v="5"/>
    <x v="65"/>
    <x v="0"/>
    <x v="463"/>
    <x v="463"/>
    <x v="51"/>
    <x v="199"/>
    <x v="8"/>
    <x v="1"/>
    <x v="71"/>
    <x v="172"/>
    <x v="263"/>
    <x v="379"/>
    <x v="446"/>
    <x v="455"/>
    <x v="420"/>
    <x v="447"/>
    <x v="457"/>
    <x v="8"/>
    <x v="457"/>
    <x v="0"/>
    <x v="1"/>
    <x v="0"/>
    <x v="457"/>
    <x v="0"/>
    <x v="272"/>
    <x v="0"/>
    <x v="3"/>
  </r>
  <r>
    <x v="463"/>
    <x v="1"/>
    <x v="2"/>
    <x v="1"/>
    <x v="1"/>
    <x v="2"/>
    <x v="0"/>
    <x v="0"/>
    <x v="0"/>
    <x v="0"/>
    <x v="0"/>
    <x v="0"/>
    <x v="0"/>
    <x v="14"/>
    <x v="464"/>
    <x v="6"/>
    <x v="29"/>
    <x v="0"/>
    <x v="464"/>
    <x v="464"/>
    <x v="114"/>
    <x v="143"/>
    <x v="165"/>
    <x v="329"/>
    <x v="400"/>
    <x v="173"/>
    <x v="264"/>
    <x v="344"/>
    <x v="447"/>
    <x v="456"/>
    <x v="421"/>
    <x v="448"/>
    <x v="457"/>
    <x v="165"/>
    <x v="457"/>
    <x v="0"/>
    <x v="1"/>
    <x v="0"/>
    <x v="457"/>
    <x v="0"/>
    <x v="273"/>
    <x v="0"/>
    <x v="3"/>
  </r>
  <r>
    <x v="464"/>
    <x v="1"/>
    <x v="2"/>
    <x v="1"/>
    <x v="1"/>
    <x v="2"/>
    <x v="0"/>
    <x v="0"/>
    <x v="0"/>
    <x v="0"/>
    <x v="0"/>
    <x v="0"/>
    <x v="0"/>
    <x v="1"/>
    <x v="465"/>
    <x v="1"/>
    <x v="47"/>
    <x v="1"/>
    <x v="465"/>
    <x v="465"/>
    <x v="206"/>
    <x v="200"/>
    <x v="227"/>
    <x v="1"/>
    <x v="71"/>
    <x v="174"/>
    <x v="265"/>
    <x v="380"/>
    <x v="448"/>
    <x v="457"/>
    <x v="422"/>
    <x v="449"/>
    <x v="458"/>
    <x v="227"/>
    <x v="458"/>
    <x v="0"/>
    <x v="1"/>
    <x v="0"/>
    <x v="458"/>
    <x v="0"/>
    <x v="274"/>
    <x v="0"/>
    <x v="3"/>
  </r>
  <r>
    <x v="465"/>
    <x v="1"/>
    <x v="2"/>
    <x v="1"/>
    <x v="1"/>
    <x v="2"/>
    <x v="0"/>
    <x v="0"/>
    <x v="0"/>
    <x v="0"/>
    <x v="0"/>
    <x v="0"/>
    <x v="0"/>
    <x v="1"/>
    <x v="466"/>
    <x v="1"/>
    <x v="25"/>
    <x v="2"/>
    <x v="466"/>
    <x v="466"/>
    <x v="0"/>
    <x v="0"/>
    <x v="0"/>
    <x v="330"/>
    <x v="401"/>
    <x v="0"/>
    <x v="0"/>
    <x v="381"/>
    <x v="449"/>
    <x v="458"/>
    <x v="423"/>
    <x v="450"/>
    <x v="459"/>
    <x v="0"/>
    <x v="459"/>
    <x v="0"/>
    <x v="1"/>
    <x v="0"/>
    <x v="459"/>
    <x v="0"/>
    <x v="0"/>
    <x v="0"/>
    <x v="3"/>
  </r>
  <r>
    <x v="466"/>
    <x v="1"/>
    <x v="2"/>
    <x v="1"/>
    <x v="1"/>
    <x v="2"/>
    <x v="0"/>
    <x v="0"/>
    <x v="0"/>
    <x v="0"/>
    <x v="0"/>
    <x v="0"/>
    <x v="0"/>
    <x v="16"/>
    <x v="467"/>
    <x v="10"/>
    <x v="66"/>
    <x v="0"/>
    <x v="467"/>
    <x v="467"/>
    <x v="155"/>
    <x v="138"/>
    <x v="164"/>
    <x v="331"/>
    <x v="402"/>
    <x v="175"/>
    <x v="266"/>
    <x v="382"/>
    <x v="450"/>
    <x v="424"/>
    <x v="424"/>
    <x v="451"/>
    <x v="460"/>
    <x v="164"/>
    <x v="460"/>
    <x v="0"/>
    <x v="1"/>
    <x v="0"/>
    <x v="460"/>
    <x v="0"/>
    <x v="275"/>
    <x v="0"/>
    <x v="3"/>
  </r>
  <r>
    <x v="467"/>
    <x v="1"/>
    <x v="2"/>
    <x v="1"/>
    <x v="1"/>
    <x v="2"/>
    <x v="0"/>
    <x v="0"/>
    <x v="0"/>
    <x v="0"/>
    <x v="0"/>
    <x v="0"/>
    <x v="0"/>
    <x v="20"/>
    <x v="468"/>
    <x v="5"/>
    <x v="7"/>
    <x v="0"/>
    <x v="468"/>
    <x v="468"/>
    <x v="207"/>
    <x v="201"/>
    <x v="228"/>
    <x v="1"/>
    <x v="403"/>
    <x v="176"/>
    <x v="267"/>
    <x v="383"/>
    <x v="451"/>
    <x v="459"/>
    <x v="425"/>
    <x v="426"/>
    <x v="461"/>
    <x v="228"/>
    <x v="461"/>
    <x v="0"/>
    <x v="1"/>
    <x v="0"/>
    <x v="461"/>
    <x v="0"/>
    <x v="276"/>
    <x v="0"/>
    <x v="3"/>
  </r>
  <r>
    <x v="468"/>
    <x v="0"/>
    <x v="2"/>
    <x v="2"/>
    <x v="39"/>
    <x v="85"/>
    <x v="1"/>
    <x v="0"/>
    <x v="0"/>
    <x v="0"/>
    <x v="0"/>
    <x v="0"/>
    <x v="0"/>
    <x v="37"/>
    <x v="469"/>
    <x v="7"/>
    <x v="9"/>
    <x v="1"/>
    <x v="469"/>
    <x v="469"/>
    <x v="208"/>
    <x v="127"/>
    <x v="229"/>
    <x v="1"/>
    <x v="71"/>
    <x v="177"/>
    <x v="268"/>
    <x v="384"/>
    <x v="452"/>
    <x v="460"/>
    <x v="426"/>
    <x v="452"/>
    <x v="462"/>
    <x v="229"/>
    <x v="462"/>
    <x v="0"/>
    <x v="1"/>
    <x v="0"/>
    <x v="462"/>
    <x v="0"/>
    <x v="277"/>
    <x v="0"/>
    <x v="3"/>
  </r>
  <r>
    <x v="469"/>
    <x v="0"/>
    <x v="1"/>
    <x v="2"/>
    <x v="40"/>
    <x v="2"/>
    <x v="0"/>
    <x v="0"/>
    <x v="0"/>
    <x v="0"/>
    <x v="0"/>
    <x v="0"/>
    <x v="0"/>
    <x v="0"/>
    <x v="470"/>
    <x v="3"/>
    <x v="3"/>
    <x v="1"/>
    <x v="470"/>
    <x v="470"/>
    <x v="0"/>
    <x v="0"/>
    <x v="0"/>
    <x v="1"/>
    <x v="71"/>
    <x v="178"/>
    <x v="269"/>
    <x v="385"/>
    <x v="453"/>
    <x v="461"/>
    <x v="427"/>
    <x v="453"/>
    <x v="463"/>
    <x v="0"/>
    <x v="463"/>
    <x v="0"/>
    <x v="1"/>
    <x v="0"/>
    <x v="463"/>
    <x v="0"/>
    <x v="0"/>
    <x v="0"/>
    <x v="3"/>
  </r>
  <r>
    <x v="470"/>
    <x v="0"/>
    <x v="2"/>
    <x v="0"/>
    <x v="1"/>
    <x v="2"/>
    <x v="2"/>
    <x v="0"/>
    <x v="0"/>
    <x v="0"/>
    <x v="0"/>
    <x v="0"/>
    <x v="0"/>
    <x v="5"/>
    <x v="471"/>
    <x v="7"/>
    <x v="16"/>
    <x v="0"/>
    <x v="471"/>
    <x v="471"/>
    <x v="209"/>
    <x v="150"/>
    <x v="230"/>
    <x v="332"/>
    <x v="404"/>
    <x v="179"/>
    <x v="270"/>
    <x v="386"/>
    <x v="454"/>
    <x v="462"/>
    <x v="428"/>
    <x v="454"/>
    <x v="464"/>
    <x v="230"/>
    <x v="464"/>
    <x v="0"/>
    <x v="1"/>
    <x v="0"/>
    <x v="464"/>
    <x v="0"/>
    <x v="278"/>
    <x v="0"/>
    <x v="3"/>
  </r>
  <r>
    <x v="471"/>
    <x v="0"/>
    <x v="2"/>
    <x v="2"/>
    <x v="41"/>
    <x v="2"/>
    <x v="1"/>
    <x v="0"/>
    <x v="0"/>
    <x v="0"/>
    <x v="0"/>
    <x v="0"/>
    <x v="0"/>
    <x v="47"/>
    <x v="472"/>
    <x v="0"/>
    <x v="67"/>
    <x v="0"/>
    <x v="472"/>
    <x v="472"/>
    <x v="153"/>
    <x v="85"/>
    <x v="166"/>
    <x v="1"/>
    <x v="405"/>
    <x v="0"/>
    <x v="271"/>
    <x v="1"/>
    <x v="455"/>
    <x v="463"/>
    <x v="360"/>
    <x v="267"/>
    <x v="465"/>
    <x v="166"/>
    <x v="465"/>
    <x v="0"/>
    <x v="1"/>
    <x v="0"/>
    <x v="465"/>
    <x v="1"/>
    <x v="279"/>
    <x v="0"/>
    <x v="3"/>
  </r>
  <r>
    <x v="472"/>
    <x v="1"/>
    <x v="2"/>
    <x v="1"/>
    <x v="1"/>
    <x v="2"/>
    <x v="0"/>
    <x v="0"/>
    <x v="0"/>
    <x v="0"/>
    <x v="0"/>
    <x v="0"/>
    <x v="0"/>
    <x v="9"/>
    <x v="473"/>
    <x v="1"/>
    <x v="10"/>
    <x v="0"/>
    <x v="473"/>
    <x v="473"/>
    <x v="0"/>
    <x v="0"/>
    <x v="0"/>
    <x v="333"/>
    <x v="406"/>
    <x v="0"/>
    <x v="0"/>
    <x v="387"/>
    <x v="456"/>
    <x v="464"/>
    <x v="404"/>
    <x v="455"/>
    <x v="466"/>
    <x v="0"/>
    <x v="466"/>
    <x v="0"/>
    <x v="1"/>
    <x v="0"/>
    <x v="466"/>
    <x v="0"/>
    <x v="0"/>
    <x v="0"/>
    <x v="3"/>
  </r>
  <r>
    <x v="473"/>
    <x v="1"/>
    <x v="2"/>
    <x v="1"/>
    <x v="1"/>
    <x v="2"/>
    <x v="0"/>
    <x v="0"/>
    <x v="0"/>
    <x v="0"/>
    <x v="0"/>
    <x v="0"/>
    <x v="0"/>
    <x v="38"/>
    <x v="474"/>
    <x v="5"/>
    <x v="31"/>
    <x v="0"/>
    <x v="474"/>
    <x v="474"/>
    <x v="195"/>
    <x v="202"/>
    <x v="231"/>
    <x v="1"/>
    <x v="407"/>
    <x v="0"/>
    <x v="95"/>
    <x v="1"/>
    <x v="457"/>
    <x v="465"/>
    <x v="429"/>
    <x v="456"/>
    <x v="467"/>
    <x v="231"/>
    <x v="467"/>
    <x v="0"/>
    <x v="1"/>
    <x v="0"/>
    <x v="467"/>
    <x v="0"/>
    <x v="280"/>
    <x v="0"/>
    <x v="3"/>
  </r>
  <r>
    <x v="474"/>
    <x v="0"/>
    <x v="2"/>
    <x v="0"/>
    <x v="1"/>
    <x v="86"/>
    <x v="0"/>
    <x v="0"/>
    <x v="0"/>
    <x v="0"/>
    <x v="0"/>
    <x v="0"/>
    <x v="0"/>
    <x v="26"/>
    <x v="475"/>
    <x v="14"/>
    <x v="36"/>
    <x v="0"/>
    <x v="475"/>
    <x v="475"/>
    <x v="210"/>
    <x v="203"/>
    <x v="232"/>
    <x v="1"/>
    <x v="408"/>
    <x v="172"/>
    <x v="272"/>
    <x v="379"/>
    <x v="458"/>
    <x v="466"/>
    <x v="430"/>
    <x v="432"/>
    <x v="468"/>
    <x v="232"/>
    <x v="468"/>
    <x v="0"/>
    <x v="1"/>
    <x v="0"/>
    <x v="468"/>
    <x v="0"/>
    <x v="281"/>
    <x v="0"/>
    <x v="3"/>
  </r>
  <r>
    <x v="475"/>
    <x v="0"/>
    <x v="2"/>
    <x v="0"/>
    <x v="1"/>
    <x v="2"/>
    <x v="2"/>
    <x v="0"/>
    <x v="0"/>
    <x v="0"/>
    <x v="0"/>
    <x v="0"/>
    <x v="0"/>
    <x v="12"/>
    <x v="476"/>
    <x v="7"/>
    <x v="16"/>
    <x v="0"/>
    <x v="476"/>
    <x v="476"/>
    <x v="211"/>
    <x v="39"/>
    <x v="233"/>
    <x v="334"/>
    <x v="409"/>
    <x v="180"/>
    <x v="273"/>
    <x v="388"/>
    <x v="459"/>
    <x v="467"/>
    <x v="431"/>
    <x v="457"/>
    <x v="469"/>
    <x v="233"/>
    <x v="469"/>
    <x v="0"/>
    <x v="1"/>
    <x v="0"/>
    <x v="469"/>
    <x v="0"/>
    <x v="282"/>
    <x v="0"/>
    <x v="3"/>
  </r>
  <r>
    <x v="476"/>
    <x v="2"/>
    <x v="2"/>
    <x v="3"/>
    <x v="1"/>
    <x v="87"/>
    <x v="1"/>
    <x v="0"/>
    <x v="0"/>
    <x v="0"/>
    <x v="0"/>
    <x v="0"/>
    <x v="0"/>
    <x v="2"/>
    <x v="477"/>
    <x v="2"/>
    <x v="2"/>
    <x v="0"/>
    <x v="477"/>
    <x v="477"/>
    <x v="0"/>
    <x v="0"/>
    <x v="0"/>
    <x v="335"/>
    <x v="410"/>
    <x v="0"/>
    <x v="0"/>
    <x v="389"/>
    <x v="460"/>
    <x v="468"/>
    <x v="432"/>
    <x v="458"/>
    <x v="469"/>
    <x v="0"/>
    <x v="469"/>
    <x v="0"/>
    <x v="1"/>
    <x v="0"/>
    <x v="469"/>
    <x v="0"/>
    <x v="0"/>
    <x v="0"/>
    <x v="3"/>
  </r>
  <r>
    <x v="477"/>
    <x v="1"/>
    <x v="2"/>
    <x v="1"/>
    <x v="1"/>
    <x v="2"/>
    <x v="0"/>
    <x v="0"/>
    <x v="0"/>
    <x v="0"/>
    <x v="0"/>
    <x v="0"/>
    <x v="0"/>
    <x v="20"/>
    <x v="478"/>
    <x v="16"/>
    <x v="54"/>
    <x v="0"/>
    <x v="478"/>
    <x v="478"/>
    <x v="212"/>
    <x v="95"/>
    <x v="234"/>
    <x v="336"/>
    <x v="411"/>
    <x v="181"/>
    <x v="274"/>
    <x v="390"/>
    <x v="461"/>
    <x v="469"/>
    <x v="433"/>
    <x v="459"/>
    <x v="470"/>
    <x v="234"/>
    <x v="470"/>
    <x v="0"/>
    <x v="1"/>
    <x v="0"/>
    <x v="470"/>
    <x v="0"/>
    <x v="283"/>
    <x v="0"/>
    <x v="3"/>
  </r>
  <r>
    <x v="478"/>
    <x v="1"/>
    <x v="2"/>
    <x v="1"/>
    <x v="1"/>
    <x v="2"/>
    <x v="0"/>
    <x v="0"/>
    <x v="0"/>
    <x v="0"/>
    <x v="0"/>
    <x v="0"/>
    <x v="0"/>
    <x v="1"/>
    <x v="479"/>
    <x v="1"/>
    <x v="13"/>
    <x v="1"/>
    <x v="479"/>
    <x v="479"/>
    <x v="0"/>
    <x v="0"/>
    <x v="0"/>
    <x v="294"/>
    <x v="412"/>
    <x v="0"/>
    <x v="0"/>
    <x v="340"/>
    <x v="462"/>
    <x v="470"/>
    <x v="434"/>
    <x v="460"/>
    <x v="471"/>
    <x v="0"/>
    <x v="471"/>
    <x v="0"/>
    <x v="1"/>
    <x v="0"/>
    <x v="471"/>
    <x v="0"/>
    <x v="0"/>
    <x v="0"/>
    <x v="3"/>
  </r>
  <r>
    <x v="479"/>
    <x v="0"/>
    <x v="1"/>
    <x v="0"/>
    <x v="1"/>
    <x v="88"/>
    <x v="0"/>
    <x v="0"/>
    <x v="0"/>
    <x v="0"/>
    <x v="0"/>
    <x v="0"/>
    <x v="0"/>
    <x v="32"/>
    <x v="480"/>
    <x v="0"/>
    <x v="0"/>
    <x v="0"/>
    <x v="480"/>
    <x v="480"/>
    <x v="155"/>
    <x v="138"/>
    <x v="164"/>
    <x v="337"/>
    <x v="413"/>
    <x v="0"/>
    <x v="275"/>
    <x v="391"/>
    <x v="463"/>
    <x v="471"/>
    <x v="373"/>
    <x v="461"/>
    <x v="472"/>
    <x v="164"/>
    <x v="472"/>
    <x v="0"/>
    <x v="1"/>
    <x v="0"/>
    <x v="472"/>
    <x v="0"/>
    <x v="284"/>
    <x v="0"/>
    <x v="3"/>
  </r>
  <r>
    <x v="480"/>
    <x v="1"/>
    <x v="2"/>
    <x v="1"/>
    <x v="1"/>
    <x v="2"/>
    <x v="0"/>
    <x v="0"/>
    <x v="0"/>
    <x v="0"/>
    <x v="0"/>
    <x v="0"/>
    <x v="0"/>
    <x v="7"/>
    <x v="481"/>
    <x v="6"/>
    <x v="8"/>
    <x v="0"/>
    <x v="481"/>
    <x v="481"/>
    <x v="155"/>
    <x v="138"/>
    <x v="164"/>
    <x v="1"/>
    <x v="364"/>
    <x v="182"/>
    <x v="276"/>
    <x v="392"/>
    <x v="464"/>
    <x v="472"/>
    <x v="435"/>
    <x v="462"/>
    <x v="473"/>
    <x v="164"/>
    <x v="473"/>
    <x v="0"/>
    <x v="1"/>
    <x v="0"/>
    <x v="473"/>
    <x v="0"/>
    <x v="285"/>
    <x v="0"/>
    <x v="3"/>
  </r>
  <r>
    <x v="481"/>
    <x v="1"/>
    <x v="2"/>
    <x v="1"/>
    <x v="1"/>
    <x v="2"/>
    <x v="0"/>
    <x v="0"/>
    <x v="0"/>
    <x v="0"/>
    <x v="0"/>
    <x v="0"/>
    <x v="0"/>
    <x v="6"/>
    <x v="482"/>
    <x v="5"/>
    <x v="23"/>
    <x v="0"/>
    <x v="482"/>
    <x v="482"/>
    <x v="0"/>
    <x v="0"/>
    <x v="0"/>
    <x v="1"/>
    <x v="414"/>
    <x v="0"/>
    <x v="0"/>
    <x v="1"/>
    <x v="465"/>
    <x v="473"/>
    <x v="1"/>
    <x v="463"/>
    <x v="474"/>
    <x v="0"/>
    <x v="474"/>
    <x v="0"/>
    <x v="1"/>
    <x v="0"/>
    <x v="474"/>
    <x v="1"/>
    <x v="0"/>
    <x v="0"/>
    <x v="3"/>
  </r>
  <r>
    <x v="482"/>
    <x v="0"/>
    <x v="2"/>
    <x v="0"/>
    <x v="1"/>
    <x v="2"/>
    <x v="0"/>
    <x v="0"/>
    <x v="0"/>
    <x v="0"/>
    <x v="0"/>
    <x v="0"/>
    <x v="0"/>
    <x v="22"/>
    <x v="483"/>
    <x v="7"/>
    <x v="27"/>
    <x v="0"/>
    <x v="483"/>
    <x v="483"/>
    <x v="0"/>
    <x v="0"/>
    <x v="0"/>
    <x v="338"/>
    <x v="415"/>
    <x v="0"/>
    <x v="0"/>
    <x v="393"/>
    <x v="466"/>
    <x v="474"/>
    <x v="436"/>
    <x v="464"/>
    <x v="475"/>
    <x v="0"/>
    <x v="475"/>
    <x v="0"/>
    <x v="1"/>
    <x v="0"/>
    <x v="475"/>
    <x v="0"/>
    <x v="0"/>
    <x v="0"/>
    <x v="3"/>
  </r>
  <r>
    <x v="483"/>
    <x v="1"/>
    <x v="2"/>
    <x v="1"/>
    <x v="1"/>
    <x v="2"/>
    <x v="0"/>
    <x v="0"/>
    <x v="0"/>
    <x v="0"/>
    <x v="0"/>
    <x v="0"/>
    <x v="0"/>
    <x v="1"/>
    <x v="484"/>
    <x v="1"/>
    <x v="47"/>
    <x v="1"/>
    <x v="484"/>
    <x v="484"/>
    <x v="163"/>
    <x v="192"/>
    <x v="219"/>
    <x v="1"/>
    <x v="71"/>
    <x v="183"/>
    <x v="252"/>
    <x v="394"/>
    <x v="467"/>
    <x v="475"/>
    <x v="389"/>
    <x v="465"/>
    <x v="476"/>
    <x v="219"/>
    <x v="476"/>
    <x v="0"/>
    <x v="1"/>
    <x v="0"/>
    <x v="476"/>
    <x v="0"/>
    <x v="286"/>
    <x v="0"/>
    <x v="3"/>
  </r>
  <r>
    <x v="484"/>
    <x v="0"/>
    <x v="2"/>
    <x v="0"/>
    <x v="1"/>
    <x v="89"/>
    <x v="1"/>
    <x v="0"/>
    <x v="0"/>
    <x v="0"/>
    <x v="0"/>
    <x v="0"/>
    <x v="0"/>
    <x v="42"/>
    <x v="485"/>
    <x v="0"/>
    <x v="60"/>
    <x v="1"/>
    <x v="485"/>
    <x v="485"/>
    <x v="0"/>
    <x v="0"/>
    <x v="0"/>
    <x v="339"/>
    <x v="416"/>
    <x v="0"/>
    <x v="0"/>
    <x v="395"/>
    <x v="468"/>
    <x v="476"/>
    <x v="350"/>
    <x v="466"/>
    <x v="477"/>
    <x v="0"/>
    <x v="477"/>
    <x v="0"/>
    <x v="1"/>
    <x v="0"/>
    <x v="477"/>
    <x v="0"/>
    <x v="0"/>
    <x v="0"/>
    <x v="3"/>
  </r>
  <r>
    <x v="485"/>
    <x v="0"/>
    <x v="2"/>
    <x v="0"/>
    <x v="1"/>
    <x v="2"/>
    <x v="0"/>
    <x v="0"/>
    <x v="0"/>
    <x v="0"/>
    <x v="0"/>
    <x v="0"/>
    <x v="0"/>
    <x v="17"/>
    <x v="486"/>
    <x v="9"/>
    <x v="22"/>
    <x v="0"/>
    <x v="486"/>
    <x v="486"/>
    <x v="186"/>
    <x v="199"/>
    <x v="235"/>
    <x v="340"/>
    <x v="48"/>
    <x v="184"/>
    <x v="9"/>
    <x v="358"/>
    <x v="469"/>
    <x v="477"/>
    <x v="437"/>
    <x v="467"/>
    <x v="478"/>
    <x v="235"/>
    <x v="478"/>
    <x v="0"/>
    <x v="1"/>
    <x v="0"/>
    <x v="478"/>
    <x v="0"/>
    <x v="287"/>
    <x v="0"/>
    <x v="3"/>
  </r>
  <r>
    <x v="486"/>
    <x v="1"/>
    <x v="2"/>
    <x v="1"/>
    <x v="1"/>
    <x v="2"/>
    <x v="0"/>
    <x v="0"/>
    <x v="0"/>
    <x v="0"/>
    <x v="0"/>
    <x v="0"/>
    <x v="0"/>
    <x v="14"/>
    <x v="487"/>
    <x v="6"/>
    <x v="29"/>
    <x v="0"/>
    <x v="487"/>
    <x v="487"/>
    <x v="153"/>
    <x v="179"/>
    <x v="236"/>
    <x v="341"/>
    <x v="417"/>
    <x v="185"/>
    <x v="138"/>
    <x v="396"/>
    <x v="470"/>
    <x v="478"/>
    <x v="438"/>
    <x v="468"/>
    <x v="479"/>
    <x v="236"/>
    <x v="479"/>
    <x v="0"/>
    <x v="1"/>
    <x v="0"/>
    <x v="479"/>
    <x v="0"/>
    <x v="288"/>
    <x v="0"/>
    <x v="3"/>
  </r>
  <r>
    <x v="487"/>
    <x v="0"/>
    <x v="2"/>
    <x v="1"/>
    <x v="1"/>
    <x v="2"/>
    <x v="0"/>
    <x v="0"/>
    <x v="0"/>
    <x v="0"/>
    <x v="0"/>
    <x v="0"/>
    <x v="0"/>
    <x v="30"/>
    <x v="488"/>
    <x v="2"/>
    <x v="2"/>
    <x v="0"/>
    <x v="488"/>
    <x v="488"/>
    <x v="170"/>
    <x v="191"/>
    <x v="208"/>
    <x v="1"/>
    <x v="71"/>
    <x v="186"/>
    <x v="277"/>
    <x v="397"/>
    <x v="471"/>
    <x v="478"/>
    <x v="439"/>
    <x v="469"/>
    <x v="480"/>
    <x v="208"/>
    <x v="480"/>
    <x v="0"/>
    <x v="1"/>
    <x v="0"/>
    <x v="480"/>
    <x v="0"/>
    <x v="289"/>
    <x v="0"/>
    <x v="3"/>
  </r>
  <r>
    <x v="488"/>
    <x v="1"/>
    <x v="2"/>
    <x v="1"/>
    <x v="1"/>
    <x v="2"/>
    <x v="0"/>
    <x v="0"/>
    <x v="0"/>
    <x v="0"/>
    <x v="0"/>
    <x v="0"/>
    <x v="0"/>
    <x v="1"/>
    <x v="489"/>
    <x v="1"/>
    <x v="13"/>
    <x v="1"/>
    <x v="489"/>
    <x v="489"/>
    <x v="213"/>
    <x v="204"/>
    <x v="237"/>
    <x v="1"/>
    <x v="71"/>
    <x v="187"/>
    <x v="278"/>
    <x v="398"/>
    <x v="472"/>
    <x v="479"/>
    <x v="440"/>
    <x v="470"/>
    <x v="481"/>
    <x v="237"/>
    <x v="481"/>
    <x v="0"/>
    <x v="1"/>
    <x v="0"/>
    <x v="481"/>
    <x v="0"/>
    <x v="290"/>
    <x v="0"/>
    <x v="3"/>
  </r>
  <r>
    <x v="489"/>
    <x v="1"/>
    <x v="2"/>
    <x v="1"/>
    <x v="1"/>
    <x v="2"/>
    <x v="0"/>
    <x v="0"/>
    <x v="0"/>
    <x v="0"/>
    <x v="0"/>
    <x v="0"/>
    <x v="0"/>
    <x v="1"/>
    <x v="490"/>
    <x v="1"/>
    <x v="13"/>
    <x v="1"/>
    <x v="490"/>
    <x v="490"/>
    <x v="0"/>
    <x v="0"/>
    <x v="0"/>
    <x v="342"/>
    <x v="418"/>
    <x v="0"/>
    <x v="0"/>
    <x v="399"/>
    <x v="448"/>
    <x v="480"/>
    <x v="441"/>
    <x v="471"/>
    <x v="482"/>
    <x v="0"/>
    <x v="482"/>
    <x v="0"/>
    <x v="1"/>
    <x v="0"/>
    <x v="482"/>
    <x v="0"/>
    <x v="0"/>
    <x v="0"/>
    <x v="3"/>
  </r>
  <r>
    <x v="490"/>
    <x v="1"/>
    <x v="2"/>
    <x v="1"/>
    <x v="1"/>
    <x v="2"/>
    <x v="0"/>
    <x v="0"/>
    <x v="0"/>
    <x v="0"/>
    <x v="0"/>
    <x v="0"/>
    <x v="0"/>
    <x v="2"/>
    <x v="491"/>
    <x v="4"/>
    <x v="68"/>
    <x v="0"/>
    <x v="491"/>
    <x v="491"/>
    <x v="0"/>
    <x v="0"/>
    <x v="0"/>
    <x v="1"/>
    <x v="419"/>
    <x v="0"/>
    <x v="0"/>
    <x v="1"/>
    <x v="473"/>
    <x v="481"/>
    <x v="1"/>
    <x v="472"/>
    <x v="483"/>
    <x v="0"/>
    <x v="483"/>
    <x v="0"/>
    <x v="1"/>
    <x v="0"/>
    <x v="483"/>
    <x v="1"/>
    <x v="0"/>
    <x v="0"/>
    <x v="3"/>
  </r>
  <r>
    <x v="491"/>
    <x v="1"/>
    <x v="2"/>
    <x v="1"/>
    <x v="1"/>
    <x v="2"/>
    <x v="0"/>
    <x v="0"/>
    <x v="0"/>
    <x v="0"/>
    <x v="0"/>
    <x v="0"/>
    <x v="0"/>
    <x v="6"/>
    <x v="492"/>
    <x v="5"/>
    <x v="31"/>
    <x v="0"/>
    <x v="492"/>
    <x v="492"/>
    <x v="97"/>
    <x v="138"/>
    <x v="150"/>
    <x v="343"/>
    <x v="420"/>
    <x v="0"/>
    <x v="279"/>
    <x v="359"/>
    <x v="428"/>
    <x v="482"/>
    <x v="442"/>
    <x v="465"/>
    <x v="484"/>
    <x v="150"/>
    <x v="484"/>
    <x v="0"/>
    <x v="1"/>
    <x v="0"/>
    <x v="484"/>
    <x v="0"/>
    <x v="291"/>
    <x v="0"/>
    <x v="3"/>
  </r>
  <r>
    <x v="492"/>
    <x v="0"/>
    <x v="2"/>
    <x v="2"/>
    <x v="41"/>
    <x v="2"/>
    <x v="0"/>
    <x v="0"/>
    <x v="0"/>
    <x v="0"/>
    <x v="0"/>
    <x v="0"/>
    <x v="0"/>
    <x v="47"/>
    <x v="493"/>
    <x v="0"/>
    <x v="67"/>
    <x v="0"/>
    <x v="493"/>
    <x v="493"/>
    <x v="0"/>
    <x v="0"/>
    <x v="0"/>
    <x v="1"/>
    <x v="421"/>
    <x v="0"/>
    <x v="0"/>
    <x v="1"/>
    <x v="474"/>
    <x v="483"/>
    <x v="1"/>
    <x v="473"/>
    <x v="485"/>
    <x v="0"/>
    <x v="485"/>
    <x v="0"/>
    <x v="1"/>
    <x v="0"/>
    <x v="485"/>
    <x v="1"/>
    <x v="0"/>
    <x v="0"/>
    <x v="3"/>
  </r>
  <r>
    <x v="493"/>
    <x v="0"/>
    <x v="2"/>
    <x v="0"/>
    <x v="1"/>
    <x v="2"/>
    <x v="2"/>
    <x v="0"/>
    <x v="0"/>
    <x v="0"/>
    <x v="0"/>
    <x v="0"/>
    <x v="0"/>
    <x v="17"/>
    <x v="494"/>
    <x v="9"/>
    <x v="69"/>
    <x v="0"/>
    <x v="494"/>
    <x v="494"/>
    <x v="214"/>
    <x v="151"/>
    <x v="238"/>
    <x v="1"/>
    <x v="422"/>
    <x v="0"/>
    <x v="280"/>
    <x v="1"/>
    <x v="475"/>
    <x v="484"/>
    <x v="443"/>
    <x v="474"/>
    <x v="486"/>
    <x v="238"/>
    <x v="486"/>
    <x v="0"/>
    <x v="1"/>
    <x v="0"/>
    <x v="486"/>
    <x v="0"/>
    <x v="292"/>
    <x v="0"/>
    <x v="3"/>
  </r>
  <r>
    <x v="494"/>
    <x v="0"/>
    <x v="2"/>
    <x v="0"/>
    <x v="1"/>
    <x v="2"/>
    <x v="1"/>
    <x v="0"/>
    <x v="0"/>
    <x v="0"/>
    <x v="0"/>
    <x v="0"/>
    <x v="0"/>
    <x v="10"/>
    <x v="495"/>
    <x v="2"/>
    <x v="2"/>
    <x v="0"/>
    <x v="495"/>
    <x v="495"/>
    <x v="164"/>
    <x v="63"/>
    <x v="166"/>
    <x v="344"/>
    <x v="423"/>
    <x v="188"/>
    <x v="281"/>
    <x v="400"/>
    <x v="476"/>
    <x v="485"/>
    <x v="444"/>
    <x v="475"/>
    <x v="487"/>
    <x v="166"/>
    <x v="487"/>
    <x v="0"/>
    <x v="1"/>
    <x v="0"/>
    <x v="487"/>
    <x v="0"/>
    <x v="293"/>
    <x v="0"/>
    <x v="3"/>
  </r>
  <r>
    <x v="495"/>
    <x v="0"/>
    <x v="2"/>
    <x v="0"/>
    <x v="1"/>
    <x v="2"/>
    <x v="2"/>
    <x v="0"/>
    <x v="0"/>
    <x v="0"/>
    <x v="0"/>
    <x v="0"/>
    <x v="0"/>
    <x v="8"/>
    <x v="496"/>
    <x v="7"/>
    <x v="9"/>
    <x v="0"/>
    <x v="496"/>
    <x v="496"/>
    <x v="215"/>
    <x v="205"/>
    <x v="239"/>
    <x v="345"/>
    <x v="424"/>
    <x v="189"/>
    <x v="282"/>
    <x v="401"/>
    <x v="477"/>
    <x v="330"/>
    <x v="445"/>
    <x v="476"/>
    <x v="488"/>
    <x v="239"/>
    <x v="488"/>
    <x v="0"/>
    <x v="1"/>
    <x v="0"/>
    <x v="488"/>
    <x v="0"/>
    <x v="129"/>
    <x v="0"/>
    <x v="3"/>
  </r>
  <r>
    <x v="496"/>
    <x v="2"/>
    <x v="0"/>
    <x v="0"/>
    <x v="1"/>
    <x v="90"/>
    <x v="1"/>
    <x v="0"/>
    <x v="0"/>
    <x v="0"/>
    <x v="0"/>
    <x v="0"/>
    <x v="0"/>
    <x v="24"/>
    <x v="497"/>
    <x v="12"/>
    <x v="59"/>
    <x v="0"/>
    <x v="497"/>
    <x v="497"/>
    <x v="0"/>
    <x v="0"/>
    <x v="0"/>
    <x v="346"/>
    <x v="425"/>
    <x v="0"/>
    <x v="0"/>
    <x v="402"/>
    <x v="478"/>
    <x v="486"/>
    <x v="446"/>
    <x v="477"/>
    <x v="489"/>
    <x v="0"/>
    <x v="489"/>
    <x v="0"/>
    <x v="1"/>
    <x v="0"/>
    <x v="489"/>
    <x v="0"/>
    <x v="0"/>
    <x v="0"/>
    <x v="3"/>
  </r>
  <r>
    <x v="497"/>
    <x v="0"/>
    <x v="3"/>
    <x v="0"/>
    <x v="1"/>
    <x v="91"/>
    <x v="1"/>
    <x v="0"/>
    <x v="0"/>
    <x v="0"/>
    <x v="0"/>
    <x v="0"/>
    <x v="0"/>
    <x v="27"/>
    <x v="498"/>
    <x v="12"/>
    <x v="70"/>
    <x v="0"/>
    <x v="498"/>
    <x v="498"/>
    <x v="153"/>
    <x v="143"/>
    <x v="155"/>
    <x v="347"/>
    <x v="426"/>
    <x v="0"/>
    <x v="0"/>
    <x v="403"/>
    <x v="479"/>
    <x v="487"/>
    <x v="447"/>
    <x v="478"/>
    <x v="490"/>
    <x v="155"/>
    <x v="490"/>
    <x v="0"/>
    <x v="1"/>
    <x v="0"/>
    <x v="490"/>
    <x v="0"/>
    <x v="294"/>
    <x v="0"/>
    <x v="3"/>
  </r>
  <r>
    <x v="498"/>
    <x v="0"/>
    <x v="0"/>
    <x v="0"/>
    <x v="1"/>
    <x v="92"/>
    <x v="1"/>
    <x v="0"/>
    <x v="0"/>
    <x v="0"/>
    <x v="0"/>
    <x v="0"/>
    <x v="0"/>
    <x v="11"/>
    <x v="499"/>
    <x v="8"/>
    <x v="14"/>
    <x v="0"/>
    <x v="499"/>
    <x v="499"/>
    <x v="155"/>
    <x v="152"/>
    <x v="154"/>
    <x v="1"/>
    <x v="427"/>
    <x v="0"/>
    <x v="234"/>
    <x v="1"/>
    <x v="480"/>
    <x v="488"/>
    <x v="448"/>
    <x v="479"/>
    <x v="491"/>
    <x v="154"/>
    <x v="491"/>
    <x v="0"/>
    <x v="1"/>
    <x v="0"/>
    <x v="491"/>
    <x v="1"/>
    <x v="295"/>
    <x v="0"/>
    <x v="3"/>
  </r>
  <r>
    <x v="499"/>
    <x v="0"/>
    <x v="2"/>
    <x v="0"/>
    <x v="1"/>
    <x v="2"/>
    <x v="1"/>
    <x v="0"/>
    <x v="0"/>
    <x v="0"/>
    <x v="0"/>
    <x v="0"/>
    <x v="0"/>
    <x v="22"/>
    <x v="500"/>
    <x v="7"/>
    <x v="27"/>
    <x v="0"/>
    <x v="500"/>
    <x v="500"/>
    <x v="0"/>
    <x v="0"/>
    <x v="0"/>
    <x v="348"/>
    <x v="236"/>
    <x v="0"/>
    <x v="0"/>
    <x v="404"/>
    <x v="481"/>
    <x v="488"/>
    <x v="437"/>
    <x v="480"/>
    <x v="492"/>
    <x v="0"/>
    <x v="492"/>
    <x v="0"/>
    <x v="1"/>
    <x v="0"/>
    <x v="492"/>
    <x v="0"/>
    <x v="0"/>
    <x v="0"/>
    <x v="3"/>
  </r>
  <r>
    <x v="500"/>
    <x v="0"/>
    <x v="2"/>
    <x v="0"/>
    <x v="1"/>
    <x v="2"/>
    <x v="1"/>
    <x v="0"/>
    <x v="0"/>
    <x v="0"/>
    <x v="0"/>
    <x v="0"/>
    <x v="0"/>
    <x v="11"/>
    <x v="501"/>
    <x v="8"/>
    <x v="71"/>
    <x v="0"/>
    <x v="501"/>
    <x v="501"/>
    <x v="155"/>
    <x v="152"/>
    <x v="154"/>
    <x v="1"/>
    <x v="71"/>
    <x v="190"/>
    <x v="283"/>
    <x v="405"/>
    <x v="482"/>
    <x v="489"/>
    <x v="449"/>
    <x v="481"/>
    <x v="493"/>
    <x v="154"/>
    <x v="493"/>
    <x v="0"/>
    <x v="1"/>
    <x v="0"/>
    <x v="493"/>
    <x v="0"/>
    <x v="296"/>
    <x v="0"/>
    <x v="3"/>
  </r>
  <r>
    <x v="501"/>
    <x v="0"/>
    <x v="2"/>
    <x v="0"/>
    <x v="1"/>
    <x v="2"/>
    <x v="1"/>
    <x v="0"/>
    <x v="0"/>
    <x v="0"/>
    <x v="0"/>
    <x v="0"/>
    <x v="0"/>
    <x v="28"/>
    <x v="502"/>
    <x v="7"/>
    <x v="27"/>
    <x v="0"/>
    <x v="502"/>
    <x v="502"/>
    <x v="163"/>
    <x v="79"/>
    <x v="211"/>
    <x v="1"/>
    <x v="428"/>
    <x v="0"/>
    <x v="0"/>
    <x v="1"/>
    <x v="483"/>
    <x v="490"/>
    <x v="450"/>
    <x v="482"/>
    <x v="494"/>
    <x v="211"/>
    <x v="494"/>
    <x v="0"/>
    <x v="1"/>
    <x v="0"/>
    <x v="494"/>
    <x v="1"/>
    <x v="297"/>
    <x v="0"/>
    <x v="3"/>
  </r>
  <r>
    <x v="502"/>
    <x v="2"/>
    <x v="2"/>
    <x v="0"/>
    <x v="1"/>
    <x v="93"/>
    <x v="1"/>
    <x v="0"/>
    <x v="0"/>
    <x v="0"/>
    <x v="0"/>
    <x v="0"/>
    <x v="0"/>
    <x v="24"/>
    <x v="503"/>
    <x v="12"/>
    <x v="59"/>
    <x v="1"/>
    <x v="503"/>
    <x v="503"/>
    <x v="0"/>
    <x v="0"/>
    <x v="0"/>
    <x v="294"/>
    <x v="429"/>
    <x v="0"/>
    <x v="0"/>
    <x v="340"/>
    <x v="484"/>
    <x v="491"/>
    <x v="434"/>
    <x v="483"/>
    <x v="495"/>
    <x v="0"/>
    <x v="495"/>
    <x v="0"/>
    <x v="1"/>
    <x v="0"/>
    <x v="495"/>
    <x v="0"/>
    <x v="0"/>
    <x v="0"/>
    <x v="3"/>
  </r>
  <r>
    <x v="503"/>
    <x v="0"/>
    <x v="0"/>
    <x v="0"/>
    <x v="1"/>
    <x v="94"/>
    <x v="2"/>
    <x v="0"/>
    <x v="0"/>
    <x v="0"/>
    <x v="0"/>
    <x v="0"/>
    <x v="0"/>
    <x v="7"/>
    <x v="504"/>
    <x v="2"/>
    <x v="46"/>
    <x v="0"/>
    <x v="504"/>
    <x v="504"/>
    <x v="137"/>
    <x v="126"/>
    <x v="219"/>
    <x v="1"/>
    <x v="430"/>
    <x v="191"/>
    <x v="284"/>
    <x v="406"/>
    <x v="485"/>
    <x v="465"/>
    <x v="451"/>
    <x v="484"/>
    <x v="496"/>
    <x v="219"/>
    <x v="496"/>
    <x v="0"/>
    <x v="1"/>
    <x v="0"/>
    <x v="496"/>
    <x v="0"/>
    <x v="298"/>
    <x v="0"/>
    <x v="3"/>
  </r>
  <r>
    <x v="504"/>
    <x v="1"/>
    <x v="2"/>
    <x v="1"/>
    <x v="1"/>
    <x v="2"/>
    <x v="0"/>
    <x v="0"/>
    <x v="0"/>
    <x v="0"/>
    <x v="0"/>
    <x v="0"/>
    <x v="0"/>
    <x v="14"/>
    <x v="505"/>
    <x v="6"/>
    <x v="29"/>
    <x v="0"/>
    <x v="505"/>
    <x v="505"/>
    <x v="104"/>
    <x v="63"/>
    <x v="163"/>
    <x v="335"/>
    <x v="431"/>
    <x v="192"/>
    <x v="285"/>
    <x v="404"/>
    <x v="486"/>
    <x v="446"/>
    <x v="452"/>
    <x v="485"/>
    <x v="496"/>
    <x v="163"/>
    <x v="496"/>
    <x v="0"/>
    <x v="1"/>
    <x v="0"/>
    <x v="496"/>
    <x v="0"/>
    <x v="299"/>
    <x v="0"/>
    <x v="3"/>
  </r>
  <r>
    <x v="505"/>
    <x v="1"/>
    <x v="2"/>
    <x v="1"/>
    <x v="1"/>
    <x v="2"/>
    <x v="0"/>
    <x v="0"/>
    <x v="0"/>
    <x v="0"/>
    <x v="0"/>
    <x v="0"/>
    <x v="0"/>
    <x v="46"/>
    <x v="506"/>
    <x v="5"/>
    <x v="65"/>
    <x v="0"/>
    <x v="506"/>
    <x v="506"/>
    <x v="0"/>
    <x v="0"/>
    <x v="0"/>
    <x v="1"/>
    <x v="432"/>
    <x v="0"/>
    <x v="0"/>
    <x v="1"/>
    <x v="487"/>
    <x v="492"/>
    <x v="1"/>
    <x v="486"/>
    <x v="497"/>
    <x v="0"/>
    <x v="497"/>
    <x v="0"/>
    <x v="1"/>
    <x v="0"/>
    <x v="497"/>
    <x v="1"/>
    <x v="0"/>
    <x v="0"/>
    <x v="3"/>
  </r>
  <r>
    <x v="506"/>
    <x v="0"/>
    <x v="2"/>
    <x v="2"/>
    <x v="42"/>
    <x v="95"/>
    <x v="2"/>
    <x v="0"/>
    <x v="0"/>
    <x v="0"/>
    <x v="0"/>
    <x v="0"/>
    <x v="0"/>
    <x v="17"/>
    <x v="507"/>
    <x v="9"/>
    <x v="22"/>
    <x v="0"/>
    <x v="507"/>
    <x v="507"/>
    <x v="0"/>
    <x v="0"/>
    <x v="0"/>
    <x v="349"/>
    <x v="433"/>
    <x v="0"/>
    <x v="0"/>
    <x v="380"/>
    <x v="488"/>
    <x v="493"/>
    <x v="453"/>
    <x v="487"/>
    <x v="498"/>
    <x v="0"/>
    <x v="498"/>
    <x v="0"/>
    <x v="1"/>
    <x v="0"/>
    <x v="498"/>
    <x v="0"/>
    <x v="0"/>
    <x v="0"/>
    <x v="3"/>
  </r>
  <r>
    <x v="507"/>
    <x v="1"/>
    <x v="2"/>
    <x v="1"/>
    <x v="1"/>
    <x v="2"/>
    <x v="0"/>
    <x v="0"/>
    <x v="0"/>
    <x v="0"/>
    <x v="0"/>
    <x v="0"/>
    <x v="0"/>
    <x v="22"/>
    <x v="508"/>
    <x v="9"/>
    <x v="22"/>
    <x v="0"/>
    <x v="508"/>
    <x v="508"/>
    <x v="0"/>
    <x v="0"/>
    <x v="0"/>
    <x v="350"/>
    <x v="434"/>
    <x v="0"/>
    <x v="0"/>
    <x v="407"/>
    <x v="428"/>
    <x v="494"/>
    <x v="454"/>
    <x v="488"/>
    <x v="499"/>
    <x v="0"/>
    <x v="499"/>
    <x v="0"/>
    <x v="1"/>
    <x v="0"/>
    <x v="499"/>
    <x v="0"/>
    <x v="0"/>
    <x v="0"/>
    <x v="3"/>
  </r>
  <r>
    <x v="508"/>
    <x v="1"/>
    <x v="2"/>
    <x v="1"/>
    <x v="1"/>
    <x v="2"/>
    <x v="0"/>
    <x v="0"/>
    <x v="0"/>
    <x v="0"/>
    <x v="0"/>
    <x v="0"/>
    <x v="0"/>
    <x v="14"/>
    <x v="509"/>
    <x v="6"/>
    <x v="26"/>
    <x v="0"/>
    <x v="509"/>
    <x v="509"/>
    <x v="216"/>
    <x v="185"/>
    <x v="240"/>
    <x v="1"/>
    <x v="435"/>
    <x v="0"/>
    <x v="286"/>
    <x v="1"/>
    <x v="489"/>
    <x v="495"/>
    <x v="455"/>
    <x v="489"/>
    <x v="500"/>
    <x v="240"/>
    <x v="500"/>
    <x v="0"/>
    <x v="1"/>
    <x v="0"/>
    <x v="500"/>
    <x v="0"/>
    <x v="300"/>
    <x v="0"/>
    <x v="3"/>
  </r>
  <r>
    <x v="509"/>
    <x v="1"/>
    <x v="2"/>
    <x v="1"/>
    <x v="1"/>
    <x v="2"/>
    <x v="0"/>
    <x v="0"/>
    <x v="0"/>
    <x v="0"/>
    <x v="0"/>
    <x v="0"/>
    <x v="0"/>
    <x v="4"/>
    <x v="510"/>
    <x v="10"/>
    <x v="39"/>
    <x v="0"/>
    <x v="510"/>
    <x v="510"/>
    <x v="217"/>
    <x v="126"/>
    <x v="78"/>
    <x v="1"/>
    <x v="436"/>
    <x v="0"/>
    <x v="287"/>
    <x v="1"/>
    <x v="490"/>
    <x v="496"/>
    <x v="456"/>
    <x v="490"/>
    <x v="500"/>
    <x v="78"/>
    <x v="500"/>
    <x v="0"/>
    <x v="1"/>
    <x v="0"/>
    <x v="500"/>
    <x v="1"/>
    <x v="301"/>
    <x v="0"/>
    <x v="3"/>
  </r>
  <r>
    <x v="510"/>
    <x v="0"/>
    <x v="2"/>
    <x v="0"/>
    <x v="1"/>
    <x v="2"/>
    <x v="2"/>
    <x v="0"/>
    <x v="0"/>
    <x v="0"/>
    <x v="0"/>
    <x v="0"/>
    <x v="0"/>
    <x v="2"/>
    <x v="511"/>
    <x v="7"/>
    <x v="16"/>
    <x v="0"/>
    <x v="511"/>
    <x v="511"/>
    <x v="218"/>
    <x v="206"/>
    <x v="241"/>
    <x v="1"/>
    <x v="85"/>
    <x v="0"/>
    <x v="288"/>
    <x v="1"/>
    <x v="491"/>
    <x v="497"/>
    <x v="457"/>
    <x v="491"/>
    <x v="501"/>
    <x v="241"/>
    <x v="501"/>
    <x v="0"/>
    <x v="1"/>
    <x v="0"/>
    <x v="501"/>
    <x v="0"/>
    <x v="302"/>
    <x v="0"/>
    <x v="3"/>
  </r>
  <r>
    <x v="511"/>
    <x v="1"/>
    <x v="2"/>
    <x v="1"/>
    <x v="1"/>
    <x v="2"/>
    <x v="0"/>
    <x v="0"/>
    <x v="0"/>
    <x v="0"/>
    <x v="0"/>
    <x v="0"/>
    <x v="0"/>
    <x v="7"/>
    <x v="512"/>
    <x v="6"/>
    <x v="29"/>
    <x v="0"/>
    <x v="512"/>
    <x v="512"/>
    <x v="0"/>
    <x v="0"/>
    <x v="0"/>
    <x v="1"/>
    <x v="437"/>
    <x v="0"/>
    <x v="0"/>
    <x v="1"/>
    <x v="492"/>
    <x v="498"/>
    <x v="1"/>
    <x v="492"/>
    <x v="502"/>
    <x v="0"/>
    <x v="502"/>
    <x v="0"/>
    <x v="1"/>
    <x v="0"/>
    <x v="502"/>
    <x v="1"/>
    <x v="0"/>
    <x v="0"/>
    <x v="3"/>
  </r>
  <r>
    <x v="512"/>
    <x v="1"/>
    <x v="1"/>
    <x v="1"/>
    <x v="1"/>
    <x v="96"/>
    <x v="0"/>
    <x v="1"/>
    <x v="0"/>
    <x v="0"/>
    <x v="0"/>
    <x v="0"/>
    <x v="0"/>
    <x v="6"/>
    <x v="513"/>
    <x v="5"/>
    <x v="31"/>
    <x v="0"/>
    <x v="513"/>
    <x v="513"/>
    <x v="162"/>
    <x v="63"/>
    <x v="165"/>
    <x v="351"/>
    <x v="438"/>
    <x v="0"/>
    <x v="162"/>
    <x v="408"/>
    <x v="493"/>
    <x v="499"/>
    <x v="54"/>
    <x v="493"/>
    <x v="503"/>
    <x v="165"/>
    <x v="503"/>
    <x v="0"/>
    <x v="1"/>
    <x v="0"/>
    <x v="503"/>
    <x v="0"/>
    <x v="303"/>
    <x v="0"/>
    <x v="3"/>
  </r>
  <r>
    <x v="513"/>
    <x v="1"/>
    <x v="2"/>
    <x v="1"/>
    <x v="1"/>
    <x v="2"/>
    <x v="0"/>
    <x v="0"/>
    <x v="0"/>
    <x v="0"/>
    <x v="0"/>
    <x v="0"/>
    <x v="0"/>
    <x v="22"/>
    <x v="514"/>
    <x v="9"/>
    <x v="22"/>
    <x v="0"/>
    <x v="514"/>
    <x v="514"/>
    <x v="0"/>
    <x v="0"/>
    <x v="0"/>
    <x v="352"/>
    <x v="431"/>
    <x v="0"/>
    <x v="0"/>
    <x v="409"/>
    <x v="494"/>
    <x v="500"/>
    <x v="458"/>
    <x v="494"/>
    <x v="504"/>
    <x v="0"/>
    <x v="504"/>
    <x v="0"/>
    <x v="1"/>
    <x v="0"/>
    <x v="504"/>
    <x v="0"/>
    <x v="0"/>
    <x v="0"/>
    <x v="3"/>
  </r>
  <r>
    <x v="514"/>
    <x v="0"/>
    <x v="2"/>
    <x v="0"/>
    <x v="1"/>
    <x v="2"/>
    <x v="2"/>
    <x v="0"/>
    <x v="0"/>
    <x v="0"/>
    <x v="0"/>
    <x v="0"/>
    <x v="0"/>
    <x v="41"/>
    <x v="515"/>
    <x v="7"/>
    <x v="16"/>
    <x v="0"/>
    <x v="515"/>
    <x v="515"/>
    <x v="210"/>
    <x v="207"/>
    <x v="242"/>
    <x v="1"/>
    <x v="71"/>
    <x v="193"/>
    <x v="200"/>
    <x v="410"/>
    <x v="495"/>
    <x v="484"/>
    <x v="459"/>
    <x v="475"/>
    <x v="505"/>
    <x v="242"/>
    <x v="505"/>
    <x v="0"/>
    <x v="1"/>
    <x v="0"/>
    <x v="505"/>
    <x v="0"/>
    <x v="304"/>
    <x v="0"/>
    <x v="3"/>
  </r>
  <r>
    <x v="515"/>
    <x v="1"/>
    <x v="2"/>
    <x v="1"/>
    <x v="1"/>
    <x v="2"/>
    <x v="0"/>
    <x v="0"/>
    <x v="0"/>
    <x v="0"/>
    <x v="0"/>
    <x v="0"/>
    <x v="0"/>
    <x v="6"/>
    <x v="516"/>
    <x v="5"/>
    <x v="23"/>
    <x v="0"/>
    <x v="516"/>
    <x v="516"/>
    <x v="219"/>
    <x v="156"/>
    <x v="128"/>
    <x v="1"/>
    <x v="71"/>
    <x v="194"/>
    <x v="289"/>
    <x v="411"/>
    <x v="496"/>
    <x v="501"/>
    <x v="460"/>
    <x v="495"/>
    <x v="506"/>
    <x v="128"/>
    <x v="506"/>
    <x v="0"/>
    <x v="1"/>
    <x v="0"/>
    <x v="506"/>
    <x v="0"/>
    <x v="305"/>
    <x v="0"/>
    <x v="3"/>
  </r>
  <r>
    <x v="516"/>
    <x v="0"/>
    <x v="2"/>
    <x v="0"/>
    <x v="1"/>
    <x v="2"/>
    <x v="2"/>
    <x v="0"/>
    <x v="0"/>
    <x v="0"/>
    <x v="0"/>
    <x v="0"/>
    <x v="0"/>
    <x v="25"/>
    <x v="517"/>
    <x v="7"/>
    <x v="16"/>
    <x v="0"/>
    <x v="517"/>
    <x v="517"/>
    <x v="220"/>
    <x v="208"/>
    <x v="243"/>
    <x v="353"/>
    <x v="293"/>
    <x v="0"/>
    <x v="290"/>
    <x v="412"/>
    <x v="497"/>
    <x v="502"/>
    <x v="461"/>
    <x v="496"/>
    <x v="507"/>
    <x v="243"/>
    <x v="507"/>
    <x v="0"/>
    <x v="1"/>
    <x v="0"/>
    <x v="507"/>
    <x v="0"/>
    <x v="306"/>
    <x v="0"/>
    <x v="3"/>
  </r>
  <r>
    <x v="517"/>
    <x v="1"/>
    <x v="2"/>
    <x v="1"/>
    <x v="1"/>
    <x v="2"/>
    <x v="0"/>
    <x v="0"/>
    <x v="0"/>
    <x v="0"/>
    <x v="0"/>
    <x v="0"/>
    <x v="0"/>
    <x v="1"/>
    <x v="518"/>
    <x v="1"/>
    <x v="13"/>
    <x v="1"/>
    <x v="518"/>
    <x v="518"/>
    <x v="0"/>
    <x v="0"/>
    <x v="0"/>
    <x v="354"/>
    <x v="439"/>
    <x v="0"/>
    <x v="0"/>
    <x v="413"/>
    <x v="498"/>
    <x v="503"/>
    <x v="462"/>
    <x v="497"/>
    <x v="508"/>
    <x v="0"/>
    <x v="508"/>
    <x v="0"/>
    <x v="1"/>
    <x v="0"/>
    <x v="508"/>
    <x v="0"/>
    <x v="0"/>
    <x v="0"/>
    <x v="3"/>
  </r>
  <r>
    <x v="518"/>
    <x v="0"/>
    <x v="2"/>
    <x v="0"/>
    <x v="1"/>
    <x v="2"/>
    <x v="0"/>
    <x v="0"/>
    <x v="0"/>
    <x v="0"/>
    <x v="0"/>
    <x v="0"/>
    <x v="0"/>
    <x v="16"/>
    <x v="519"/>
    <x v="10"/>
    <x v="44"/>
    <x v="0"/>
    <x v="519"/>
    <x v="519"/>
    <x v="221"/>
    <x v="197"/>
    <x v="7"/>
    <x v="1"/>
    <x v="71"/>
    <x v="195"/>
    <x v="291"/>
    <x v="414"/>
    <x v="499"/>
    <x v="504"/>
    <x v="463"/>
    <x v="488"/>
    <x v="509"/>
    <x v="7"/>
    <x v="509"/>
    <x v="0"/>
    <x v="1"/>
    <x v="0"/>
    <x v="509"/>
    <x v="0"/>
    <x v="307"/>
    <x v="0"/>
    <x v="3"/>
  </r>
  <r>
    <x v="519"/>
    <x v="0"/>
    <x v="0"/>
    <x v="0"/>
    <x v="1"/>
    <x v="97"/>
    <x v="1"/>
    <x v="0"/>
    <x v="0"/>
    <x v="0"/>
    <x v="0"/>
    <x v="0"/>
    <x v="0"/>
    <x v="11"/>
    <x v="520"/>
    <x v="8"/>
    <x v="14"/>
    <x v="0"/>
    <x v="520"/>
    <x v="520"/>
    <x v="0"/>
    <x v="152"/>
    <x v="150"/>
    <x v="1"/>
    <x v="440"/>
    <x v="0"/>
    <x v="292"/>
    <x v="1"/>
    <x v="483"/>
    <x v="490"/>
    <x v="1"/>
    <x v="498"/>
    <x v="510"/>
    <x v="150"/>
    <x v="510"/>
    <x v="0"/>
    <x v="1"/>
    <x v="0"/>
    <x v="510"/>
    <x v="1"/>
    <x v="308"/>
    <x v="0"/>
    <x v="3"/>
  </r>
  <r>
    <x v="520"/>
    <x v="0"/>
    <x v="2"/>
    <x v="3"/>
    <x v="43"/>
    <x v="2"/>
    <x v="0"/>
    <x v="0"/>
    <x v="0"/>
    <x v="0"/>
    <x v="0"/>
    <x v="0"/>
    <x v="0"/>
    <x v="41"/>
    <x v="521"/>
    <x v="7"/>
    <x v="27"/>
    <x v="0"/>
    <x v="521"/>
    <x v="521"/>
    <x v="97"/>
    <x v="152"/>
    <x v="164"/>
    <x v="355"/>
    <x v="441"/>
    <x v="191"/>
    <x v="293"/>
    <x v="415"/>
    <x v="500"/>
    <x v="505"/>
    <x v="464"/>
    <x v="499"/>
    <x v="511"/>
    <x v="164"/>
    <x v="511"/>
    <x v="0"/>
    <x v="1"/>
    <x v="0"/>
    <x v="511"/>
    <x v="0"/>
    <x v="309"/>
    <x v="0"/>
    <x v="3"/>
  </r>
  <r>
    <x v="521"/>
    <x v="1"/>
    <x v="2"/>
    <x v="1"/>
    <x v="1"/>
    <x v="2"/>
    <x v="0"/>
    <x v="0"/>
    <x v="0"/>
    <x v="0"/>
    <x v="0"/>
    <x v="0"/>
    <x v="0"/>
    <x v="20"/>
    <x v="522"/>
    <x v="5"/>
    <x v="12"/>
    <x v="0"/>
    <x v="522"/>
    <x v="522"/>
    <x v="63"/>
    <x v="100"/>
    <x v="236"/>
    <x v="356"/>
    <x v="442"/>
    <x v="196"/>
    <x v="262"/>
    <x v="416"/>
    <x v="501"/>
    <x v="506"/>
    <x v="445"/>
    <x v="500"/>
    <x v="512"/>
    <x v="236"/>
    <x v="512"/>
    <x v="0"/>
    <x v="1"/>
    <x v="0"/>
    <x v="512"/>
    <x v="0"/>
    <x v="310"/>
    <x v="0"/>
    <x v="3"/>
  </r>
  <r>
    <x v="522"/>
    <x v="1"/>
    <x v="2"/>
    <x v="1"/>
    <x v="1"/>
    <x v="2"/>
    <x v="0"/>
    <x v="0"/>
    <x v="0"/>
    <x v="0"/>
    <x v="0"/>
    <x v="0"/>
    <x v="0"/>
    <x v="6"/>
    <x v="523"/>
    <x v="5"/>
    <x v="31"/>
    <x v="0"/>
    <x v="523"/>
    <x v="523"/>
    <x v="153"/>
    <x v="145"/>
    <x v="163"/>
    <x v="346"/>
    <x v="443"/>
    <x v="0"/>
    <x v="211"/>
    <x v="402"/>
    <x v="502"/>
    <x v="507"/>
    <x v="465"/>
    <x v="501"/>
    <x v="512"/>
    <x v="163"/>
    <x v="512"/>
    <x v="0"/>
    <x v="1"/>
    <x v="0"/>
    <x v="512"/>
    <x v="0"/>
    <x v="311"/>
    <x v="0"/>
    <x v="3"/>
  </r>
  <r>
    <x v="523"/>
    <x v="1"/>
    <x v="2"/>
    <x v="1"/>
    <x v="1"/>
    <x v="2"/>
    <x v="0"/>
    <x v="0"/>
    <x v="0"/>
    <x v="0"/>
    <x v="0"/>
    <x v="0"/>
    <x v="0"/>
    <x v="7"/>
    <x v="524"/>
    <x v="6"/>
    <x v="26"/>
    <x v="0"/>
    <x v="524"/>
    <x v="524"/>
    <x v="131"/>
    <x v="133"/>
    <x v="213"/>
    <x v="357"/>
    <x v="444"/>
    <x v="0"/>
    <x v="294"/>
    <x v="417"/>
    <x v="503"/>
    <x v="508"/>
    <x v="356"/>
    <x v="502"/>
    <x v="513"/>
    <x v="213"/>
    <x v="513"/>
    <x v="0"/>
    <x v="1"/>
    <x v="0"/>
    <x v="513"/>
    <x v="1"/>
    <x v="312"/>
    <x v="0"/>
    <x v="3"/>
  </r>
  <r>
    <x v="524"/>
    <x v="1"/>
    <x v="2"/>
    <x v="1"/>
    <x v="1"/>
    <x v="2"/>
    <x v="0"/>
    <x v="0"/>
    <x v="0"/>
    <x v="0"/>
    <x v="0"/>
    <x v="0"/>
    <x v="0"/>
    <x v="16"/>
    <x v="525"/>
    <x v="10"/>
    <x v="21"/>
    <x v="0"/>
    <x v="525"/>
    <x v="525"/>
    <x v="222"/>
    <x v="189"/>
    <x v="244"/>
    <x v="1"/>
    <x v="445"/>
    <x v="0"/>
    <x v="275"/>
    <x v="1"/>
    <x v="504"/>
    <x v="509"/>
    <x v="466"/>
    <x v="503"/>
    <x v="514"/>
    <x v="244"/>
    <x v="514"/>
    <x v="0"/>
    <x v="1"/>
    <x v="0"/>
    <x v="514"/>
    <x v="0"/>
    <x v="313"/>
    <x v="0"/>
    <x v="3"/>
  </r>
  <r>
    <x v="525"/>
    <x v="1"/>
    <x v="2"/>
    <x v="1"/>
    <x v="1"/>
    <x v="2"/>
    <x v="0"/>
    <x v="0"/>
    <x v="0"/>
    <x v="0"/>
    <x v="0"/>
    <x v="0"/>
    <x v="0"/>
    <x v="6"/>
    <x v="526"/>
    <x v="16"/>
    <x v="49"/>
    <x v="0"/>
    <x v="526"/>
    <x v="526"/>
    <x v="4"/>
    <x v="188"/>
    <x v="82"/>
    <x v="358"/>
    <x v="446"/>
    <x v="197"/>
    <x v="120"/>
    <x v="418"/>
    <x v="505"/>
    <x v="510"/>
    <x v="467"/>
    <x v="504"/>
    <x v="515"/>
    <x v="82"/>
    <x v="515"/>
    <x v="0"/>
    <x v="1"/>
    <x v="0"/>
    <x v="515"/>
    <x v="0"/>
    <x v="314"/>
    <x v="0"/>
    <x v="3"/>
  </r>
  <r>
    <x v="526"/>
    <x v="2"/>
    <x v="2"/>
    <x v="3"/>
    <x v="1"/>
    <x v="63"/>
    <x v="1"/>
    <x v="0"/>
    <x v="0"/>
    <x v="0"/>
    <x v="0"/>
    <x v="0"/>
    <x v="0"/>
    <x v="12"/>
    <x v="527"/>
    <x v="2"/>
    <x v="2"/>
    <x v="0"/>
    <x v="527"/>
    <x v="527"/>
    <x v="0"/>
    <x v="0"/>
    <x v="0"/>
    <x v="359"/>
    <x v="413"/>
    <x v="0"/>
    <x v="0"/>
    <x v="419"/>
    <x v="506"/>
    <x v="506"/>
    <x v="459"/>
    <x v="505"/>
    <x v="516"/>
    <x v="0"/>
    <x v="516"/>
    <x v="0"/>
    <x v="1"/>
    <x v="0"/>
    <x v="516"/>
    <x v="0"/>
    <x v="0"/>
    <x v="0"/>
    <x v="3"/>
  </r>
  <r>
    <x v="527"/>
    <x v="0"/>
    <x v="2"/>
    <x v="0"/>
    <x v="1"/>
    <x v="2"/>
    <x v="2"/>
    <x v="0"/>
    <x v="0"/>
    <x v="0"/>
    <x v="0"/>
    <x v="0"/>
    <x v="0"/>
    <x v="12"/>
    <x v="528"/>
    <x v="7"/>
    <x v="16"/>
    <x v="0"/>
    <x v="528"/>
    <x v="528"/>
    <x v="197"/>
    <x v="209"/>
    <x v="245"/>
    <x v="1"/>
    <x v="447"/>
    <x v="198"/>
    <x v="184"/>
    <x v="420"/>
    <x v="507"/>
    <x v="511"/>
    <x v="468"/>
    <x v="506"/>
    <x v="517"/>
    <x v="245"/>
    <x v="517"/>
    <x v="0"/>
    <x v="1"/>
    <x v="0"/>
    <x v="517"/>
    <x v="0"/>
    <x v="315"/>
    <x v="0"/>
    <x v="3"/>
  </r>
  <r>
    <x v="528"/>
    <x v="0"/>
    <x v="2"/>
    <x v="0"/>
    <x v="1"/>
    <x v="2"/>
    <x v="0"/>
    <x v="0"/>
    <x v="0"/>
    <x v="0"/>
    <x v="0"/>
    <x v="0"/>
    <x v="0"/>
    <x v="21"/>
    <x v="529"/>
    <x v="11"/>
    <x v="33"/>
    <x v="0"/>
    <x v="529"/>
    <x v="529"/>
    <x v="164"/>
    <x v="133"/>
    <x v="169"/>
    <x v="1"/>
    <x v="71"/>
    <x v="184"/>
    <x v="295"/>
    <x v="421"/>
    <x v="508"/>
    <x v="512"/>
    <x v="469"/>
    <x v="477"/>
    <x v="518"/>
    <x v="169"/>
    <x v="518"/>
    <x v="0"/>
    <x v="1"/>
    <x v="0"/>
    <x v="518"/>
    <x v="0"/>
    <x v="316"/>
    <x v="0"/>
    <x v="3"/>
  </r>
  <r>
    <x v="529"/>
    <x v="1"/>
    <x v="2"/>
    <x v="1"/>
    <x v="1"/>
    <x v="2"/>
    <x v="0"/>
    <x v="0"/>
    <x v="0"/>
    <x v="0"/>
    <x v="0"/>
    <x v="0"/>
    <x v="0"/>
    <x v="16"/>
    <x v="530"/>
    <x v="10"/>
    <x v="37"/>
    <x v="0"/>
    <x v="530"/>
    <x v="530"/>
    <x v="8"/>
    <x v="210"/>
    <x v="237"/>
    <x v="1"/>
    <x v="448"/>
    <x v="0"/>
    <x v="296"/>
    <x v="1"/>
    <x v="509"/>
    <x v="513"/>
    <x v="470"/>
    <x v="507"/>
    <x v="519"/>
    <x v="237"/>
    <x v="519"/>
    <x v="0"/>
    <x v="1"/>
    <x v="0"/>
    <x v="519"/>
    <x v="1"/>
    <x v="317"/>
    <x v="0"/>
    <x v="3"/>
  </r>
  <r>
    <x v="530"/>
    <x v="0"/>
    <x v="2"/>
    <x v="0"/>
    <x v="1"/>
    <x v="98"/>
    <x v="2"/>
    <x v="2"/>
    <x v="0"/>
    <x v="0"/>
    <x v="0"/>
    <x v="0"/>
    <x v="0"/>
    <x v="30"/>
    <x v="531"/>
    <x v="0"/>
    <x v="0"/>
    <x v="0"/>
    <x v="531"/>
    <x v="531"/>
    <x v="49"/>
    <x v="4"/>
    <x v="246"/>
    <x v="1"/>
    <x v="449"/>
    <x v="0"/>
    <x v="297"/>
    <x v="1"/>
    <x v="510"/>
    <x v="510"/>
    <x v="356"/>
    <x v="508"/>
    <x v="520"/>
    <x v="246"/>
    <x v="520"/>
    <x v="0"/>
    <x v="1"/>
    <x v="0"/>
    <x v="520"/>
    <x v="1"/>
    <x v="318"/>
    <x v="0"/>
    <x v="3"/>
  </r>
  <r>
    <x v="531"/>
    <x v="1"/>
    <x v="2"/>
    <x v="1"/>
    <x v="1"/>
    <x v="2"/>
    <x v="0"/>
    <x v="0"/>
    <x v="0"/>
    <x v="0"/>
    <x v="0"/>
    <x v="0"/>
    <x v="0"/>
    <x v="6"/>
    <x v="532"/>
    <x v="5"/>
    <x v="31"/>
    <x v="0"/>
    <x v="532"/>
    <x v="532"/>
    <x v="0"/>
    <x v="0"/>
    <x v="0"/>
    <x v="360"/>
    <x v="450"/>
    <x v="0"/>
    <x v="0"/>
    <x v="422"/>
    <x v="439"/>
    <x v="514"/>
    <x v="471"/>
    <x v="509"/>
    <x v="520"/>
    <x v="0"/>
    <x v="520"/>
    <x v="0"/>
    <x v="1"/>
    <x v="0"/>
    <x v="520"/>
    <x v="0"/>
    <x v="0"/>
    <x v="0"/>
    <x v="3"/>
  </r>
  <r>
    <x v="532"/>
    <x v="0"/>
    <x v="0"/>
    <x v="0"/>
    <x v="1"/>
    <x v="99"/>
    <x v="1"/>
    <x v="0"/>
    <x v="0"/>
    <x v="0"/>
    <x v="0"/>
    <x v="0"/>
    <x v="0"/>
    <x v="11"/>
    <x v="533"/>
    <x v="8"/>
    <x v="14"/>
    <x v="0"/>
    <x v="533"/>
    <x v="533"/>
    <x v="114"/>
    <x v="63"/>
    <x v="135"/>
    <x v="1"/>
    <x v="451"/>
    <x v="0"/>
    <x v="239"/>
    <x v="1"/>
    <x v="511"/>
    <x v="515"/>
    <x v="472"/>
    <x v="352"/>
    <x v="521"/>
    <x v="135"/>
    <x v="521"/>
    <x v="0"/>
    <x v="1"/>
    <x v="0"/>
    <x v="521"/>
    <x v="1"/>
    <x v="319"/>
    <x v="0"/>
    <x v="3"/>
  </r>
  <r>
    <x v="533"/>
    <x v="0"/>
    <x v="2"/>
    <x v="0"/>
    <x v="1"/>
    <x v="2"/>
    <x v="2"/>
    <x v="0"/>
    <x v="0"/>
    <x v="0"/>
    <x v="0"/>
    <x v="0"/>
    <x v="0"/>
    <x v="33"/>
    <x v="534"/>
    <x v="7"/>
    <x v="38"/>
    <x v="0"/>
    <x v="534"/>
    <x v="534"/>
    <x v="191"/>
    <x v="211"/>
    <x v="187"/>
    <x v="361"/>
    <x v="452"/>
    <x v="199"/>
    <x v="298"/>
    <x v="423"/>
    <x v="512"/>
    <x v="516"/>
    <x v="473"/>
    <x v="510"/>
    <x v="522"/>
    <x v="187"/>
    <x v="522"/>
    <x v="0"/>
    <x v="1"/>
    <x v="0"/>
    <x v="522"/>
    <x v="0"/>
    <x v="320"/>
    <x v="0"/>
    <x v="3"/>
  </r>
  <r>
    <x v="534"/>
    <x v="1"/>
    <x v="2"/>
    <x v="1"/>
    <x v="1"/>
    <x v="2"/>
    <x v="0"/>
    <x v="0"/>
    <x v="0"/>
    <x v="0"/>
    <x v="0"/>
    <x v="0"/>
    <x v="0"/>
    <x v="4"/>
    <x v="535"/>
    <x v="10"/>
    <x v="39"/>
    <x v="0"/>
    <x v="535"/>
    <x v="535"/>
    <x v="92"/>
    <x v="133"/>
    <x v="247"/>
    <x v="361"/>
    <x v="453"/>
    <x v="200"/>
    <x v="252"/>
    <x v="424"/>
    <x v="513"/>
    <x v="517"/>
    <x v="474"/>
    <x v="511"/>
    <x v="523"/>
    <x v="247"/>
    <x v="523"/>
    <x v="0"/>
    <x v="1"/>
    <x v="0"/>
    <x v="523"/>
    <x v="0"/>
    <x v="321"/>
    <x v="0"/>
    <x v="3"/>
  </r>
  <r>
    <x v="535"/>
    <x v="0"/>
    <x v="4"/>
    <x v="0"/>
    <x v="1"/>
    <x v="100"/>
    <x v="1"/>
    <x v="0"/>
    <x v="0"/>
    <x v="0"/>
    <x v="0"/>
    <x v="0"/>
    <x v="0"/>
    <x v="22"/>
    <x v="536"/>
    <x v="7"/>
    <x v="27"/>
    <x v="0"/>
    <x v="536"/>
    <x v="536"/>
    <x v="0"/>
    <x v="0"/>
    <x v="0"/>
    <x v="362"/>
    <x v="412"/>
    <x v="0"/>
    <x v="0"/>
    <x v="425"/>
    <x v="462"/>
    <x v="518"/>
    <x v="475"/>
    <x v="460"/>
    <x v="524"/>
    <x v="0"/>
    <x v="524"/>
    <x v="0"/>
    <x v="1"/>
    <x v="0"/>
    <x v="524"/>
    <x v="0"/>
    <x v="0"/>
    <x v="0"/>
    <x v="3"/>
  </r>
  <r>
    <x v="536"/>
    <x v="1"/>
    <x v="2"/>
    <x v="1"/>
    <x v="1"/>
    <x v="2"/>
    <x v="0"/>
    <x v="0"/>
    <x v="0"/>
    <x v="0"/>
    <x v="0"/>
    <x v="0"/>
    <x v="0"/>
    <x v="1"/>
    <x v="537"/>
    <x v="1"/>
    <x v="47"/>
    <x v="0"/>
    <x v="537"/>
    <x v="537"/>
    <x v="0"/>
    <x v="0"/>
    <x v="0"/>
    <x v="1"/>
    <x v="71"/>
    <x v="201"/>
    <x v="299"/>
    <x v="426"/>
    <x v="514"/>
    <x v="501"/>
    <x v="476"/>
    <x v="512"/>
    <x v="525"/>
    <x v="0"/>
    <x v="525"/>
    <x v="0"/>
    <x v="1"/>
    <x v="0"/>
    <x v="525"/>
    <x v="0"/>
    <x v="0"/>
    <x v="0"/>
    <x v="3"/>
  </r>
  <r>
    <x v="537"/>
    <x v="1"/>
    <x v="2"/>
    <x v="1"/>
    <x v="1"/>
    <x v="2"/>
    <x v="0"/>
    <x v="0"/>
    <x v="0"/>
    <x v="0"/>
    <x v="0"/>
    <x v="0"/>
    <x v="0"/>
    <x v="30"/>
    <x v="538"/>
    <x v="10"/>
    <x v="37"/>
    <x v="0"/>
    <x v="538"/>
    <x v="538"/>
    <x v="92"/>
    <x v="126"/>
    <x v="248"/>
    <x v="1"/>
    <x v="313"/>
    <x v="0"/>
    <x v="300"/>
    <x v="1"/>
    <x v="515"/>
    <x v="519"/>
    <x v="477"/>
    <x v="513"/>
    <x v="526"/>
    <x v="248"/>
    <x v="526"/>
    <x v="0"/>
    <x v="1"/>
    <x v="0"/>
    <x v="526"/>
    <x v="1"/>
    <x v="322"/>
    <x v="0"/>
    <x v="3"/>
  </r>
  <r>
    <x v="538"/>
    <x v="1"/>
    <x v="2"/>
    <x v="1"/>
    <x v="1"/>
    <x v="2"/>
    <x v="0"/>
    <x v="0"/>
    <x v="0"/>
    <x v="0"/>
    <x v="0"/>
    <x v="0"/>
    <x v="0"/>
    <x v="1"/>
    <x v="539"/>
    <x v="1"/>
    <x v="47"/>
    <x v="1"/>
    <x v="539"/>
    <x v="539"/>
    <x v="51"/>
    <x v="202"/>
    <x v="249"/>
    <x v="1"/>
    <x v="71"/>
    <x v="28"/>
    <x v="301"/>
    <x v="427"/>
    <x v="516"/>
    <x v="520"/>
    <x v="478"/>
    <x v="514"/>
    <x v="527"/>
    <x v="249"/>
    <x v="527"/>
    <x v="0"/>
    <x v="1"/>
    <x v="0"/>
    <x v="527"/>
    <x v="0"/>
    <x v="323"/>
    <x v="0"/>
    <x v="3"/>
  </r>
  <r>
    <x v="539"/>
    <x v="1"/>
    <x v="1"/>
    <x v="1"/>
    <x v="1"/>
    <x v="96"/>
    <x v="0"/>
    <x v="1"/>
    <x v="0"/>
    <x v="0"/>
    <x v="0"/>
    <x v="0"/>
    <x v="0"/>
    <x v="6"/>
    <x v="540"/>
    <x v="5"/>
    <x v="31"/>
    <x v="0"/>
    <x v="540"/>
    <x v="540"/>
    <x v="97"/>
    <x v="145"/>
    <x v="154"/>
    <x v="363"/>
    <x v="454"/>
    <x v="0"/>
    <x v="302"/>
    <x v="428"/>
    <x v="517"/>
    <x v="521"/>
    <x v="479"/>
    <x v="500"/>
    <x v="528"/>
    <x v="154"/>
    <x v="528"/>
    <x v="0"/>
    <x v="1"/>
    <x v="0"/>
    <x v="528"/>
    <x v="0"/>
    <x v="324"/>
    <x v="0"/>
    <x v="3"/>
  </r>
  <r>
    <x v="540"/>
    <x v="0"/>
    <x v="2"/>
    <x v="0"/>
    <x v="1"/>
    <x v="2"/>
    <x v="2"/>
    <x v="0"/>
    <x v="0"/>
    <x v="0"/>
    <x v="0"/>
    <x v="0"/>
    <x v="0"/>
    <x v="2"/>
    <x v="541"/>
    <x v="2"/>
    <x v="2"/>
    <x v="0"/>
    <x v="541"/>
    <x v="541"/>
    <x v="155"/>
    <x v="0"/>
    <x v="150"/>
    <x v="364"/>
    <x v="433"/>
    <x v="0"/>
    <x v="0"/>
    <x v="429"/>
    <x v="488"/>
    <x v="522"/>
    <x v="480"/>
    <x v="487"/>
    <x v="529"/>
    <x v="150"/>
    <x v="529"/>
    <x v="0"/>
    <x v="1"/>
    <x v="0"/>
    <x v="529"/>
    <x v="0"/>
    <x v="325"/>
    <x v="0"/>
    <x v="3"/>
  </r>
  <r>
    <x v="541"/>
    <x v="1"/>
    <x v="2"/>
    <x v="1"/>
    <x v="1"/>
    <x v="2"/>
    <x v="0"/>
    <x v="0"/>
    <x v="0"/>
    <x v="0"/>
    <x v="0"/>
    <x v="0"/>
    <x v="0"/>
    <x v="38"/>
    <x v="542"/>
    <x v="5"/>
    <x v="31"/>
    <x v="0"/>
    <x v="542"/>
    <x v="542"/>
    <x v="223"/>
    <x v="128"/>
    <x v="250"/>
    <x v="1"/>
    <x v="455"/>
    <x v="0"/>
    <x v="239"/>
    <x v="1"/>
    <x v="518"/>
    <x v="523"/>
    <x v="481"/>
    <x v="515"/>
    <x v="530"/>
    <x v="250"/>
    <x v="530"/>
    <x v="0"/>
    <x v="1"/>
    <x v="0"/>
    <x v="530"/>
    <x v="1"/>
    <x v="326"/>
    <x v="0"/>
    <x v="3"/>
  </r>
  <r>
    <x v="542"/>
    <x v="1"/>
    <x v="2"/>
    <x v="1"/>
    <x v="1"/>
    <x v="2"/>
    <x v="0"/>
    <x v="0"/>
    <x v="0"/>
    <x v="0"/>
    <x v="0"/>
    <x v="0"/>
    <x v="0"/>
    <x v="9"/>
    <x v="543"/>
    <x v="1"/>
    <x v="10"/>
    <x v="0"/>
    <x v="543"/>
    <x v="543"/>
    <x v="0"/>
    <x v="0"/>
    <x v="0"/>
    <x v="365"/>
    <x v="456"/>
    <x v="0"/>
    <x v="0"/>
    <x v="379"/>
    <x v="519"/>
    <x v="524"/>
    <x v="482"/>
    <x v="516"/>
    <x v="531"/>
    <x v="0"/>
    <x v="531"/>
    <x v="0"/>
    <x v="1"/>
    <x v="0"/>
    <x v="531"/>
    <x v="0"/>
    <x v="0"/>
    <x v="0"/>
    <x v="3"/>
  </r>
  <r>
    <x v="543"/>
    <x v="0"/>
    <x v="2"/>
    <x v="0"/>
    <x v="1"/>
    <x v="2"/>
    <x v="1"/>
    <x v="0"/>
    <x v="0"/>
    <x v="0"/>
    <x v="0"/>
    <x v="0"/>
    <x v="0"/>
    <x v="48"/>
    <x v="544"/>
    <x v="7"/>
    <x v="27"/>
    <x v="0"/>
    <x v="544"/>
    <x v="544"/>
    <x v="164"/>
    <x v="138"/>
    <x v="155"/>
    <x v="1"/>
    <x v="457"/>
    <x v="0"/>
    <x v="303"/>
    <x v="1"/>
    <x v="520"/>
    <x v="525"/>
    <x v="483"/>
    <x v="507"/>
    <x v="532"/>
    <x v="155"/>
    <x v="532"/>
    <x v="0"/>
    <x v="1"/>
    <x v="0"/>
    <x v="532"/>
    <x v="1"/>
    <x v="327"/>
    <x v="0"/>
    <x v="3"/>
  </r>
  <r>
    <x v="544"/>
    <x v="2"/>
    <x v="2"/>
    <x v="0"/>
    <x v="1"/>
    <x v="2"/>
    <x v="1"/>
    <x v="0"/>
    <x v="0"/>
    <x v="0"/>
    <x v="0"/>
    <x v="0"/>
    <x v="0"/>
    <x v="2"/>
    <x v="545"/>
    <x v="2"/>
    <x v="2"/>
    <x v="0"/>
    <x v="545"/>
    <x v="545"/>
    <x v="0"/>
    <x v="0"/>
    <x v="0"/>
    <x v="366"/>
    <x v="458"/>
    <x v="0"/>
    <x v="0"/>
    <x v="430"/>
    <x v="521"/>
    <x v="526"/>
    <x v="484"/>
    <x v="517"/>
    <x v="533"/>
    <x v="0"/>
    <x v="533"/>
    <x v="0"/>
    <x v="1"/>
    <x v="0"/>
    <x v="533"/>
    <x v="0"/>
    <x v="0"/>
    <x v="0"/>
    <x v="3"/>
  </r>
  <r>
    <x v="545"/>
    <x v="0"/>
    <x v="2"/>
    <x v="0"/>
    <x v="1"/>
    <x v="2"/>
    <x v="1"/>
    <x v="0"/>
    <x v="0"/>
    <x v="0"/>
    <x v="0"/>
    <x v="0"/>
    <x v="0"/>
    <x v="10"/>
    <x v="546"/>
    <x v="2"/>
    <x v="6"/>
    <x v="0"/>
    <x v="546"/>
    <x v="546"/>
    <x v="97"/>
    <x v="152"/>
    <x v="164"/>
    <x v="367"/>
    <x v="135"/>
    <x v="202"/>
    <x v="304"/>
    <x v="431"/>
    <x v="522"/>
    <x v="527"/>
    <x v="485"/>
    <x v="518"/>
    <x v="534"/>
    <x v="164"/>
    <x v="534"/>
    <x v="0"/>
    <x v="1"/>
    <x v="0"/>
    <x v="534"/>
    <x v="0"/>
    <x v="328"/>
    <x v="0"/>
    <x v="3"/>
  </r>
  <r>
    <x v="546"/>
    <x v="0"/>
    <x v="2"/>
    <x v="0"/>
    <x v="1"/>
    <x v="2"/>
    <x v="1"/>
    <x v="0"/>
    <x v="0"/>
    <x v="0"/>
    <x v="0"/>
    <x v="0"/>
    <x v="0"/>
    <x v="12"/>
    <x v="547"/>
    <x v="7"/>
    <x v="27"/>
    <x v="0"/>
    <x v="547"/>
    <x v="547"/>
    <x v="0"/>
    <x v="0"/>
    <x v="0"/>
    <x v="368"/>
    <x v="459"/>
    <x v="0"/>
    <x v="0"/>
    <x v="432"/>
    <x v="523"/>
    <x v="528"/>
    <x v="486"/>
    <x v="519"/>
    <x v="534"/>
    <x v="0"/>
    <x v="534"/>
    <x v="0"/>
    <x v="1"/>
    <x v="0"/>
    <x v="534"/>
    <x v="0"/>
    <x v="0"/>
    <x v="0"/>
    <x v="3"/>
  </r>
  <r>
    <x v="547"/>
    <x v="2"/>
    <x v="2"/>
    <x v="3"/>
    <x v="1"/>
    <x v="52"/>
    <x v="1"/>
    <x v="0"/>
    <x v="0"/>
    <x v="0"/>
    <x v="0"/>
    <x v="0"/>
    <x v="0"/>
    <x v="22"/>
    <x v="548"/>
    <x v="2"/>
    <x v="2"/>
    <x v="0"/>
    <x v="548"/>
    <x v="548"/>
    <x v="0"/>
    <x v="0"/>
    <x v="0"/>
    <x v="369"/>
    <x v="460"/>
    <x v="0"/>
    <x v="0"/>
    <x v="416"/>
    <x v="524"/>
    <x v="529"/>
    <x v="487"/>
    <x v="520"/>
    <x v="535"/>
    <x v="0"/>
    <x v="535"/>
    <x v="0"/>
    <x v="1"/>
    <x v="0"/>
    <x v="535"/>
    <x v="0"/>
    <x v="0"/>
    <x v="0"/>
    <x v="3"/>
  </r>
  <r>
    <x v="548"/>
    <x v="1"/>
    <x v="2"/>
    <x v="1"/>
    <x v="1"/>
    <x v="2"/>
    <x v="0"/>
    <x v="0"/>
    <x v="0"/>
    <x v="0"/>
    <x v="0"/>
    <x v="0"/>
    <x v="0"/>
    <x v="22"/>
    <x v="549"/>
    <x v="1"/>
    <x v="1"/>
    <x v="0"/>
    <x v="549"/>
    <x v="549"/>
    <x v="0"/>
    <x v="0"/>
    <x v="0"/>
    <x v="1"/>
    <x v="461"/>
    <x v="0"/>
    <x v="0"/>
    <x v="1"/>
    <x v="525"/>
    <x v="530"/>
    <x v="1"/>
    <x v="521"/>
    <x v="536"/>
    <x v="0"/>
    <x v="536"/>
    <x v="0"/>
    <x v="1"/>
    <x v="0"/>
    <x v="536"/>
    <x v="1"/>
    <x v="0"/>
    <x v="0"/>
    <x v="3"/>
  </r>
  <r>
    <x v="549"/>
    <x v="0"/>
    <x v="2"/>
    <x v="0"/>
    <x v="1"/>
    <x v="2"/>
    <x v="2"/>
    <x v="0"/>
    <x v="0"/>
    <x v="0"/>
    <x v="0"/>
    <x v="0"/>
    <x v="0"/>
    <x v="32"/>
    <x v="550"/>
    <x v="7"/>
    <x v="27"/>
    <x v="0"/>
    <x v="550"/>
    <x v="550"/>
    <x v="224"/>
    <x v="212"/>
    <x v="251"/>
    <x v="1"/>
    <x v="408"/>
    <x v="0"/>
    <x v="305"/>
    <x v="1"/>
    <x v="526"/>
    <x v="531"/>
    <x v="488"/>
    <x v="522"/>
    <x v="537"/>
    <x v="251"/>
    <x v="537"/>
    <x v="0"/>
    <x v="1"/>
    <x v="0"/>
    <x v="537"/>
    <x v="0"/>
    <x v="329"/>
    <x v="0"/>
    <x v="3"/>
  </r>
  <r>
    <x v="550"/>
    <x v="0"/>
    <x v="2"/>
    <x v="0"/>
    <x v="1"/>
    <x v="2"/>
    <x v="1"/>
    <x v="0"/>
    <x v="0"/>
    <x v="0"/>
    <x v="0"/>
    <x v="0"/>
    <x v="0"/>
    <x v="37"/>
    <x v="551"/>
    <x v="9"/>
    <x v="22"/>
    <x v="1"/>
    <x v="551"/>
    <x v="551"/>
    <x v="153"/>
    <x v="85"/>
    <x v="166"/>
    <x v="370"/>
    <x v="462"/>
    <x v="203"/>
    <x v="306"/>
    <x v="433"/>
    <x v="524"/>
    <x v="532"/>
    <x v="489"/>
    <x v="523"/>
    <x v="538"/>
    <x v="166"/>
    <x v="538"/>
    <x v="0"/>
    <x v="1"/>
    <x v="0"/>
    <x v="538"/>
    <x v="0"/>
    <x v="330"/>
    <x v="0"/>
    <x v="3"/>
  </r>
  <r>
    <x v="551"/>
    <x v="1"/>
    <x v="2"/>
    <x v="1"/>
    <x v="1"/>
    <x v="2"/>
    <x v="0"/>
    <x v="0"/>
    <x v="0"/>
    <x v="0"/>
    <x v="0"/>
    <x v="0"/>
    <x v="0"/>
    <x v="9"/>
    <x v="552"/>
    <x v="1"/>
    <x v="10"/>
    <x v="0"/>
    <x v="552"/>
    <x v="552"/>
    <x v="0"/>
    <x v="0"/>
    <x v="0"/>
    <x v="303"/>
    <x v="463"/>
    <x v="0"/>
    <x v="0"/>
    <x v="349"/>
    <x v="527"/>
    <x v="533"/>
    <x v="387"/>
    <x v="524"/>
    <x v="538"/>
    <x v="0"/>
    <x v="538"/>
    <x v="0"/>
    <x v="1"/>
    <x v="0"/>
    <x v="538"/>
    <x v="0"/>
    <x v="0"/>
    <x v="0"/>
    <x v="3"/>
  </r>
  <r>
    <x v="552"/>
    <x v="0"/>
    <x v="2"/>
    <x v="2"/>
    <x v="44"/>
    <x v="101"/>
    <x v="1"/>
    <x v="0"/>
    <x v="0"/>
    <x v="0"/>
    <x v="0"/>
    <x v="0"/>
    <x v="0"/>
    <x v="12"/>
    <x v="553"/>
    <x v="7"/>
    <x v="51"/>
    <x v="2"/>
    <x v="553"/>
    <x v="553"/>
    <x v="122"/>
    <x v="100"/>
    <x v="124"/>
    <x v="1"/>
    <x v="71"/>
    <x v="204"/>
    <x v="307"/>
    <x v="434"/>
    <x v="528"/>
    <x v="534"/>
    <x v="490"/>
    <x v="525"/>
    <x v="539"/>
    <x v="124"/>
    <x v="539"/>
    <x v="0"/>
    <x v="1"/>
    <x v="0"/>
    <x v="539"/>
    <x v="0"/>
    <x v="331"/>
    <x v="0"/>
    <x v="3"/>
  </r>
  <r>
    <x v="553"/>
    <x v="1"/>
    <x v="2"/>
    <x v="1"/>
    <x v="1"/>
    <x v="2"/>
    <x v="0"/>
    <x v="0"/>
    <x v="0"/>
    <x v="0"/>
    <x v="0"/>
    <x v="0"/>
    <x v="0"/>
    <x v="30"/>
    <x v="554"/>
    <x v="10"/>
    <x v="37"/>
    <x v="0"/>
    <x v="554"/>
    <x v="554"/>
    <x v="76"/>
    <x v="100"/>
    <x v="49"/>
    <x v="1"/>
    <x v="464"/>
    <x v="0"/>
    <x v="302"/>
    <x v="1"/>
    <x v="529"/>
    <x v="535"/>
    <x v="491"/>
    <x v="526"/>
    <x v="540"/>
    <x v="49"/>
    <x v="540"/>
    <x v="0"/>
    <x v="1"/>
    <x v="0"/>
    <x v="540"/>
    <x v="1"/>
    <x v="332"/>
    <x v="0"/>
    <x v="3"/>
  </r>
  <r>
    <x v="554"/>
    <x v="0"/>
    <x v="2"/>
    <x v="0"/>
    <x v="1"/>
    <x v="2"/>
    <x v="2"/>
    <x v="0"/>
    <x v="0"/>
    <x v="0"/>
    <x v="0"/>
    <x v="0"/>
    <x v="0"/>
    <x v="32"/>
    <x v="555"/>
    <x v="7"/>
    <x v="16"/>
    <x v="0"/>
    <x v="555"/>
    <x v="555"/>
    <x v="225"/>
    <x v="213"/>
    <x v="252"/>
    <x v="1"/>
    <x v="71"/>
    <x v="0"/>
    <x v="308"/>
    <x v="1"/>
    <x v="530"/>
    <x v="536"/>
    <x v="492"/>
    <x v="527"/>
    <x v="541"/>
    <x v="252"/>
    <x v="541"/>
    <x v="0"/>
    <x v="1"/>
    <x v="0"/>
    <x v="541"/>
    <x v="0"/>
    <x v="333"/>
    <x v="0"/>
    <x v="3"/>
  </r>
  <r>
    <x v="555"/>
    <x v="1"/>
    <x v="2"/>
    <x v="1"/>
    <x v="1"/>
    <x v="2"/>
    <x v="0"/>
    <x v="0"/>
    <x v="0"/>
    <x v="0"/>
    <x v="0"/>
    <x v="0"/>
    <x v="0"/>
    <x v="1"/>
    <x v="556"/>
    <x v="1"/>
    <x v="25"/>
    <x v="0"/>
    <x v="556"/>
    <x v="556"/>
    <x v="0"/>
    <x v="0"/>
    <x v="0"/>
    <x v="1"/>
    <x v="465"/>
    <x v="0"/>
    <x v="0"/>
    <x v="1"/>
    <x v="408"/>
    <x v="534"/>
    <x v="1"/>
    <x v="528"/>
    <x v="542"/>
    <x v="0"/>
    <x v="542"/>
    <x v="0"/>
    <x v="1"/>
    <x v="0"/>
    <x v="542"/>
    <x v="1"/>
    <x v="0"/>
    <x v="0"/>
    <x v="3"/>
  </r>
  <r>
    <x v="556"/>
    <x v="1"/>
    <x v="2"/>
    <x v="1"/>
    <x v="1"/>
    <x v="2"/>
    <x v="0"/>
    <x v="0"/>
    <x v="0"/>
    <x v="0"/>
    <x v="0"/>
    <x v="0"/>
    <x v="0"/>
    <x v="1"/>
    <x v="557"/>
    <x v="1"/>
    <x v="13"/>
    <x v="0"/>
    <x v="557"/>
    <x v="557"/>
    <x v="0"/>
    <x v="0"/>
    <x v="0"/>
    <x v="368"/>
    <x v="466"/>
    <x v="0"/>
    <x v="0"/>
    <x v="432"/>
    <x v="461"/>
    <x v="537"/>
    <x v="486"/>
    <x v="529"/>
    <x v="543"/>
    <x v="0"/>
    <x v="543"/>
    <x v="0"/>
    <x v="1"/>
    <x v="0"/>
    <x v="543"/>
    <x v="0"/>
    <x v="0"/>
    <x v="0"/>
    <x v="3"/>
  </r>
  <r>
    <x v="557"/>
    <x v="1"/>
    <x v="2"/>
    <x v="1"/>
    <x v="1"/>
    <x v="2"/>
    <x v="0"/>
    <x v="0"/>
    <x v="0"/>
    <x v="0"/>
    <x v="0"/>
    <x v="0"/>
    <x v="0"/>
    <x v="1"/>
    <x v="558"/>
    <x v="1"/>
    <x v="25"/>
    <x v="0"/>
    <x v="558"/>
    <x v="558"/>
    <x v="0"/>
    <x v="0"/>
    <x v="0"/>
    <x v="371"/>
    <x v="467"/>
    <x v="0"/>
    <x v="0"/>
    <x v="420"/>
    <x v="531"/>
    <x v="538"/>
    <x v="493"/>
    <x v="530"/>
    <x v="544"/>
    <x v="0"/>
    <x v="544"/>
    <x v="0"/>
    <x v="1"/>
    <x v="0"/>
    <x v="544"/>
    <x v="0"/>
    <x v="0"/>
    <x v="0"/>
    <x v="3"/>
  </r>
  <r>
    <x v="558"/>
    <x v="1"/>
    <x v="2"/>
    <x v="1"/>
    <x v="1"/>
    <x v="2"/>
    <x v="0"/>
    <x v="0"/>
    <x v="0"/>
    <x v="0"/>
    <x v="0"/>
    <x v="0"/>
    <x v="0"/>
    <x v="6"/>
    <x v="559"/>
    <x v="5"/>
    <x v="7"/>
    <x v="0"/>
    <x v="559"/>
    <x v="559"/>
    <x v="0"/>
    <x v="0"/>
    <x v="0"/>
    <x v="372"/>
    <x v="468"/>
    <x v="0"/>
    <x v="0"/>
    <x v="411"/>
    <x v="532"/>
    <x v="539"/>
    <x v="494"/>
    <x v="531"/>
    <x v="545"/>
    <x v="0"/>
    <x v="545"/>
    <x v="0"/>
    <x v="1"/>
    <x v="0"/>
    <x v="545"/>
    <x v="0"/>
    <x v="0"/>
    <x v="0"/>
    <x v="3"/>
  </r>
  <r>
    <x v="559"/>
    <x v="0"/>
    <x v="2"/>
    <x v="0"/>
    <x v="1"/>
    <x v="2"/>
    <x v="1"/>
    <x v="0"/>
    <x v="0"/>
    <x v="0"/>
    <x v="0"/>
    <x v="0"/>
    <x v="0"/>
    <x v="29"/>
    <x v="560"/>
    <x v="2"/>
    <x v="53"/>
    <x v="0"/>
    <x v="560"/>
    <x v="560"/>
    <x v="0"/>
    <x v="0"/>
    <x v="0"/>
    <x v="373"/>
    <x v="469"/>
    <x v="0"/>
    <x v="0"/>
    <x v="358"/>
    <x v="533"/>
    <x v="540"/>
    <x v="495"/>
    <x v="532"/>
    <x v="546"/>
    <x v="0"/>
    <x v="546"/>
    <x v="0"/>
    <x v="1"/>
    <x v="0"/>
    <x v="546"/>
    <x v="0"/>
    <x v="0"/>
    <x v="0"/>
    <x v="3"/>
  </r>
  <r>
    <x v="560"/>
    <x v="0"/>
    <x v="2"/>
    <x v="0"/>
    <x v="1"/>
    <x v="2"/>
    <x v="1"/>
    <x v="0"/>
    <x v="0"/>
    <x v="0"/>
    <x v="0"/>
    <x v="0"/>
    <x v="0"/>
    <x v="17"/>
    <x v="561"/>
    <x v="9"/>
    <x v="22"/>
    <x v="0"/>
    <x v="561"/>
    <x v="561"/>
    <x v="0"/>
    <x v="0"/>
    <x v="0"/>
    <x v="374"/>
    <x v="470"/>
    <x v="205"/>
    <x v="309"/>
    <x v="435"/>
    <x v="534"/>
    <x v="541"/>
    <x v="496"/>
    <x v="533"/>
    <x v="547"/>
    <x v="0"/>
    <x v="547"/>
    <x v="0"/>
    <x v="1"/>
    <x v="0"/>
    <x v="547"/>
    <x v="0"/>
    <x v="0"/>
    <x v="0"/>
    <x v="3"/>
  </r>
  <r>
    <x v="561"/>
    <x v="1"/>
    <x v="1"/>
    <x v="1"/>
    <x v="45"/>
    <x v="102"/>
    <x v="0"/>
    <x v="0"/>
    <x v="0"/>
    <x v="0"/>
    <x v="0"/>
    <x v="0"/>
    <x v="0"/>
    <x v="15"/>
    <x v="562"/>
    <x v="18"/>
    <x v="62"/>
    <x v="1"/>
    <x v="562"/>
    <x v="562"/>
    <x v="0"/>
    <x v="0"/>
    <x v="0"/>
    <x v="375"/>
    <x v="471"/>
    <x v="0"/>
    <x v="0"/>
    <x v="436"/>
    <x v="535"/>
    <x v="542"/>
    <x v="497"/>
    <x v="534"/>
    <x v="548"/>
    <x v="0"/>
    <x v="548"/>
    <x v="0"/>
    <x v="1"/>
    <x v="0"/>
    <x v="548"/>
    <x v="0"/>
    <x v="0"/>
    <x v="0"/>
    <x v="3"/>
  </r>
  <r>
    <x v="562"/>
    <x v="1"/>
    <x v="2"/>
    <x v="1"/>
    <x v="1"/>
    <x v="2"/>
    <x v="0"/>
    <x v="0"/>
    <x v="0"/>
    <x v="0"/>
    <x v="0"/>
    <x v="0"/>
    <x v="0"/>
    <x v="1"/>
    <x v="563"/>
    <x v="1"/>
    <x v="13"/>
    <x v="0"/>
    <x v="563"/>
    <x v="563"/>
    <x v="0"/>
    <x v="0"/>
    <x v="0"/>
    <x v="376"/>
    <x v="472"/>
    <x v="0"/>
    <x v="0"/>
    <x v="437"/>
    <x v="536"/>
    <x v="523"/>
    <x v="498"/>
    <x v="535"/>
    <x v="549"/>
    <x v="0"/>
    <x v="549"/>
    <x v="0"/>
    <x v="1"/>
    <x v="0"/>
    <x v="549"/>
    <x v="0"/>
    <x v="0"/>
    <x v="0"/>
    <x v="3"/>
  </r>
  <r>
    <x v="563"/>
    <x v="0"/>
    <x v="2"/>
    <x v="0"/>
    <x v="1"/>
    <x v="2"/>
    <x v="2"/>
    <x v="0"/>
    <x v="0"/>
    <x v="0"/>
    <x v="0"/>
    <x v="0"/>
    <x v="0"/>
    <x v="32"/>
    <x v="564"/>
    <x v="7"/>
    <x v="16"/>
    <x v="0"/>
    <x v="564"/>
    <x v="564"/>
    <x v="226"/>
    <x v="200"/>
    <x v="253"/>
    <x v="1"/>
    <x v="293"/>
    <x v="0"/>
    <x v="310"/>
    <x v="1"/>
    <x v="402"/>
    <x v="543"/>
    <x v="499"/>
    <x v="536"/>
    <x v="550"/>
    <x v="253"/>
    <x v="550"/>
    <x v="0"/>
    <x v="1"/>
    <x v="0"/>
    <x v="550"/>
    <x v="1"/>
    <x v="334"/>
    <x v="0"/>
    <x v="3"/>
  </r>
  <r>
    <x v="564"/>
    <x v="0"/>
    <x v="2"/>
    <x v="0"/>
    <x v="1"/>
    <x v="2"/>
    <x v="1"/>
    <x v="0"/>
    <x v="0"/>
    <x v="0"/>
    <x v="0"/>
    <x v="0"/>
    <x v="0"/>
    <x v="11"/>
    <x v="565"/>
    <x v="8"/>
    <x v="14"/>
    <x v="0"/>
    <x v="565"/>
    <x v="565"/>
    <x v="155"/>
    <x v="191"/>
    <x v="165"/>
    <x v="1"/>
    <x v="71"/>
    <x v="206"/>
    <x v="187"/>
    <x v="438"/>
    <x v="537"/>
    <x v="544"/>
    <x v="500"/>
    <x v="461"/>
    <x v="551"/>
    <x v="165"/>
    <x v="551"/>
    <x v="0"/>
    <x v="1"/>
    <x v="0"/>
    <x v="551"/>
    <x v="0"/>
    <x v="335"/>
    <x v="0"/>
    <x v="3"/>
  </r>
  <r>
    <x v="565"/>
    <x v="1"/>
    <x v="2"/>
    <x v="1"/>
    <x v="1"/>
    <x v="2"/>
    <x v="0"/>
    <x v="0"/>
    <x v="0"/>
    <x v="0"/>
    <x v="0"/>
    <x v="0"/>
    <x v="0"/>
    <x v="6"/>
    <x v="566"/>
    <x v="5"/>
    <x v="31"/>
    <x v="0"/>
    <x v="566"/>
    <x v="566"/>
    <x v="155"/>
    <x v="143"/>
    <x v="135"/>
    <x v="377"/>
    <x v="473"/>
    <x v="0"/>
    <x v="178"/>
    <x v="439"/>
    <x v="538"/>
    <x v="545"/>
    <x v="501"/>
    <x v="537"/>
    <x v="552"/>
    <x v="135"/>
    <x v="552"/>
    <x v="0"/>
    <x v="1"/>
    <x v="0"/>
    <x v="552"/>
    <x v="0"/>
    <x v="336"/>
    <x v="0"/>
    <x v="3"/>
  </r>
  <r>
    <x v="566"/>
    <x v="2"/>
    <x v="0"/>
    <x v="3"/>
    <x v="46"/>
    <x v="103"/>
    <x v="1"/>
    <x v="0"/>
    <x v="0"/>
    <x v="0"/>
    <x v="0"/>
    <x v="0"/>
    <x v="0"/>
    <x v="49"/>
    <x v="567"/>
    <x v="12"/>
    <x v="72"/>
    <x v="0"/>
    <x v="567"/>
    <x v="567"/>
    <x v="0"/>
    <x v="0"/>
    <x v="0"/>
    <x v="1"/>
    <x v="474"/>
    <x v="0"/>
    <x v="0"/>
    <x v="1"/>
    <x v="539"/>
    <x v="469"/>
    <x v="1"/>
    <x v="538"/>
    <x v="553"/>
    <x v="0"/>
    <x v="553"/>
    <x v="0"/>
    <x v="1"/>
    <x v="0"/>
    <x v="553"/>
    <x v="1"/>
    <x v="0"/>
    <x v="0"/>
    <x v="3"/>
  </r>
  <r>
    <x v="567"/>
    <x v="1"/>
    <x v="2"/>
    <x v="1"/>
    <x v="1"/>
    <x v="2"/>
    <x v="0"/>
    <x v="0"/>
    <x v="0"/>
    <x v="0"/>
    <x v="0"/>
    <x v="0"/>
    <x v="0"/>
    <x v="18"/>
    <x v="568"/>
    <x v="4"/>
    <x v="73"/>
    <x v="0"/>
    <x v="568"/>
    <x v="568"/>
    <x v="172"/>
    <x v="214"/>
    <x v="254"/>
    <x v="1"/>
    <x v="475"/>
    <x v="0"/>
    <x v="311"/>
    <x v="1"/>
    <x v="540"/>
    <x v="546"/>
    <x v="502"/>
    <x v="539"/>
    <x v="554"/>
    <x v="254"/>
    <x v="554"/>
    <x v="0"/>
    <x v="1"/>
    <x v="0"/>
    <x v="554"/>
    <x v="0"/>
    <x v="337"/>
    <x v="0"/>
    <x v="3"/>
  </r>
  <r>
    <x v="568"/>
    <x v="0"/>
    <x v="2"/>
    <x v="2"/>
    <x v="47"/>
    <x v="2"/>
    <x v="2"/>
    <x v="0"/>
    <x v="0"/>
    <x v="0"/>
    <x v="0"/>
    <x v="0"/>
    <x v="0"/>
    <x v="21"/>
    <x v="569"/>
    <x v="11"/>
    <x v="55"/>
    <x v="0"/>
    <x v="569"/>
    <x v="569"/>
    <x v="126"/>
    <x v="49"/>
    <x v="207"/>
    <x v="1"/>
    <x v="476"/>
    <x v="207"/>
    <x v="312"/>
    <x v="440"/>
    <x v="541"/>
    <x v="547"/>
    <x v="503"/>
    <x v="351"/>
    <x v="555"/>
    <x v="207"/>
    <x v="555"/>
    <x v="0"/>
    <x v="1"/>
    <x v="0"/>
    <x v="555"/>
    <x v="0"/>
    <x v="338"/>
    <x v="0"/>
    <x v="3"/>
  </r>
  <r>
    <x v="569"/>
    <x v="1"/>
    <x v="2"/>
    <x v="1"/>
    <x v="1"/>
    <x v="2"/>
    <x v="0"/>
    <x v="0"/>
    <x v="0"/>
    <x v="0"/>
    <x v="0"/>
    <x v="0"/>
    <x v="0"/>
    <x v="7"/>
    <x v="570"/>
    <x v="6"/>
    <x v="29"/>
    <x v="1"/>
    <x v="570"/>
    <x v="570"/>
    <x v="0"/>
    <x v="0"/>
    <x v="0"/>
    <x v="378"/>
    <x v="477"/>
    <x v="0"/>
    <x v="0"/>
    <x v="441"/>
    <x v="542"/>
    <x v="548"/>
    <x v="504"/>
    <x v="540"/>
    <x v="556"/>
    <x v="0"/>
    <x v="556"/>
    <x v="0"/>
    <x v="1"/>
    <x v="0"/>
    <x v="556"/>
    <x v="0"/>
    <x v="0"/>
    <x v="0"/>
    <x v="3"/>
  </r>
  <r>
    <x v="570"/>
    <x v="1"/>
    <x v="2"/>
    <x v="1"/>
    <x v="1"/>
    <x v="2"/>
    <x v="0"/>
    <x v="0"/>
    <x v="0"/>
    <x v="0"/>
    <x v="0"/>
    <x v="0"/>
    <x v="0"/>
    <x v="16"/>
    <x v="571"/>
    <x v="10"/>
    <x v="56"/>
    <x v="0"/>
    <x v="571"/>
    <x v="571"/>
    <x v="63"/>
    <x v="63"/>
    <x v="64"/>
    <x v="1"/>
    <x v="71"/>
    <x v="50"/>
    <x v="313"/>
    <x v="442"/>
    <x v="543"/>
    <x v="549"/>
    <x v="505"/>
    <x v="541"/>
    <x v="557"/>
    <x v="64"/>
    <x v="557"/>
    <x v="0"/>
    <x v="1"/>
    <x v="0"/>
    <x v="557"/>
    <x v="0"/>
    <x v="339"/>
    <x v="0"/>
    <x v="3"/>
  </r>
  <r>
    <x v="571"/>
    <x v="1"/>
    <x v="2"/>
    <x v="1"/>
    <x v="1"/>
    <x v="2"/>
    <x v="0"/>
    <x v="0"/>
    <x v="0"/>
    <x v="0"/>
    <x v="0"/>
    <x v="0"/>
    <x v="0"/>
    <x v="1"/>
    <x v="572"/>
    <x v="1"/>
    <x v="47"/>
    <x v="1"/>
    <x v="572"/>
    <x v="572"/>
    <x v="114"/>
    <x v="152"/>
    <x v="157"/>
    <x v="1"/>
    <x v="71"/>
    <x v="208"/>
    <x v="314"/>
    <x v="365"/>
    <x v="544"/>
    <x v="550"/>
    <x v="506"/>
    <x v="542"/>
    <x v="558"/>
    <x v="157"/>
    <x v="558"/>
    <x v="0"/>
    <x v="1"/>
    <x v="0"/>
    <x v="558"/>
    <x v="0"/>
    <x v="340"/>
    <x v="0"/>
    <x v="3"/>
  </r>
  <r>
    <x v="572"/>
    <x v="0"/>
    <x v="0"/>
    <x v="2"/>
    <x v="39"/>
    <x v="104"/>
    <x v="1"/>
    <x v="0"/>
    <x v="0"/>
    <x v="0"/>
    <x v="0"/>
    <x v="0"/>
    <x v="0"/>
    <x v="37"/>
    <x v="573"/>
    <x v="7"/>
    <x v="16"/>
    <x v="1"/>
    <x v="573"/>
    <x v="573"/>
    <x v="227"/>
    <x v="215"/>
    <x v="255"/>
    <x v="379"/>
    <x v="478"/>
    <x v="209"/>
    <x v="315"/>
    <x v="443"/>
    <x v="545"/>
    <x v="551"/>
    <x v="432"/>
    <x v="543"/>
    <x v="559"/>
    <x v="255"/>
    <x v="559"/>
    <x v="0"/>
    <x v="1"/>
    <x v="0"/>
    <x v="559"/>
    <x v="0"/>
    <x v="341"/>
    <x v="0"/>
    <x v="3"/>
  </r>
  <r>
    <x v="573"/>
    <x v="0"/>
    <x v="0"/>
    <x v="0"/>
    <x v="1"/>
    <x v="105"/>
    <x v="0"/>
    <x v="0"/>
    <x v="0"/>
    <x v="0"/>
    <x v="0"/>
    <x v="0"/>
    <x v="0"/>
    <x v="1"/>
    <x v="574"/>
    <x v="0"/>
    <x v="0"/>
    <x v="1"/>
    <x v="574"/>
    <x v="574"/>
    <x v="228"/>
    <x v="179"/>
    <x v="167"/>
    <x v="1"/>
    <x v="71"/>
    <x v="210"/>
    <x v="316"/>
    <x v="444"/>
    <x v="546"/>
    <x v="552"/>
    <x v="507"/>
    <x v="544"/>
    <x v="560"/>
    <x v="167"/>
    <x v="560"/>
    <x v="0"/>
    <x v="1"/>
    <x v="0"/>
    <x v="560"/>
    <x v="0"/>
    <x v="342"/>
    <x v="0"/>
    <x v="3"/>
  </r>
  <r>
    <x v="574"/>
    <x v="1"/>
    <x v="2"/>
    <x v="1"/>
    <x v="1"/>
    <x v="2"/>
    <x v="0"/>
    <x v="0"/>
    <x v="0"/>
    <x v="0"/>
    <x v="0"/>
    <x v="0"/>
    <x v="0"/>
    <x v="1"/>
    <x v="575"/>
    <x v="1"/>
    <x v="47"/>
    <x v="1"/>
    <x v="575"/>
    <x v="575"/>
    <x v="219"/>
    <x v="100"/>
    <x v="167"/>
    <x v="1"/>
    <x v="71"/>
    <x v="211"/>
    <x v="292"/>
    <x v="445"/>
    <x v="547"/>
    <x v="553"/>
    <x v="468"/>
    <x v="545"/>
    <x v="561"/>
    <x v="167"/>
    <x v="561"/>
    <x v="0"/>
    <x v="1"/>
    <x v="0"/>
    <x v="561"/>
    <x v="0"/>
    <x v="343"/>
    <x v="0"/>
    <x v="3"/>
  </r>
  <r>
    <x v="575"/>
    <x v="1"/>
    <x v="2"/>
    <x v="1"/>
    <x v="1"/>
    <x v="2"/>
    <x v="0"/>
    <x v="0"/>
    <x v="0"/>
    <x v="0"/>
    <x v="0"/>
    <x v="0"/>
    <x v="0"/>
    <x v="1"/>
    <x v="576"/>
    <x v="1"/>
    <x v="47"/>
    <x v="1"/>
    <x v="576"/>
    <x v="576"/>
    <x v="122"/>
    <x v="63"/>
    <x v="208"/>
    <x v="1"/>
    <x v="71"/>
    <x v="173"/>
    <x v="317"/>
    <x v="446"/>
    <x v="548"/>
    <x v="554"/>
    <x v="508"/>
    <x v="546"/>
    <x v="562"/>
    <x v="208"/>
    <x v="562"/>
    <x v="0"/>
    <x v="1"/>
    <x v="0"/>
    <x v="562"/>
    <x v="0"/>
    <x v="344"/>
    <x v="0"/>
    <x v="3"/>
  </r>
  <r>
    <x v="576"/>
    <x v="0"/>
    <x v="2"/>
    <x v="0"/>
    <x v="1"/>
    <x v="2"/>
    <x v="1"/>
    <x v="0"/>
    <x v="0"/>
    <x v="0"/>
    <x v="0"/>
    <x v="0"/>
    <x v="0"/>
    <x v="19"/>
    <x v="577"/>
    <x v="7"/>
    <x v="16"/>
    <x v="0"/>
    <x v="577"/>
    <x v="577"/>
    <x v="229"/>
    <x v="216"/>
    <x v="227"/>
    <x v="1"/>
    <x v="352"/>
    <x v="0"/>
    <x v="318"/>
    <x v="1"/>
    <x v="549"/>
    <x v="555"/>
    <x v="509"/>
    <x v="476"/>
    <x v="563"/>
    <x v="227"/>
    <x v="563"/>
    <x v="0"/>
    <x v="1"/>
    <x v="0"/>
    <x v="563"/>
    <x v="0"/>
    <x v="345"/>
    <x v="0"/>
    <x v="3"/>
  </r>
  <r>
    <x v="577"/>
    <x v="1"/>
    <x v="2"/>
    <x v="1"/>
    <x v="1"/>
    <x v="2"/>
    <x v="0"/>
    <x v="0"/>
    <x v="0"/>
    <x v="0"/>
    <x v="0"/>
    <x v="0"/>
    <x v="0"/>
    <x v="6"/>
    <x v="578"/>
    <x v="5"/>
    <x v="19"/>
    <x v="0"/>
    <x v="578"/>
    <x v="578"/>
    <x v="26"/>
    <x v="207"/>
    <x v="256"/>
    <x v="380"/>
    <x v="479"/>
    <x v="0"/>
    <x v="53"/>
    <x v="447"/>
    <x v="550"/>
    <x v="556"/>
    <x v="510"/>
    <x v="547"/>
    <x v="564"/>
    <x v="256"/>
    <x v="564"/>
    <x v="0"/>
    <x v="1"/>
    <x v="0"/>
    <x v="564"/>
    <x v="0"/>
    <x v="346"/>
    <x v="0"/>
    <x v="3"/>
  </r>
  <r>
    <x v="578"/>
    <x v="1"/>
    <x v="2"/>
    <x v="1"/>
    <x v="1"/>
    <x v="2"/>
    <x v="0"/>
    <x v="0"/>
    <x v="0"/>
    <x v="0"/>
    <x v="0"/>
    <x v="0"/>
    <x v="0"/>
    <x v="14"/>
    <x v="579"/>
    <x v="6"/>
    <x v="29"/>
    <x v="0"/>
    <x v="579"/>
    <x v="579"/>
    <x v="0"/>
    <x v="0"/>
    <x v="0"/>
    <x v="381"/>
    <x v="335"/>
    <x v="0"/>
    <x v="0"/>
    <x v="448"/>
    <x v="551"/>
    <x v="557"/>
    <x v="511"/>
    <x v="548"/>
    <x v="565"/>
    <x v="0"/>
    <x v="565"/>
    <x v="0"/>
    <x v="1"/>
    <x v="0"/>
    <x v="565"/>
    <x v="0"/>
    <x v="0"/>
    <x v="0"/>
    <x v="3"/>
  </r>
  <r>
    <x v="579"/>
    <x v="0"/>
    <x v="1"/>
    <x v="0"/>
    <x v="48"/>
    <x v="106"/>
    <x v="0"/>
    <x v="1"/>
    <x v="0"/>
    <x v="0"/>
    <x v="0"/>
    <x v="0"/>
    <x v="0"/>
    <x v="21"/>
    <x v="580"/>
    <x v="11"/>
    <x v="55"/>
    <x v="0"/>
    <x v="580"/>
    <x v="580"/>
    <x v="228"/>
    <x v="75"/>
    <x v="197"/>
    <x v="1"/>
    <x v="480"/>
    <x v="0"/>
    <x v="319"/>
    <x v="1"/>
    <x v="430"/>
    <x v="558"/>
    <x v="512"/>
    <x v="549"/>
    <x v="566"/>
    <x v="197"/>
    <x v="566"/>
    <x v="0"/>
    <x v="1"/>
    <x v="0"/>
    <x v="566"/>
    <x v="1"/>
    <x v="347"/>
    <x v="0"/>
    <x v="3"/>
  </r>
  <r>
    <x v="580"/>
    <x v="2"/>
    <x v="3"/>
    <x v="0"/>
    <x v="49"/>
    <x v="107"/>
    <x v="1"/>
    <x v="0"/>
    <x v="0"/>
    <x v="0"/>
    <x v="0"/>
    <x v="0"/>
    <x v="0"/>
    <x v="0"/>
    <x v="581"/>
    <x v="3"/>
    <x v="3"/>
    <x v="1"/>
    <x v="581"/>
    <x v="581"/>
    <x v="0"/>
    <x v="0"/>
    <x v="0"/>
    <x v="382"/>
    <x v="481"/>
    <x v="212"/>
    <x v="320"/>
    <x v="449"/>
    <x v="552"/>
    <x v="559"/>
    <x v="489"/>
    <x v="550"/>
    <x v="566"/>
    <x v="0"/>
    <x v="566"/>
    <x v="1"/>
    <x v="1"/>
    <x v="0"/>
    <x v="566"/>
    <x v="0"/>
    <x v="0"/>
    <x v="0"/>
    <x v="3"/>
  </r>
  <r>
    <x v="581"/>
    <x v="1"/>
    <x v="2"/>
    <x v="1"/>
    <x v="1"/>
    <x v="2"/>
    <x v="0"/>
    <x v="0"/>
    <x v="0"/>
    <x v="0"/>
    <x v="0"/>
    <x v="0"/>
    <x v="0"/>
    <x v="6"/>
    <x v="582"/>
    <x v="5"/>
    <x v="74"/>
    <x v="0"/>
    <x v="582"/>
    <x v="582"/>
    <x v="0"/>
    <x v="0"/>
    <x v="0"/>
    <x v="383"/>
    <x v="439"/>
    <x v="0"/>
    <x v="0"/>
    <x v="450"/>
    <x v="498"/>
    <x v="560"/>
    <x v="513"/>
    <x v="497"/>
    <x v="567"/>
    <x v="0"/>
    <x v="567"/>
    <x v="0"/>
    <x v="1"/>
    <x v="0"/>
    <x v="567"/>
    <x v="0"/>
    <x v="0"/>
    <x v="0"/>
    <x v="3"/>
  </r>
  <r>
    <x v="582"/>
    <x v="0"/>
    <x v="2"/>
    <x v="0"/>
    <x v="1"/>
    <x v="2"/>
    <x v="2"/>
    <x v="0"/>
    <x v="0"/>
    <x v="0"/>
    <x v="0"/>
    <x v="0"/>
    <x v="0"/>
    <x v="8"/>
    <x v="583"/>
    <x v="7"/>
    <x v="16"/>
    <x v="0"/>
    <x v="583"/>
    <x v="583"/>
    <x v="230"/>
    <x v="141"/>
    <x v="257"/>
    <x v="384"/>
    <x v="482"/>
    <x v="213"/>
    <x v="321"/>
    <x v="451"/>
    <x v="553"/>
    <x v="561"/>
    <x v="514"/>
    <x v="551"/>
    <x v="568"/>
    <x v="257"/>
    <x v="568"/>
    <x v="0"/>
    <x v="1"/>
    <x v="0"/>
    <x v="568"/>
    <x v="0"/>
    <x v="348"/>
    <x v="0"/>
    <x v="3"/>
  </r>
  <r>
    <x v="583"/>
    <x v="0"/>
    <x v="2"/>
    <x v="0"/>
    <x v="1"/>
    <x v="2"/>
    <x v="2"/>
    <x v="0"/>
    <x v="0"/>
    <x v="0"/>
    <x v="0"/>
    <x v="0"/>
    <x v="0"/>
    <x v="25"/>
    <x v="584"/>
    <x v="7"/>
    <x v="16"/>
    <x v="0"/>
    <x v="584"/>
    <x v="584"/>
    <x v="77"/>
    <x v="217"/>
    <x v="258"/>
    <x v="66"/>
    <x v="403"/>
    <x v="214"/>
    <x v="322"/>
    <x v="452"/>
    <x v="110"/>
    <x v="562"/>
    <x v="515"/>
    <x v="478"/>
    <x v="568"/>
    <x v="258"/>
    <x v="568"/>
    <x v="0"/>
    <x v="1"/>
    <x v="0"/>
    <x v="568"/>
    <x v="0"/>
    <x v="349"/>
    <x v="0"/>
    <x v="3"/>
  </r>
  <r>
    <x v="584"/>
    <x v="0"/>
    <x v="2"/>
    <x v="0"/>
    <x v="1"/>
    <x v="2"/>
    <x v="2"/>
    <x v="0"/>
    <x v="0"/>
    <x v="0"/>
    <x v="0"/>
    <x v="0"/>
    <x v="0"/>
    <x v="33"/>
    <x v="585"/>
    <x v="9"/>
    <x v="22"/>
    <x v="0"/>
    <x v="585"/>
    <x v="585"/>
    <x v="163"/>
    <x v="218"/>
    <x v="259"/>
    <x v="381"/>
    <x v="483"/>
    <x v="215"/>
    <x v="323"/>
    <x v="453"/>
    <x v="554"/>
    <x v="563"/>
    <x v="251"/>
    <x v="552"/>
    <x v="569"/>
    <x v="259"/>
    <x v="569"/>
    <x v="0"/>
    <x v="1"/>
    <x v="0"/>
    <x v="569"/>
    <x v="0"/>
    <x v="350"/>
    <x v="0"/>
    <x v="3"/>
  </r>
  <r>
    <x v="585"/>
    <x v="0"/>
    <x v="2"/>
    <x v="0"/>
    <x v="1"/>
    <x v="2"/>
    <x v="2"/>
    <x v="0"/>
    <x v="0"/>
    <x v="0"/>
    <x v="0"/>
    <x v="0"/>
    <x v="0"/>
    <x v="32"/>
    <x v="586"/>
    <x v="7"/>
    <x v="16"/>
    <x v="0"/>
    <x v="586"/>
    <x v="586"/>
    <x v="141"/>
    <x v="219"/>
    <x v="260"/>
    <x v="1"/>
    <x v="71"/>
    <x v="165"/>
    <x v="324"/>
    <x v="454"/>
    <x v="555"/>
    <x v="564"/>
    <x v="516"/>
    <x v="553"/>
    <x v="570"/>
    <x v="260"/>
    <x v="570"/>
    <x v="0"/>
    <x v="1"/>
    <x v="0"/>
    <x v="570"/>
    <x v="0"/>
    <x v="129"/>
    <x v="0"/>
    <x v="3"/>
  </r>
  <r>
    <x v="586"/>
    <x v="1"/>
    <x v="2"/>
    <x v="1"/>
    <x v="1"/>
    <x v="2"/>
    <x v="0"/>
    <x v="0"/>
    <x v="0"/>
    <x v="0"/>
    <x v="0"/>
    <x v="0"/>
    <x v="0"/>
    <x v="1"/>
    <x v="587"/>
    <x v="1"/>
    <x v="13"/>
    <x v="1"/>
    <x v="587"/>
    <x v="587"/>
    <x v="0"/>
    <x v="0"/>
    <x v="0"/>
    <x v="385"/>
    <x v="484"/>
    <x v="0"/>
    <x v="0"/>
    <x v="455"/>
    <x v="556"/>
    <x v="552"/>
    <x v="480"/>
    <x v="554"/>
    <x v="570"/>
    <x v="0"/>
    <x v="570"/>
    <x v="0"/>
    <x v="1"/>
    <x v="0"/>
    <x v="570"/>
    <x v="0"/>
    <x v="0"/>
    <x v="0"/>
    <x v="3"/>
  </r>
  <r>
    <x v="587"/>
    <x v="0"/>
    <x v="2"/>
    <x v="0"/>
    <x v="1"/>
    <x v="2"/>
    <x v="2"/>
    <x v="0"/>
    <x v="0"/>
    <x v="0"/>
    <x v="0"/>
    <x v="0"/>
    <x v="0"/>
    <x v="12"/>
    <x v="588"/>
    <x v="7"/>
    <x v="16"/>
    <x v="0"/>
    <x v="588"/>
    <x v="588"/>
    <x v="231"/>
    <x v="53"/>
    <x v="261"/>
    <x v="1"/>
    <x v="485"/>
    <x v="0"/>
    <x v="325"/>
    <x v="1"/>
    <x v="557"/>
    <x v="565"/>
    <x v="517"/>
    <x v="555"/>
    <x v="571"/>
    <x v="261"/>
    <x v="571"/>
    <x v="0"/>
    <x v="1"/>
    <x v="0"/>
    <x v="571"/>
    <x v="0"/>
    <x v="351"/>
    <x v="0"/>
    <x v="3"/>
  </r>
  <r>
    <x v="588"/>
    <x v="1"/>
    <x v="2"/>
    <x v="1"/>
    <x v="1"/>
    <x v="2"/>
    <x v="0"/>
    <x v="0"/>
    <x v="0"/>
    <x v="0"/>
    <x v="0"/>
    <x v="0"/>
    <x v="0"/>
    <x v="14"/>
    <x v="589"/>
    <x v="6"/>
    <x v="29"/>
    <x v="0"/>
    <x v="589"/>
    <x v="589"/>
    <x v="0"/>
    <x v="0"/>
    <x v="0"/>
    <x v="386"/>
    <x v="486"/>
    <x v="0"/>
    <x v="326"/>
    <x v="456"/>
    <x v="558"/>
    <x v="566"/>
    <x v="518"/>
    <x v="556"/>
    <x v="571"/>
    <x v="0"/>
    <x v="571"/>
    <x v="0"/>
    <x v="1"/>
    <x v="0"/>
    <x v="571"/>
    <x v="0"/>
    <x v="0"/>
    <x v="0"/>
    <x v="3"/>
  </r>
  <r>
    <x v="589"/>
    <x v="1"/>
    <x v="2"/>
    <x v="1"/>
    <x v="1"/>
    <x v="2"/>
    <x v="0"/>
    <x v="0"/>
    <x v="0"/>
    <x v="0"/>
    <x v="0"/>
    <x v="0"/>
    <x v="0"/>
    <x v="1"/>
    <x v="590"/>
    <x v="1"/>
    <x v="47"/>
    <x v="2"/>
    <x v="590"/>
    <x v="590"/>
    <x v="0"/>
    <x v="0"/>
    <x v="0"/>
    <x v="387"/>
    <x v="487"/>
    <x v="0"/>
    <x v="0"/>
    <x v="457"/>
    <x v="559"/>
    <x v="566"/>
    <x v="519"/>
    <x v="557"/>
    <x v="571"/>
    <x v="0"/>
    <x v="571"/>
    <x v="0"/>
    <x v="1"/>
    <x v="0"/>
    <x v="571"/>
    <x v="0"/>
    <x v="0"/>
    <x v="0"/>
    <x v="3"/>
  </r>
  <r>
    <x v="590"/>
    <x v="0"/>
    <x v="2"/>
    <x v="0"/>
    <x v="1"/>
    <x v="2"/>
    <x v="0"/>
    <x v="0"/>
    <x v="0"/>
    <x v="0"/>
    <x v="0"/>
    <x v="0"/>
    <x v="0"/>
    <x v="22"/>
    <x v="591"/>
    <x v="7"/>
    <x v="27"/>
    <x v="0"/>
    <x v="591"/>
    <x v="591"/>
    <x v="0"/>
    <x v="0"/>
    <x v="0"/>
    <x v="341"/>
    <x v="488"/>
    <x v="0"/>
    <x v="0"/>
    <x v="458"/>
    <x v="560"/>
    <x v="566"/>
    <x v="520"/>
    <x v="558"/>
    <x v="571"/>
    <x v="0"/>
    <x v="571"/>
    <x v="0"/>
    <x v="1"/>
    <x v="0"/>
    <x v="571"/>
    <x v="0"/>
    <x v="0"/>
    <x v="0"/>
    <x v="3"/>
  </r>
  <r>
    <x v="591"/>
    <x v="1"/>
    <x v="2"/>
    <x v="1"/>
    <x v="1"/>
    <x v="2"/>
    <x v="0"/>
    <x v="0"/>
    <x v="0"/>
    <x v="0"/>
    <x v="0"/>
    <x v="0"/>
    <x v="0"/>
    <x v="20"/>
    <x v="592"/>
    <x v="16"/>
    <x v="75"/>
    <x v="0"/>
    <x v="592"/>
    <x v="592"/>
    <x v="104"/>
    <x v="145"/>
    <x v="192"/>
    <x v="249"/>
    <x v="489"/>
    <x v="216"/>
    <x v="327"/>
    <x v="459"/>
    <x v="561"/>
    <x v="567"/>
    <x v="521"/>
    <x v="559"/>
    <x v="572"/>
    <x v="192"/>
    <x v="572"/>
    <x v="0"/>
    <x v="1"/>
    <x v="0"/>
    <x v="572"/>
    <x v="0"/>
    <x v="352"/>
    <x v="0"/>
    <x v="3"/>
  </r>
  <r>
    <x v="592"/>
    <x v="0"/>
    <x v="2"/>
    <x v="0"/>
    <x v="1"/>
    <x v="2"/>
    <x v="2"/>
    <x v="0"/>
    <x v="0"/>
    <x v="0"/>
    <x v="0"/>
    <x v="0"/>
    <x v="0"/>
    <x v="12"/>
    <x v="593"/>
    <x v="7"/>
    <x v="16"/>
    <x v="0"/>
    <x v="593"/>
    <x v="593"/>
    <x v="154"/>
    <x v="115"/>
    <x v="262"/>
    <x v="388"/>
    <x v="490"/>
    <x v="217"/>
    <x v="328"/>
    <x v="460"/>
    <x v="562"/>
    <x v="568"/>
    <x v="522"/>
    <x v="560"/>
    <x v="573"/>
    <x v="262"/>
    <x v="573"/>
    <x v="0"/>
    <x v="1"/>
    <x v="0"/>
    <x v="573"/>
    <x v="0"/>
    <x v="353"/>
    <x v="0"/>
    <x v="3"/>
  </r>
  <r>
    <x v="593"/>
    <x v="2"/>
    <x v="2"/>
    <x v="0"/>
    <x v="1"/>
    <x v="108"/>
    <x v="1"/>
    <x v="0"/>
    <x v="0"/>
    <x v="0"/>
    <x v="0"/>
    <x v="0"/>
    <x v="0"/>
    <x v="23"/>
    <x v="594"/>
    <x v="12"/>
    <x v="32"/>
    <x v="1"/>
    <x v="594"/>
    <x v="594"/>
    <x v="0"/>
    <x v="0"/>
    <x v="0"/>
    <x v="341"/>
    <x v="352"/>
    <x v="0"/>
    <x v="0"/>
    <x v="458"/>
    <x v="563"/>
    <x v="569"/>
    <x v="520"/>
    <x v="547"/>
    <x v="573"/>
    <x v="0"/>
    <x v="573"/>
    <x v="0"/>
    <x v="1"/>
    <x v="0"/>
    <x v="573"/>
    <x v="0"/>
    <x v="0"/>
    <x v="0"/>
    <x v="3"/>
  </r>
  <r>
    <x v="594"/>
    <x v="0"/>
    <x v="2"/>
    <x v="0"/>
    <x v="1"/>
    <x v="2"/>
    <x v="1"/>
    <x v="0"/>
    <x v="0"/>
    <x v="0"/>
    <x v="0"/>
    <x v="0"/>
    <x v="0"/>
    <x v="22"/>
    <x v="595"/>
    <x v="7"/>
    <x v="27"/>
    <x v="0"/>
    <x v="595"/>
    <x v="595"/>
    <x v="0"/>
    <x v="0"/>
    <x v="0"/>
    <x v="389"/>
    <x v="491"/>
    <x v="0"/>
    <x v="0"/>
    <x v="461"/>
    <x v="564"/>
    <x v="570"/>
    <x v="523"/>
    <x v="561"/>
    <x v="574"/>
    <x v="0"/>
    <x v="574"/>
    <x v="0"/>
    <x v="1"/>
    <x v="0"/>
    <x v="574"/>
    <x v="0"/>
    <x v="0"/>
    <x v="0"/>
    <x v="3"/>
  </r>
  <r>
    <x v="595"/>
    <x v="1"/>
    <x v="2"/>
    <x v="1"/>
    <x v="1"/>
    <x v="2"/>
    <x v="0"/>
    <x v="0"/>
    <x v="0"/>
    <x v="0"/>
    <x v="0"/>
    <x v="0"/>
    <x v="0"/>
    <x v="17"/>
    <x v="596"/>
    <x v="9"/>
    <x v="22"/>
    <x v="0"/>
    <x v="596"/>
    <x v="596"/>
    <x v="162"/>
    <x v="152"/>
    <x v="212"/>
    <x v="1"/>
    <x v="162"/>
    <x v="0"/>
    <x v="329"/>
    <x v="1"/>
    <x v="565"/>
    <x v="571"/>
    <x v="524"/>
    <x v="562"/>
    <x v="575"/>
    <x v="212"/>
    <x v="575"/>
    <x v="0"/>
    <x v="1"/>
    <x v="0"/>
    <x v="575"/>
    <x v="1"/>
    <x v="354"/>
    <x v="0"/>
    <x v="3"/>
  </r>
  <r>
    <x v="596"/>
    <x v="1"/>
    <x v="2"/>
    <x v="1"/>
    <x v="1"/>
    <x v="2"/>
    <x v="0"/>
    <x v="0"/>
    <x v="0"/>
    <x v="0"/>
    <x v="0"/>
    <x v="0"/>
    <x v="0"/>
    <x v="1"/>
    <x v="597"/>
    <x v="1"/>
    <x v="13"/>
    <x v="0"/>
    <x v="597"/>
    <x v="597"/>
    <x v="49"/>
    <x v="220"/>
    <x v="263"/>
    <x v="1"/>
    <x v="492"/>
    <x v="0"/>
    <x v="330"/>
    <x v="1"/>
    <x v="496"/>
    <x v="572"/>
    <x v="356"/>
    <x v="563"/>
    <x v="576"/>
    <x v="263"/>
    <x v="576"/>
    <x v="0"/>
    <x v="1"/>
    <x v="0"/>
    <x v="576"/>
    <x v="1"/>
    <x v="355"/>
    <x v="0"/>
    <x v="3"/>
  </r>
  <r>
    <x v="597"/>
    <x v="0"/>
    <x v="2"/>
    <x v="0"/>
    <x v="1"/>
    <x v="2"/>
    <x v="1"/>
    <x v="0"/>
    <x v="0"/>
    <x v="0"/>
    <x v="0"/>
    <x v="0"/>
    <x v="0"/>
    <x v="10"/>
    <x v="598"/>
    <x v="2"/>
    <x v="2"/>
    <x v="0"/>
    <x v="598"/>
    <x v="598"/>
    <x v="114"/>
    <x v="179"/>
    <x v="166"/>
    <x v="1"/>
    <x v="493"/>
    <x v="0"/>
    <x v="0"/>
    <x v="1"/>
    <x v="566"/>
    <x v="573"/>
    <x v="472"/>
    <x v="564"/>
    <x v="577"/>
    <x v="166"/>
    <x v="577"/>
    <x v="0"/>
    <x v="1"/>
    <x v="0"/>
    <x v="577"/>
    <x v="1"/>
    <x v="356"/>
    <x v="0"/>
    <x v="3"/>
  </r>
  <r>
    <x v="598"/>
    <x v="1"/>
    <x v="2"/>
    <x v="1"/>
    <x v="1"/>
    <x v="2"/>
    <x v="0"/>
    <x v="0"/>
    <x v="0"/>
    <x v="0"/>
    <x v="0"/>
    <x v="0"/>
    <x v="0"/>
    <x v="1"/>
    <x v="599"/>
    <x v="1"/>
    <x v="13"/>
    <x v="0"/>
    <x v="599"/>
    <x v="599"/>
    <x v="0"/>
    <x v="0"/>
    <x v="0"/>
    <x v="390"/>
    <x v="494"/>
    <x v="0"/>
    <x v="0"/>
    <x v="462"/>
    <x v="567"/>
    <x v="574"/>
    <x v="435"/>
    <x v="565"/>
    <x v="578"/>
    <x v="0"/>
    <x v="578"/>
    <x v="0"/>
    <x v="1"/>
    <x v="0"/>
    <x v="578"/>
    <x v="0"/>
    <x v="0"/>
    <x v="0"/>
    <x v="3"/>
  </r>
  <r>
    <x v="599"/>
    <x v="1"/>
    <x v="2"/>
    <x v="1"/>
    <x v="1"/>
    <x v="2"/>
    <x v="0"/>
    <x v="0"/>
    <x v="0"/>
    <x v="0"/>
    <x v="0"/>
    <x v="0"/>
    <x v="0"/>
    <x v="14"/>
    <x v="600"/>
    <x v="6"/>
    <x v="29"/>
    <x v="0"/>
    <x v="600"/>
    <x v="600"/>
    <x v="173"/>
    <x v="178"/>
    <x v="205"/>
    <x v="391"/>
    <x v="495"/>
    <x v="218"/>
    <x v="166"/>
    <x v="463"/>
    <x v="568"/>
    <x v="572"/>
    <x v="525"/>
    <x v="389"/>
    <x v="579"/>
    <x v="205"/>
    <x v="579"/>
    <x v="0"/>
    <x v="1"/>
    <x v="0"/>
    <x v="579"/>
    <x v="0"/>
    <x v="357"/>
    <x v="0"/>
    <x v="3"/>
  </r>
  <r>
    <x v="600"/>
    <x v="0"/>
    <x v="2"/>
    <x v="0"/>
    <x v="1"/>
    <x v="2"/>
    <x v="0"/>
    <x v="0"/>
    <x v="0"/>
    <x v="0"/>
    <x v="0"/>
    <x v="0"/>
    <x v="0"/>
    <x v="20"/>
    <x v="601"/>
    <x v="7"/>
    <x v="38"/>
    <x v="0"/>
    <x v="601"/>
    <x v="601"/>
    <x v="0"/>
    <x v="0"/>
    <x v="0"/>
    <x v="392"/>
    <x v="496"/>
    <x v="219"/>
    <x v="331"/>
    <x v="464"/>
    <x v="569"/>
    <x v="575"/>
    <x v="54"/>
    <x v="566"/>
    <x v="580"/>
    <x v="0"/>
    <x v="580"/>
    <x v="0"/>
    <x v="1"/>
    <x v="0"/>
    <x v="580"/>
    <x v="0"/>
    <x v="0"/>
    <x v="0"/>
    <x v="3"/>
  </r>
  <r>
    <x v="601"/>
    <x v="1"/>
    <x v="2"/>
    <x v="1"/>
    <x v="1"/>
    <x v="2"/>
    <x v="0"/>
    <x v="0"/>
    <x v="0"/>
    <x v="0"/>
    <x v="0"/>
    <x v="0"/>
    <x v="0"/>
    <x v="1"/>
    <x v="602"/>
    <x v="1"/>
    <x v="47"/>
    <x v="1"/>
    <x v="602"/>
    <x v="602"/>
    <x v="232"/>
    <x v="142"/>
    <x v="264"/>
    <x v="1"/>
    <x v="71"/>
    <x v="220"/>
    <x v="332"/>
    <x v="465"/>
    <x v="570"/>
    <x v="576"/>
    <x v="526"/>
    <x v="567"/>
    <x v="581"/>
    <x v="264"/>
    <x v="581"/>
    <x v="0"/>
    <x v="1"/>
    <x v="0"/>
    <x v="581"/>
    <x v="0"/>
    <x v="358"/>
    <x v="0"/>
    <x v="3"/>
  </r>
  <r>
    <x v="602"/>
    <x v="0"/>
    <x v="2"/>
    <x v="0"/>
    <x v="1"/>
    <x v="2"/>
    <x v="0"/>
    <x v="0"/>
    <x v="0"/>
    <x v="0"/>
    <x v="0"/>
    <x v="0"/>
    <x v="0"/>
    <x v="20"/>
    <x v="603"/>
    <x v="7"/>
    <x v="16"/>
    <x v="0"/>
    <x v="603"/>
    <x v="603"/>
    <x v="100"/>
    <x v="174"/>
    <x v="250"/>
    <x v="1"/>
    <x v="71"/>
    <x v="221"/>
    <x v="333"/>
    <x v="466"/>
    <x v="571"/>
    <x v="577"/>
    <x v="494"/>
    <x v="568"/>
    <x v="582"/>
    <x v="250"/>
    <x v="582"/>
    <x v="0"/>
    <x v="1"/>
    <x v="0"/>
    <x v="582"/>
    <x v="0"/>
    <x v="359"/>
    <x v="0"/>
    <x v="3"/>
  </r>
  <r>
    <x v="603"/>
    <x v="1"/>
    <x v="2"/>
    <x v="1"/>
    <x v="1"/>
    <x v="2"/>
    <x v="0"/>
    <x v="0"/>
    <x v="0"/>
    <x v="0"/>
    <x v="0"/>
    <x v="0"/>
    <x v="0"/>
    <x v="1"/>
    <x v="604"/>
    <x v="1"/>
    <x v="47"/>
    <x v="1"/>
    <x v="604"/>
    <x v="604"/>
    <x v="0"/>
    <x v="0"/>
    <x v="0"/>
    <x v="1"/>
    <x v="71"/>
    <x v="222"/>
    <x v="332"/>
    <x v="467"/>
    <x v="570"/>
    <x v="578"/>
    <x v="527"/>
    <x v="569"/>
    <x v="583"/>
    <x v="0"/>
    <x v="583"/>
    <x v="0"/>
    <x v="1"/>
    <x v="0"/>
    <x v="583"/>
    <x v="0"/>
    <x v="0"/>
    <x v="0"/>
    <x v="3"/>
  </r>
  <r>
    <x v="604"/>
    <x v="1"/>
    <x v="2"/>
    <x v="1"/>
    <x v="1"/>
    <x v="2"/>
    <x v="0"/>
    <x v="0"/>
    <x v="0"/>
    <x v="0"/>
    <x v="0"/>
    <x v="0"/>
    <x v="0"/>
    <x v="1"/>
    <x v="605"/>
    <x v="1"/>
    <x v="47"/>
    <x v="1"/>
    <x v="605"/>
    <x v="605"/>
    <x v="179"/>
    <x v="138"/>
    <x v="212"/>
    <x v="1"/>
    <x v="71"/>
    <x v="223"/>
    <x v="334"/>
    <x v="468"/>
    <x v="563"/>
    <x v="579"/>
    <x v="528"/>
    <x v="570"/>
    <x v="584"/>
    <x v="212"/>
    <x v="584"/>
    <x v="0"/>
    <x v="1"/>
    <x v="0"/>
    <x v="584"/>
    <x v="0"/>
    <x v="360"/>
    <x v="0"/>
    <x v="3"/>
  </r>
  <r>
    <x v="605"/>
    <x v="0"/>
    <x v="2"/>
    <x v="0"/>
    <x v="1"/>
    <x v="2"/>
    <x v="1"/>
    <x v="0"/>
    <x v="0"/>
    <x v="0"/>
    <x v="0"/>
    <x v="0"/>
    <x v="0"/>
    <x v="6"/>
    <x v="606"/>
    <x v="2"/>
    <x v="6"/>
    <x v="0"/>
    <x v="606"/>
    <x v="606"/>
    <x v="114"/>
    <x v="0"/>
    <x v="164"/>
    <x v="393"/>
    <x v="497"/>
    <x v="0"/>
    <x v="309"/>
    <x v="469"/>
    <x v="563"/>
    <x v="580"/>
    <x v="528"/>
    <x v="547"/>
    <x v="585"/>
    <x v="164"/>
    <x v="585"/>
    <x v="0"/>
    <x v="1"/>
    <x v="0"/>
    <x v="585"/>
    <x v="0"/>
    <x v="361"/>
    <x v="0"/>
    <x v="3"/>
  </r>
  <r>
    <x v="606"/>
    <x v="0"/>
    <x v="2"/>
    <x v="0"/>
    <x v="1"/>
    <x v="2"/>
    <x v="1"/>
    <x v="0"/>
    <x v="0"/>
    <x v="0"/>
    <x v="0"/>
    <x v="0"/>
    <x v="0"/>
    <x v="18"/>
    <x v="607"/>
    <x v="2"/>
    <x v="2"/>
    <x v="0"/>
    <x v="607"/>
    <x v="607"/>
    <x v="0"/>
    <x v="138"/>
    <x v="98"/>
    <x v="1"/>
    <x v="498"/>
    <x v="0"/>
    <x v="271"/>
    <x v="1"/>
    <x v="572"/>
    <x v="581"/>
    <x v="1"/>
    <x v="467"/>
    <x v="585"/>
    <x v="98"/>
    <x v="585"/>
    <x v="0"/>
    <x v="1"/>
    <x v="0"/>
    <x v="585"/>
    <x v="1"/>
    <x v="362"/>
    <x v="0"/>
    <x v="3"/>
  </r>
  <r>
    <x v="607"/>
    <x v="0"/>
    <x v="1"/>
    <x v="2"/>
    <x v="50"/>
    <x v="109"/>
    <x v="2"/>
    <x v="0"/>
    <x v="0"/>
    <x v="0"/>
    <x v="0"/>
    <x v="0"/>
    <x v="0"/>
    <x v="37"/>
    <x v="608"/>
    <x v="7"/>
    <x v="9"/>
    <x v="2"/>
    <x v="608"/>
    <x v="608"/>
    <x v="0"/>
    <x v="0"/>
    <x v="0"/>
    <x v="394"/>
    <x v="499"/>
    <x v="0"/>
    <x v="0"/>
    <x v="470"/>
    <x v="573"/>
    <x v="580"/>
    <x v="529"/>
    <x v="571"/>
    <x v="586"/>
    <x v="0"/>
    <x v="586"/>
    <x v="0"/>
    <x v="1"/>
    <x v="0"/>
    <x v="586"/>
    <x v="0"/>
    <x v="0"/>
    <x v="0"/>
    <x v="3"/>
  </r>
  <r>
    <x v="608"/>
    <x v="0"/>
    <x v="2"/>
    <x v="3"/>
    <x v="1"/>
    <x v="110"/>
    <x v="1"/>
    <x v="0"/>
    <x v="0"/>
    <x v="0"/>
    <x v="0"/>
    <x v="0"/>
    <x v="0"/>
    <x v="0"/>
    <x v="609"/>
    <x v="3"/>
    <x v="3"/>
    <x v="1"/>
    <x v="609"/>
    <x v="609"/>
    <x v="164"/>
    <x v="0"/>
    <x v="116"/>
    <x v="395"/>
    <x v="500"/>
    <x v="224"/>
    <x v="335"/>
    <x v="471"/>
    <x v="574"/>
    <x v="339"/>
    <x v="508"/>
    <x v="543"/>
    <x v="587"/>
    <x v="116"/>
    <x v="587"/>
    <x v="0"/>
    <x v="1"/>
    <x v="0"/>
    <x v="587"/>
    <x v="0"/>
    <x v="363"/>
    <x v="0"/>
    <x v="3"/>
  </r>
  <r>
    <x v="609"/>
    <x v="0"/>
    <x v="0"/>
    <x v="0"/>
    <x v="1"/>
    <x v="111"/>
    <x v="1"/>
    <x v="0"/>
    <x v="0"/>
    <x v="0"/>
    <x v="0"/>
    <x v="0"/>
    <x v="0"/>
    <x v="0"/>
    <x v="610"/>
    <x v="3"/>
    <x v="3"/>
    <x v="1"/>
    <x v="610"/>
    <x v="610"/>
    <x v="233"/>
    <x v="218"/>
    <x v="265"/>
    <x v="1"/>
    <x v="71"/>
    <x v="225"/>
    <x v="336"/>
    <x v="472"/>
    <x v="575"/>
    <x v="582"/>
    <x v="530"/>
    <x v="572"/>
    <x v="588"/>
    <x v="265"/>
    <x v="588"/>
    <x v="0"/>
    <x v="1"/>
    <x v="0"/>
    <x v="588"/>
    <x v="0"/>
    <x v="364"/>
    <x v="0"/>
    <x v="3"/>
  </r>
  <r>
    <x v="610"/>
    <x v="1"/>
    <x v="2"/>
    <x v="1"/>
    <x v="1"/>
    <x v="2"/>
    <x v="0"/>
    <x v="0"/>
    <x v="0"/>
    <x v="0"/>
    <x v="0"/>
    <x v="0"/>
    <x v="0"/>
    <x v="9"/>
    <x v="611"/>
    <x v="1"/>
    <x v="10"/>
    <x v="0"/>
    <x v="611"/>
    <x v="611"/>
    <x v="0"/>
    <x v="0"/>
    <x v="0"/>
    <x v="356"/>
    <x v="501"/>
    <x v="0"/>
    <x v="0"/>
    <x v="473"/>
    <x v="576"/>
    <x v="583"/>
    <x v="531"/>
    <x v="573"/>
    <x v="589"/>
    <x v="0"/>
    <x v="589"/>
    <x v="0"/>
    <x v="1"/>
    <x v="0"/>
    <x v="589"/>
    <x v="0"/>
    <x v="0"/>
    <x v="0"/>
    <x v="3"/>
  </r>
  <r>
    <x v="611"/>
    <x v="2"/>
    <x v="2"/>
    <x v="3"/>
    <x v="1"/>
    <x v="52"/>
    <x v="1"/>
    <x v="0"/>
    <x v="0"/>
    <x v="0"/>
    <x v="0"/>
    <x v="0"/>
    <x v="0"/>
    <x v="22"/>
    <x v="612"/>
    <x v="2"/>
    <x v="2"/>
    <x v="0"/>
    <x v="612"/>
    <x v="612"/>
    <x v="0"/>
    <x v="0"/>
    <x v="0"/>
    <x v="396"/>
    <x v="472"/>
    <x v="0"/>
    <x v="0"/>
    <x v="474"/>
    <x v="536"/>
    <x v="584"/>
    <x v="532"/>
    <x v="535"/>
    <x v="590"/>
    <x v="0"/>
    <x v="590"/>
    <x v="0"/>
    <x v="1"/>
    <x v="0"/>
    <x v="590"/>
    <x v="0"/>
    <x v="0"/>
    <x v="0"/>
    <x v="3"/>
  </r>
  <r>
    <x v="612"/>
    <x v="1"/>
    <x v="2"/>
    <x v="1"/>
    <x v="1"/>
    <x v="2"/>
    <x v="0"/>
    <x v="0"/>
    <x v="0"/>
    <x v="0"/>
    <x v="0"/>
    <x v="0"/>
    <x v="0"/>
    <x v="1"/>
    <x v="613"/>
    <x v="1"/>
    <x v="47"/>
    <x v="1"/>
    <x v="613"/>
    <x v="613"/>
    <x v="162"/>
    <x v="152"/>
    <x v="212"/>
    <x v="1"/>
    <x v="71"/>
    <x v="163"/>
    <x v="337"/>
    <x v="364"/>
    <x v="577"/>
    <x v="585"/>
    <x v="533"/>
    <x v="574"/>
    <x v="591"/>
    <x v="212"/>
    <x v="591"/>
    <x v="0"/>
    <x v="1"/>
    <x v="0"/>
    <x v="591"/>
    <x v="0"/>
    <x v="365"/>
    <x v="0"/>
    <x v="3"/>
  </r>
  <r>
    <x v="613"/>
    <x v="1"/>
    <x v="2"/>
    <x v="1"/>
    <x v="1"/>
    <x v="2"/>
    <x v="0"/>
    <x v="0"/>
    <x v="0"/>
    <x v="0"/>
    <x v="0"/>
    <x v="0"/>
    <x v="0"/>
    <x v="1"/>
    <x v="614"/>
    <x v="6"/>
    <x v="8"/>
    <x v="0"/>
    <x v="614"/>
    <x v="614"/>
    <x v="0"/>
    <x v="0"/>
    <x v="0"/>
    <x v="1"/>
    <x v="339"/>
    <x v="0"/>
    <x v="0"/>
    <x v="1"/>
    <x v="373"/>
    <x v="586"/>
    <x v="1"/>
    <x v="376"/>
    <x v="591"/>
    <x v="0"/>
    <x v="591"/>
    <x v="0"/>
    <x v="1"/>
    <x v="0"/>
    <x v="591"/>
    <x v="1"/>
    <x v="0"/>
    <x v="0"/>
    <x v="3"/>
  </r>
  <r>
    <x v="614"/>
    <x v="1"/>
    <x v="2"/>
    <x v="1"/>
    <x v="1"/>
    <x v="2"/>
    <x v="0"/>
    <x v="0"/>
    <x v="0"/>
    <x v="0"/>
    <x v="0"/>
    <x v="0"/>
    <x v="0"/>
    <x v="14"/>
    <x v="615"/>
    <x v="6"/>
    <x v="8"/>
    <x v="0"/>
    <x v="615"/>
    <x v="615"/>
    <x v="0"/>
    <x v="0"/>
    <x v="0"/>
    <x v="397"/>
    <x v="429"/>
    <x v="0"/>
    <x v="0"/>
    <x v="475"/>
    <x v="484"/>
    <x v="587"/>
    <x v="507"/>
    <x v="483"/>
    <x v="592"/>
    <x v="0"/>
    <x v="592"/>
    <x v="0"/>
    <x v="1"/>
    <x v="0"/>
    <x v="592"/>
    <x v="0"/>
    <x v="0"/>
    <x v="0"/>
    <x v="3"/>
  </r>
  <r>
    <x v="615"/>
    <x v="1"/>
    <x v="2"/>
    <x v="1"/>
    <x v="1"/>
    <x v="2"/>
    <x v="0"/>
    <x v="0"/>
    <x v="0"/>
    <x v="0"/>
    <x v="0"/>
    <x v="0"/>
    <x v="0"/>
    <x v="4"/>
    <x v="616"/>
    <x v="10"/>
    <x v="39"/>
    <x v="0"/>
    <x v="616"/>
    <x v="616"/>
    <x v="136"/>
    <x v="214"/>
    <x v="266"/>
    <x v="1"/>
    <x v="390"/>
    <x v="0"/>
    <x v="338"/>
    <x v="1"/>
    <x v="578"/>
    <x v="588"/>
    <x v="534"/>
    <x v="575"/>
    <x v="593"/>
    <x v="266"/>
    <x v="593"/>
    <x v="0"/>
    <x v="1"/>
    <x v="0"/>
    <x v="593"/>
    <x v="0"/>
    <x v="366"/>
    <x v="0"/>
    <x v="3"/>
  </r>
  <r>
    <x v="616"/>
    <x v="0"/>
    <x v="2"/>
    <x v="0"/>
    <x v="1"/>
    <x v="2"/>
    <x v="0"/>
    <x v="0"/>
    <x v="0"/>
    <x v="0"/>
    <x v="0"/>
    <x v="0"/>
    <x v="0"/>
    <x v="18"/>
    <x v="617"/>
    <x v="2"/>
    <x v="2"/>
    <x v="0"/>
    <x v="617"/>
    <x v="617"/>
    <x v="164"/>
    <x v="85"/>
    <x v="236"/>
    <x v="1"/>
    <x v="70"/>
    <x v="0"/>
    <x v="335"/>
    <x v="1"/>
    <x v="579"/>
    <x v="589"/>
    <x v="483"/>
    <x v="576"/>
    <x v="594"/>
    <x v="236"/>
    <x v="594"/>
    <x v="0"/>
    <x v="1"/>
    <x v="0"/>
    <x v="594"/>
    <x v="1"/>
    <x v="367"/>
    <x v="0"/>
    <x v="3"/>
  </r>
  <r>
    <x v="617"/>
    <x v="2"/>
    <x v="2"/>
    <x v="0"/>
    <x v="1"/>
    <x v="112"/>
    <x v="1"/>
    <x v="0"/>
    <x v="0"/>
    <x v="0"/>
    <x v="0"/>
    <x v="0"/>
    <x v="0"/>
    <x v="22"/>
    <x v="618"/>
    <x v="2"/>
    <x v="2"/>
    <x v="0"/>
    <x v="618"/>
    <x v="618"/>
    <x v="0"/>
    <x v="0"/>
    <x v="0"/>
    <x v="398"/>
    <x v="502"/>
    <x v="0"/>
    <x v="0"/>
    <x v="476"/>
    <x v="580"/>
    <x v="590"/>
    <x v="535"/>
    <x v="577"/>
    <x v="595"/>
    <x v="0"/>
    <x v="595"/>
    <x v="0"/>
    <x v="1"/>
    <x v="0"/>
    <x v="595"/>
    <x v="0"/>
    <x v="0"/>
    <x v="0"/>
    <x v="3"/>
  </r>
  <r>
    <x v="618"/>
    <x v="0"/>
    <x v="2"/>
    <x v="0"/>
    <x v="1"/>
    <x v="2"/>
    <x v="0"/>
    <x v="0"/>
    <x v="0"/>
    <x v="0"/>
    <x v="0"/>
    <x v="0"/>
    <x v="0"/>
    <x v="22"/>
    <x v="619"/>
    <x v="2"/>
    <x v="53"/>
    <x v="0"/>
    <x v="619"/>
    <x v="619"/>
    <x v="0"/>
    <x v="0"/>
    <x v="0"/>
    <x v="399"/>
    <x v="503"/>
    <x v="0"/>
    <x v="0"/>
    <x v="477"/>
    <x v="581"/>
    <x v="591"/>
    <x v="536"/>
    <x v="578"/>
    <x v="596"/>
    <x v="0"/>
    <x v="596"/>
    <x v="0"/>
    <x v="1"/>
    <x v="0"/>
    <x v="596"/>
    <x v="0"/>
    <x v="0"/>
    <x v="0"/>
    <x v="3"/>
  </r>
  <r>
    <x v="619"/>
    <x v="0"/>
    <x v="1"/>
    <x v="0"/>
    <x v="1"/>
    <x v="113"/>
    <x v="0"/>
    <x v="0"/>
    <x v="0"/>
    <x v="0"/>
    <x v="0"/>
    <x v="0"/>
    <x v="0"/>
    <x v="21"/>
    <x v="620"/>
    <x v="11"/>
    <x v="33"/>
    <x v="0"/>
    <x v="620"/>
    <x v="620"/>
    <x v="206"/>
    <x v="201"/>
    <x v="267"/>
    <x v="393"/>
    <x v="71"/>
    <x v="0"/>
    <x v="0"/>
    <x v="469"/>
    <x v="362"/>
    <x v="592"/>
    <x v="537"/>
    <x v="579"/>
    <x v="597"/>
    <x v="267"/>
    <x v="597"/>
    <x v="0"/>
    <x v="1"/>
    <x v="0"/>
    <x v="597"/>
    <x v="0"/>
    <x v="368"/>
    <x v="0"/>
    <x v="3"/>
  </r>
  <r>
    <x v="620"/>
    <x v="1"/>
    <x v="2"/>
    <x v="1"/>
    <x v="1"/>
    <x v="2"/>
    <x v="0"/>
    <x v="0"/>
    <x v="0"/>
    <x v="0"/>
    <x v="0"/>
    <x v="0"/>
    <x v="0"/>
    <x v="14"/>
    <x v="621"/>
    <x v="6"/>
    <x v="29"/>
    <x v="0"/>
    <x v="621"/>
    <x v="621"/>
    <x v="179"/>
    <x v="191"/>
    <x v="116"/>
    <x v="284"/>
    <x v="504"/>
    <x v="226"/>
    <x v="329"/>
    <x v="477"/>
    <x v="582"/>
    <x v="593"/>
    <x v="538"/>
    <x v="560"/>
    <x v="597"/>
    <x v="116"/>
    <x v="597"/>
    <x v="0"/>
    <x v="1"/>
    <x v="0"/>
    <x v="597"/>
    <x v="0"/>
    <x v="369"/>
    <x v="0"/>
    <x v="3"/>
  </r>
  <r>
    <x v="621"/>
    <x v="0"/>
    <x v="2"/>
    <x v="0"/>
    <x v="1"/>
    <x v="2"/>
    <x v="0"/>
    <x v="0"/>
    <x v="0"/>
    <x v="0"/>
    <x v="0"/>
    <x v="0"/>
    <x v="0"/>
    <x v="17"/>
    <x v="622"/>
    <x v="9"/>
    <x v="22"/>
    <x v="0"/>
    <x v="622"/>
    <x v="622"/>
    <x v="76"/>
    <x v="221"/>
    <x v="268"/>
    <x v="147"/>
    <x v="351"/>
    <x v="227"/>
    <x v="339"/>
    <x v="478"/>
    <x v="583"/>
    <x v="594"/>
    <x v="539"/>
    <x v="580"/>
    <x v="598"/>
    <x v="268"/>
    <x v="598"/>
    <x v="0"/>
    <x v="1"/>
    <x v="0"/>
    <x v="598"/>
    <x v="0"/>
    <x v="370"/>
    <x v="0"/>
    <x v="3"/>
  </r>
  <r>
    <x v="622"/>
    <x v="1"/>
    <x v="2"/>
    <x v="1"/>
    <x v="1"/>
    <x v="2"/>
    <x v="0"/>
    <x v="0"/>
    <x v="0"/>
    <x v="0"/>
    <x v="0"/>
    <x v="0"/>
    <x v="0"/>
    <x v="1"/>
    <x v="623"/>
    <x v="1"/>
    <x v="47"/>
    <x v="2"/>
    <x v="623"/>
    <x v="623"/>
    <x v="134"/>
    <x v="129"/>
    <x v="133"/>
    <x v="1"/>
    <x v="71"/>
    <x v="21"/>
    <x v="328"/>
    <x v="474"/>
    <x v="545"/>
    <x v="595"/>
    <x v="540"/>
    <x v="581"/>
    <x v="599"/>
    <x v="133"/>
    <x v="599"/>
    <x v="0"/>
    <x v="1"/>
    <x v="0"/>
    <x v="599"/>
    <x v="0"/>
    <x v="371"/>
    <x v="0"/>
    <x v="3"/>
  </r>
  <r>
    <x v="623"/>
    <x v="0"/>
    <x v="2"/>
    <x v="0"/>
    <x v="1"/>
    <x v="2"/>
    <x v="0"/>
    <x v="0"/>
    <x v="0"/>
    <x v="0"/>
    <x v="0"/>
    <x v="0"/>
    <x v="0"/>
    <x v="31"/>
    <x v="624"/>
    <x v="0"/>
    <x v="40"/>
    <x v="0"/>
    <x v="624"/>
    <x v="624"/>
    <x v="234"/>
    <x v="222"/>
    <x v="269"/>
    <x v="1"/>
    <x v="505"/>
    <x v="0"/>
    <x v="340"/>
    <x v="1"/>
    <x v="584"/>
    <x v="596"/>
    <x v="541"/>
    <x v="558"/>
    <x v="600"/>
    <x v="269"/>
    <x v="600"/>
    <x v="0"/>
    <x v="1"/>
    <x v="0"/>
    <x v="600"/>
    <x v="0"/>
    <x v="372"/>
    <x v="0"/>
    <x v="3"/>
  </r>
  <r>
    <x v="624"/>
    <x v="1"/>
    <x v="2"/>
    <x v="1"/>
    <x v="1"/>
    <x v="2"/>
    <x v="0"/>
    <x v="0"/>
    <x v="0"/>
    <x v="0"/>
    <x v="0"/>
    <x v="0"/>
    <x v="0"/>
    <x v="1"/>
    <x v="625"/>
    <x v="1"/>
    <x v="47"/>
    <x v="2"/>
    <x v="625"/>
    <x v="625"/>
    <x v="0"/>
    <x v="0"/>
    <x v="0"/>
    <x v="400"/>
    <x v="506"/>
    <x v="0"/>
    <x v="0"/>
    <x v="479"/>
    <x v="585"/>
    <x v="597"/>
    <x v="542"/>
    <x v="582"/>
    <x v="601"/>
    <x v="0"/>
    <x v="601"/>
    <x v="0"/>
    <x v="1"/>
    <x v="0"/>
    <x v="601"/>
    <x v="0"/>
    <x v="0"/>
    <x v="0"/>
    <x v="3"/>
  </r>
  <r>
    <x v="625"/>
    <x v="0"/>
    <x v="2"/>
    <x v="0"/>
    <x v="1"/>
    <x v="2"/>
    <x v="0"/>
    <x v="0"/>
    <x v="0"/>
    <x v="0"/>
    <x v="0"/>
    <x v="0"/>
    <x v="0"/>
    <x v="32"/>
    <x v="626"/>
    <x v="0"/>
    <x v="0"/>
    <x v="0"/>
    <x v="626"/>
    <x v="626"/>
    <x v="155"/>
    <x v="152"/>
    <x v="154"/>
    <x v="1"/>
    <x v="501"/>
    <x v="228"/>
    <x v="130"/>
    <x v="480"/>
    <x v="586"/>
    <x v="598"/>
    <x v="543"/>
    <x v="510"/>
    <x v="602"/>
    <x v="154"/>
    <x v="602"/>
    <x v="0"/>
    <x v="1"/>
    <x v="0"/>
    <x v="602"/>
    <x v="0"/>
    <x v="373"/>
    <x v="0"/>
    <x v="3"/>
  </r>
  <r>
    <x v="626"/>
    <x v="2"/>
    <x v="2"/>
    <x v="0"/>
    <x v="1"/>
    <x v="107"/>
    <x v="2"/>
    <x v="0"/>
    <x v="0"/>
    <x v="0"/>
    <x v="0"/>
    <x v="0"/>
    <x v="0"/>
    <x v="11"/>
    <x v="627"/>
    <x v="8"/>
    <x v="50"/>
    <x v="0"/>
    <x v="627"/>
    <x v="627"/>
    <x v="0"/>
    <x v="0"/>
    <x v="0"/>
    <x v="1"/>
    <x v="507"/>
    <x v="0"/>
    <x v="341"/>
    <x v="1"/>
    <x v="587"/>
    <x v="599"/>
    <x v="1"/>
    <x v="583"/>
    <x v="603"/>
    <x v="0"/>
    <x v="603"/>
    <x v="0"/>
    <x v="1"/>
    <x v="0"/>
    <x v="603"/>
    <x v="1"/>
    <x v="0"/>
    <x v="0"/>
    <x v="3"/>
  </r>
  <r>
    <x v="627"/>
    <x v="0"/>
    <x v="1"/>
    <x v="0"/>
    <x v="1"/>
    <x v="114"/>
    <x v="0"/>
    <x v="0"/>
    <x v="0"/>
    <x v="0"/>
    <x v="0"/>
    <x v="0"/>
    <x v="0"/>
    <x v="42"/>
    <x v="628"/>
    <x v="0"/>
    <x v="0"/>
    <x v="0"/>
    <x v="628"/>
    <x v="628"/>
    <x v="189"/>
    <x v="218"/>
    <x v="270"/>
    <x v="1"/>
    <x v="431"/>
    <x v="0"/>
    <x v="285"/>
    <x v="1"/>
    <x v="486"/>
    <x v="594"/>
    <x v="544"/>
    <x v="584"/>
    <x v="604"/>
    <x v="270"/>
    <x v="604"/>
    <x v="0"/>
    <x v="1"/>
    <x v="0"/>
    <x v="604"/>
    <x v="1"/>
    <x v="374"/>
    <x v="0"/>
    <x v="3"/>
  </r>
  <r>
    <x v="628"/>
    <x v="1"/>
    <x v="2"/>
    <x v="1"/>
    <x v="1"/>
    <x v="2"/>
    <x v="0"/>
    <x v="0"/>
    <x v="0"/>
    <x v="0"/>
    <x v="0"/>
    <x v="0"/>
    <x v="0"/>
    <x v="14"/>
    <x v="629"/>
    <x v="6"/>
    <x v="29"/>
    <x v="0"/>
    <x v="629"/>
    <x v="629"/>
    <x v="134"/>
    <x v="75"/>
    <x v="270"/>
    <x v="134"/>
    <x v="71"/>
    <x v="229"/>
    <x v="342"/>
    <x v="481"/>
    <x v="588"/>
    <x v="600"/>
    <x v="545"/>
    <x v="585"/>
    <x v="605"/>
    <x v="270"/>
    <x v="605"/>
    <x v="0"/>
    <x v="1"/>
    <x v="0"/>
    <x v="605"/>
    <x v="0"/>
    <x v="375"/>
    <x v="0"/>
    <x v="3"/>
  </r>
  <r>
    <x v="629"/>
    <x v="1"/>
    <x v="2"/>
    <x v="1"/>
    <x v="1"/>
    <x v="2"/>
    <x v="0"/>
    <x v="0"/>
    <x v="0"/>
    <x v="0"/>
    <x v="0"/>
    <x v="0"/>
    <x v="0"/>
    <x v="6"/>
    <x v="630"/>
    <x v="5"/>
    <x v="7"/>
    <x v="0"/>
    <x v="630"/>
    <x v="630"/>
    <x v="179"/>
    <x v="63"/>
    <x v="192"/>
    <x v="1"/>
    <x v="508"/>
    <x v="230"/>
    <x v="144"/>
    <x v="482"/>
    <x v="589"/>
    <x v="601"/>
    <x v="499"/>
    <x v="586"/>
    <x v="606"/>
    <x v="192"/>
    <x v="606"/>
    <x v="0"/>
    <x v="1"/>
    <x v="0"/>
    <x v="606"/>
    <x v="0"/>
    <x v="376"/>
    <x v="0"/>
    <x v="3"/>
  </r>
  <r>
    <x v="630"/>
    <x v="1"/>
    <x v="2"/>
    <x v="1"/>
    <x v="1"/>
    <x v="2"/>
    <x v="0"/>
    <x v="0"/>
    <x v="0"/>
    <x v="0"/>
    <x v="0"/>
    <x v="0"/>
    <x v="0"/>
    <x v="7"/>
    <x v="631"/>
    <x v="6"/>
    <x v="26"/>
    <x v="0"/>
    <x v="631"/>
    <x v="631"/>
    <x v="153"/>
    <x v="63"/>
    <x v="116"/>
    <x v="1"/>
    <x v="509"/>
    <x v="0"/>
    <x v="343"/>
    <x v="1"/>
    <x v="452"/>
    <x v="577"/>
    <x v="360"/>
    <x v="587"/>
    <x v="607"/>
    <x v="116"/>
    <x v="607"/>
    <x v="0"/>
    <x v="1"/>
    <x v="0"/>
    <x v="607"/>
    <x v="1"/>
    <x v="377"/>
    <x v="0"/>
    <x v="3"/>
  </r>
  <r>
    <x v="631"/>
    <x v="0"/>
    <x v="2"/>
    <x v="0"/>
    <x v="1"/>
    <x v="2"/>
    <x v="2"/>
    <x v="0"/>
    <x v="0"/>
    <x v="0"/>
    <x v="0"/>
    <x v="0"/>
    <x v="0"/>
    <x v="17"/>
    <x v="632"/>
    <x v="9"/>
    <x v="22"/>
    <x v="0"/>
    <x v="632"/>
    <x v="632"/>
    <x v="189"/>
    <x v="223"/>
    <x v="271"/>
    <x v="1"/>
    <x v="510"/>
    <x v="0"/>
    <x v="344"/>
    <x v="1"/>
    <x v="590"/>
    <x v="602"/>
    <x v="544"/>
    <x v="588"/>
    <x v="608"/>
    <x v="271"/>
    <x v="608"/>
    <x v="0"/>
    <x v="1"/>
    <x v="0"/>
    <x v="608"/>
    <x v="1"/>
    <x v="378"/>
    <x v="0"/>
    <x v="3"/>
  </r>
  <r>
    <x v="632"/>
    <x v="1"/>
    <x v="2"/>
    <x v="1"/>
    <x v="1"/>
    <x v="2"/>
    <x v="0"/>
    <x v="0"/>
    <x v="0"/>
    <x v="0"/>
    <x v="0"/>
    <x v="0"/>
    <x v="0"/>
    <x v="1"/>
    <x v="633"/>
    <x v="1"/>
    <x v="1"/>
    <x v="1"/>
    <x v="633"/>
    <x v="633"/>
    <x v="0"/>
    <x v="138"/>
    <x v="98"/>
    <x v="1"/>
    <x v="71"/>
    <x v="231"/>
    <x v="345"/>
    <x v="483"/>
    <x v="591"/>
    <x v="603"/>
    <x v="546"/>
    <x v="589"/>
    <x v="608"/>
    <x v="98"/>
    <x v="608"/>
    <x v="0"/>
    <x v="1"/>
    <x v="0"/>
    <x v="608"/>
    <x v="0"/>
    <x v="379"/>
    <x v="0"/>
    <x v="3"/>
  </r>
  <r>
    <x v="633"/>
    <x v="0"/>
    <x v="2"/>
    <x v="0"/>
    <x v="1"/>
    <x v="2"/>
    <x v="0"/>
    <x v="0"/>
    <x v="0"/>
    <x v="0"/>
    <x v="0"/>
    <x v="0"/>
    <x v="0"/>
    <x v="50"/>
    <x v="634"/>
    <x v="7"/>
    <x v="16"/>
    <x v="0"/>
    <x v="634"/>
    <x v="634"/>
    <x v="63"/>
    <x v="177"/>
    <x v="169"/>
    <x v="290"/>
    <x v="511"/>
    <x v="232"/>
    <x v="299"/>
    <x v="484"/>
    <x v="592"/>
    <x v="604"/>
    <x v="547"/>
    <x v="590"/>
    <x v="609"/>
    <x v="169"/>
    <x v="609"/>
    <x v="0"/>
    <x v="1"/>
    <x v="0"/>
    <x v="609"/>
    <x v="0"/>
    <x v="380"/>
    <x v="0"/>
    <x v="3"/>
  </r>
  <r>
    <x v="634"/>
    <x v="1"/>
    <x v="0"/>
    <x v="0"/>
    <x v="1"/>
    <x v="115"/>
    <x v="0"/>
    <x v="0"/>
    <x v="0"/>
    <x v="0"/>
    <x v="0"/>
    <x v="0"/>
    <x v="0"/>
    <x v="14"/>
    <x v="635"/>
    <x v="6"/>
    <x v="29"/>
    <x v="0"/>
    <x v="635"/>
    <x v="635"/>
    <x v="0"/>
    <x v="0"/>
    <x v="0"/>
    <x v="401"/>
    <x v="512"/>
    <x v="0"/>
    <x v="0"/>
    <x v="472"/>
    <x v="592"/>
    <x v="562"/>
    <x v="548"/>
    <x v="591"/>
    <x v="610"/>
    <x v="0"/>
    <x v="610"/>
    <x v="0"/>
    <x v="1"/>
    <x v="0"/>
    <x v="610"/>
    <x v="0"/>
    <x v="0"/>
    <x v="0"/>
    <x v="3"/>
  </r>
  <r>
    <x v="635"/>
    <x v="0"/>
    <x v="2"/>
    <x v="0"/>
    <x v="1"/>
    <x v="2"/>
    <x v="0"/>
    <x v="0"/>
    <x v="0"/>
    <x v="0"/>
    <x v="0"/>
    <x v="0"/>
    <x v="0"/>
    <x v="21"/>
    <x v="636"/>
    <x v="11"/>
    <x v="33"/>
    <x v="0"/>
    <x v="636"/>
    <x v="636"/>
    <x v="235"/>
    <x v="156"/>
    <x v="272"/>
    <x v="1"/>
    <x v="71"/>
    <x v="0"/>
    <x v="317"/>
    <x v="1"/>
    <x v="548"/>
    <x v="605"/>
    <x v="543"/>
    <x v="592"/>
    <x v="611"/>
    <x v="272"/>
    <x v="611"/>
    <x v="0"/>
    <x v="1"/>
    <x v="0"/>
    <x v="611"/>
    <x v="0"/>
    <x v="381"/>
    <x v="0"/>
    <x v="3"/>
  </r>
  <r>
    <x v="636"/>
    <x v="2"/>
    <x v="0"/>
    <x v="3"/>
    <x v="1"/>
    <x v="116"/>
    <x v="1"/>
    <x v="0"/>
    <x v="0"/>
    <x v="0"/>
    <x v="0"/>
    <x v="0"/>
    <x v="0"/>
    <x v="24"/>
    <x v="637"/>
    <x v="12"/>
    <x v="59"/>
    <x v="1"/>
    <x v="637"/>
    <x v="637"/>
    <x v="0"/>
    <x v="0"/>
    <x v="0"/>
    <x v="402"/>
    <x v="513"/>
    <x v="0"/>
    <x v="0"/>
    <x v="485"/>
    <x v="593"/>
    <x v="606"/>
    <x v="505"/>
    <x v="593"/>
    <x v="612"/>
    <x v="0"/>
    <x v="612"/>
    <x v="0"/>
    <x v="1"/>
    <x v="0"/>
    <x v="612"/>
    <x v="0"/>
    <x v="0"/>
    <x v="0"/>
    <x v="3"/>
  </r>
  <r>
    <x v="637"/>
    <x v="0"/>
    <x v="0"/>
    <x v="0"/>
    <x v="1"/>
    <x v="117"/>
    <x v="0"/>
    <x v="0"/>
    <x v="0"/>
    <x v="0"/>
    <x v="0"/>
    <x v="0"/>
    <x v="0"/>
    <x v="24"/>
    <x v="638"/>
    <x v="12"/>
    <x v="59"/>
    <x v="0"/>
    <x v="638"/>
    <x v="638"/>
    <x v="97"/>
    <x v="138"/>
    <x v="150"/>
    <x v="403"/>
    <x v="514"/>
    <x v="233"/>
    <x v="346"/>
    <x v="486"/>
    <x v="594"/>
    <x v="607"/>
    <x v="549"/>
    <x v="594"/>
    <x v="613"/>
    <x v="150"/>
    <x v="613"/>
    <x v="0"/>
    <x v="1"/>
    <x v="0"/>
    <x v="613"/>
    <x v="0"/>
    <x v="382"/>
    <x v="0"/>
    <x v="3"/>
  </r>
  <r>
    <x v="638"/>
    <x v="1"/>
    <x v="1"/>
    <x v="1"/>
    <x v="51"/>
    <x v="118"/>
    <x v="0"/>
    <x v="0"/>
    <x v="0"/>
    <x v="0"/>
    <x v="0"/>
    <x v="0"/>
    <x v="0"/>
    <x v="20"/>
    <x v="639"/>
    <x v="5"/>
    <x v="12"/>
    <x v="1"/>
    <x v="639"/>
    <x v="639"/>
    <x v="0"/>
    <x v="0"/>
    <x v="0"/>
    <x v="404"/>
    <x v="515"/>
    <x v="234"/>
    <x v="347"/>
    <x v="487"/>
    <x v="595"/>
    <x v="608"/>
    <x v="550"/>
    <x v="595"/>
    <x v="613"/>
    <x v="0"/>
    <x v="613"/>
    <x v="0"/>
    <x v="1"/>
    <x v="0"/>
    <x v="613"/>
    <x v="0"/>
    <x v="0"/>
    <x v="0"/>
    <x v="3"/>
  </r>
  <r>
    <x v="639"/>
    <x v="1"/>
    <x v="2"/>
    <x v="1"/>
    <x v="1"/>
    <x v="2"/>
    <x v="0"/>
    <x v="0"/>
    <x v="0"/>
    <x v="0"/>
    <x v="0"/>
    <x v="0"/>
    <x v="0"/>
    <x v="14"/>
    <x v="640"/>
    <x v="6"/>
    <x v="8"/>
    <x v="0"/>
    <x v="640"/>
    <x v="640"/>
    <x v="131"/>
    <x v="191"/>
    <x v="236"/>
    <x v="405"/>
    <x v="516"/>
    <x v="202"/>
    <x v="348"/>
    <x v="488"/>
    <x v="596"/>
    <x v="600"/>
    <x v="551"/>
    <x v="596"/>
    <x v="614"/>
    <x v="236"/>
    <x v="614"/>
    <x v="0"/>
    <x v="1"/>
    <x v="0"/>
    <x v="614"/>
    <x v="0"/>
    <x v="383"/>
    <x v="0"/>
    <x v="3"/>
  </r>
  <r>
    <x v="640"/>
    <x v="1"/>
    <x v="2"/>
    <x v="1"/>
    <x v="1"/>
    <x v="2"/>
    <x v="0"/>
    <x v="0"/>
    <x v="0"/>
    <x v="0"/>
    <x v="0"/>
    <x v="0"/>
    <x v="0"/>
    <x v="14"/>
    <x v="641"/>
    <x v="6"/>
    <x v="8"/>
    <x v="0"/>
    <x v="641"/>
    <x v="641"/>
    <x v="0"/>
    <x v="0"/>
    <x v="0"/>
    <x v="406"/>
    <x v="210"/>
    <x v="0"/>
    <x v="0"/>
    <x v="483"/>
    <x v="597"/>
    <x v="609"/>
    <x v="546"/>
    <x v="597"/>
    <x v="615"/>
    <x v="0"/>
    <x v="615"/>
    <x v="0"/>
    <x v="1"/>
    <x v="0"/>
    <x v="615"/>
    <x v="0"/>
    <x v="0"/>
    <x v="0"/>
    <x v="3"/>
  </r>
  <r>
    <x v="641"/>
    <x v="1"/>
    <x v="2"/>
    <x v="1"/>
    <x v="1"/>
    <x v="2"/>
    <x v="0"/>
    <x v="0"/>
    <x v="0"/>
    <x v="0"/>
    <x v="0"/>
    <x v="0"/>
    <x v="0"/>
    <x v="22"/>
    <x v="642"/>
    <x v="1"/>
    <x v="13"/>
    <x v="0"/>
    <x v="642"/>
    <x v="642"/>
    <x v="0"/>
    <x v="0"/>
    <x v="0"/>
    <x v="407"/>
    <x v="298"/>
    <x v="0"/>
    <x v="0"/>
    <x v="489"/>
    <x v="596"/>
    <x v="609"/>
    <x v="552"/>
    <x v="598"/>
    <x v="615"/>
    <x v="0"/>
    <x v="615"/>
    <x v="0"/>
    <x v="1"/>
    <x v="0"/>
    <x v="615"/>
    <x v="0"/>
    <x v="0"/>
    <x v="0"/>
    <x v="3"/>
  </r>
  <r>
    <x v="642"/>
    <x v="0"/>
    <x v="0"/>
    <x v="0"/>
    <x v="52"/>
    <x v="119"/>
    <x v="1"/>
    <x v="0"/>
    <x v="0"/>
    <x v="0"/>
    <x v="0"/>
    <x v="0"/>
    <x v="0"/>
    <x v="17"/>
    <x v="643"/>
    <x v="9"/>
    <x v="22"/>
    <x v="0"/>
    <x v="643"/>
    <x v="643"/>
    <x v="104"/>
    <x v="152"/>
    <x v="165"/>
    <x v="408"/>
    <x v="517"/>
    <x v="0"/>
    <x v="349"/>
    <x v="490"/>
    <x v="554"/>
    <x v="610"/>
    <x v="553"/>
    <x v="535"/>
    <x v="616"/>
    <x v="165"/>
    <x v="616"/>
    <x v="0"/>
    <x v="1"/>
    <x v="0"/>
    <x v="616"/>
    <x v="0"/>
    <x v="384"/>
    <x v="0"/>
    <x v="3"/>
  </r>
  <r>
    <x v="643"/>
    <x v="2"/>
    <x v="2"/>
    <x v="3"/>
    <x v="1"/>
    <x v="52"/>
    <x v="1"/>
    <x v="0"/>
    <x v="0"/>
    <x v="0"/>
    <x v="0"/>
    <x v="0"/>
    <x v="0"/>
    <x v="22"/>
    <x v="644"/>
    <x v="2"/>
    <x v="2"/>
    <x v="0"/>
    <x v="644"/>
    <x v="644"/>
    <x v="0"/>
    <x v="0"/>
    <x v="0"/>
    <x v="409"/>
    <x v="518"/>
    <x v="0"/>
    <x v="0"/>
    <x v="491"/>
    <x v="598"/>
    <x v="611"/>
    <x v="554"/>
    <x v="599"/>
    <x v="616"/>
    <x v="0"/>
    <x v="616"/>
    <x v="0"/>
    <x v="1"/>
    <x v="0"/>
    <x v="616"/>
    <x v="0"/>
    <x v="0"/>
    <x v="0"/>
    <x v="3"/>
  </r>
  <r>
    <x v="644"/>
    <x v="0"/>
    <x v="2"/>
    <x v="0"/>
    <x v="1"/>
    <x v="2"/>
    <x v="1"/>
    <x v="0"/>
    <x v="0"/>
    <x v="0"/>
    <x v="0"/>
    <x v="0"/>
    <x v="0"/>
    <x v="33"/>
    <x v="645"/>
    <x v="9"/>
    <x v="20"/>
    <x v="0"/>
    <x v="645"/>
    <x v="645"/>
    <x v="126"/>
    <x v="85"/>
    <x v="124"/>
    <x v="1"/>
    <x v="519"/>
    <x v="0"/>
    <x v="348"/>
    <x v="1"/>
    <x v="599"/>
    <x v="612"/>
    <x v="209"/>
    <x v="600"/>
    <x v="617"/>
    <x v="124"/>
    <x v="617"/>
    <x v="0"/>
    <x v="1"/>
    <x v="0"/>
    <x v="617"/>
    <x v="1"/>
    <x v="385"/>
    <x v="0"/>
    <x v="3"/>
  </r>
  <r>
    <x v="645"/>
    <x v="0"/>
    <x v="2"/>
    <x v="0"/>
    <x v="1"/>
    <x v="2"/>
    <x v="2"/>
    <x v="0"/>
    <x v="0"/>
    <x v="0"/>
    <x v="0"/>
    <x v="0"/>
    <x v="0"/>
    <x v="32"/>
    <x v="646"/>
    <x v="7"/>
    <x v="27"/>
    <x v="0"/>
    <x v="646"/>
    <x v="646"/>
    <x v="110"/>
    <x v="156"/>
    <x v="42"/>
    <x v="1"/>
    <x v="71"/>
    <x v="235"/>
    <x v="311"/>
    <x v="492"/>
    <x v="553"/>
    <x v="613"/>
    <x v="555"/>
    <x v="601"/>
    <x v="618"/>
    <x v="42"/>
    <x v="618"/>
    <x v="0"/>
    <x v="1"/>
    <x v="0"/>
    <x v="618"/>
    <x v="0"/>
    <x v="386"/>
    <x v="0"/>
    <x v="3"/>
  </r>
  <r>
    <x v="646"/>
    <x v="0"/>
    <x v="2"/>
    <x v="3"/>
    <x v="1"/>
    <x v="2"/>
    <x v="0"/>
    <x v="0"/>
    <x v="0"/>
    <x v="0"/>
    <x v="0"/>
    <x v="0"/>
    <x v="0"/>
    <x v="22"/>
    <x v="647"/>
    <x v="7"/>
    <x v="27"/>
    <x v="0"/>
    <x v="647"/>
    <x v="647"/>
    <x v="0"/>
    <x v="0"/>
    <x v="0"/>
    <x v="410"/>
    <x v="520"/>
    <x v="0"/>
    <x v="0"/>
    <x v="493"/>
    <x v="600"/>
    <x v="614"/>
    <x v="556"/>
    <x v="602"/>
    <x v="619"/>
    <x v="0"/>
    <x v="619"/>
    <x v="0"/>
    <x v="1"/>
    <x v="0"/>
    <x v="619"/>
    <x v="0"/>
    <x v="0"/>
    <x v="0"/>
    <x v="3"/>
  </r>
  <r>
    <x v="647"/>
    <x v="0"/>
    <x v="2"/>
    <x v="0"/>
    <x v="1"/>
    <x v="2"/>
    <x v="0"/>
    <x v="0"/>
    <x v="0"/>
    <x v="0"/>
    <x v="0"/>
    <x v="0"/>
    <x v="0"/>
    <x v="41"/>
    <x v="648"/>
    <x v="7"/>
    <x v="27"/>
    <x v="0"/>
    <x v="648"/>
    <x v="648"/>
    <x v="104"/>
    <x v="191"/>
    <x v="155"/>
    <x v="1"/>
    <x v="521"/>
    <x v="0"/>
    <x v="204"/>
    <x v="1"/>
    <x v="601"/>
    <x v="615"/>
    <x v="557"/>
    <x v="603"/>
    <x v="620"/>
    <x v="155"/>
    <x v="620"/>
    <x v="0"/>
    <x v="1"/>
    <x v="0"/>
    <x v="620"/>
    <x v="1"/>
    <x v="387"/>
    <x v="0"/>
    <x v="3"/>
  </r>
  <r>
    <x v="648"/>
    <x v="2"/>
    <x v="2"/>
    <x v="0"/>
    <x v="1"/>
    <x v="2"/>
    <x v="1"/>
    <x v="0"/>
    <x v="0"/>
    <x v="0"/>
    <x v="0"/>
    <x v="0"/>
    <x v="0"/>
    <x v="2"/>
    <x v="649"/>
    <x v="2"/>
    <x v="2"/>
    <x v="0"/>
    <x v="649"/>
    <x v="649"/>
    <x v="0"/>
    <x v="0"/>
    <x v="0"/>
    <x v="1"/>
    <x v="522"/>
    <x v="0"/>
    <x v="0"/>
    <x v="1"/>
    <x v="486"/>
    <x v="594"/>
    <x v="1"/>
    <x v="600"/>
    <x v="620"/>
    <x v="0"/>
    <x v="620"/>
    <x v="0"/>
    <x v="1"/>
    <x v="0"/>
    <x v="620"/>
    <x v="1"/>
    <x v="0"/>
    <x v="0"/>
    <x v="3"/>
  </r>
  <r>
    <x v="649"/>
    <x v="2"/>
    <x v="2"/>
    <x v="3"/>
    <x v="1"/>
    <x v="120"/>
    <x v="1"/>
    <x v="0"/>
    <x v="0"/>
    <x v="0"/>
    <x v="0"/>
    <x v="0"/>
    <x v="0"/>
    <x v="22"/>
    <x v="650"/>
    <x v="2"/>
    <x v="2"/>
    <x v="0"/>
    <x v="650"/>
    <x v="650"/>
    <x v="0"/>
    <x v="0"/>
    <x v="0"/>
    <x v="1"/>
    <x v="71"/>
    <x v="236"/>
    <x v="350"/>
    <x v="494"/>
    <x v="560"/>
    <x v="616"/>
    <x v="558"/>
    <x v="558"/>
    <x v="621"/>
    <x v="0"/>
    <x v="621"/>
    <x v="0"/>
    <x v="1"/>
    <x v="0"/>
    <x v="621"/>
    <x v="0"/>
    <x v="0"/>
    <x v="0"/>
    <x v="3"/>
  </r>
  <r>
    <x v="650"/>
    <x v="1"/>
    <x v="2"/>
    <x v="1"/>
    <x v="1"/>
    <x v="2"/>
    <x v="0"/>
    <x v="0"/>
    <x v="0"/>
    <x v="0"/>
    <x v="0"/>
    <x v="0"/>
    <x v="0"/>
    <x v="22"/>
    <x v="651"/>
    <x v="9"/>
    <x v="22"/>
    <x v="0"/>
    <x v="651"/>
    <x v="651"/>
    <x v="0"/>
    <x v="0"/>
    <x v="0"/>
    <x v="393"/>
    <x v="523"/>
    <x v="0"/>
    <x v="0"/>
    <x v="469"/>
    <x v="602"/>
    <x v="616"/>
    <x v="559"/>
    <x v="604"/>
    <x v="621"/>
    <x v="0"/>
    <x v="621"/>
    <x v="0"/>
    <x v="1"/>
    <x v="0"/>
    <x v="621"/>
    <x v="0"/>
    <x v="0"/>
    <x v="0"/>
    <x v="3"/>
  </r>
  <r>
    <x v="651"/>
    <x v="0"/>
    <x v="2"/>
    <x v="0"/>
    <x v="1"/>
    <x v="2"/>
    <x v="0"/>
    <x v="0"/>
    <x v="0"/>
    <x v="0"/>
    <x v="0"/>
    <x v="0"/>
    <x v="0"/>
    <x v="16"/>
    <x v="652"/>
    <x v="10"/>
    <x v="44"/>
    <x v="0"/>
    <x v="652"/>
    <x v="652"/>
    <x v="236"/>
    <x v="120"/>
    <x v="273"/>
    <x v="1"/>
    <x v="71"/>
    <x v="225"/>
    <x v="169"/>
    <x v="472"/>
    <x v="603"/>
    <x v="561"/>
    <x v="560"/>
    <x v="605"/>
    <x v="622"/>
    <x v="273"/>
    <x v="622"/>
    <x v="0"/>
    <x v="1"/>
    <x v="0"/>
    <x v="622"/>
    <x v="0"/>
    <x v="388"/>
    <x v="0"/>
    <x v="3"/>
  </r>
  <r>
    <x v="652"/>
    <x v="0"/>
    <x v="2"/>
    <x v="0"/>
    <x v="1"/>
    <x v="2"/>
    <x v="0"/>
    <x v="0"/>
    <x v="0"/>
    <x v="0"/>
    <x v="0"/>
    <x v="0"/>
    <x v="0"/>
    <x v="22"/>
    <x v="653"/>
    <x v="7"/>
    <x v="27"/>
    <x v="0"/>
    <x v="653"/>
    <x v="653"/>
    <x v="0"/>
    <x v="0"/>
    <x v="0"/>
    <x v="291"/>
    <x v="518"/>
    <x v="0"/>
    <x v="0"/>
    <x v="495"/>
    <x v="598"/>
    <x v="617"/>
    <x v="561"/>
    <x v="599"/>
    <x v="623"/>
    <x v="0"/>
    <x v="623"/>
    <x v="0"/>
    <x v="1"/>
    <x v="0"/>
    <x v="623"/>
    <x v="0"/>
    <x v="0"/>
    <x v="0"/>
    <x v="3"/>
  </r>
  <r>
    <x v="653"/>
    <x v="1"/>
    <x v="2"/>
    <x v="1"/>
    <x v="1"/>
    <x v="2"/>
    <x v="0"/>
    <x v="0"/>
    <x v="0"/>
    <x v="0"/>
    <x v="0"/>
    <x v="0"/>
    <x v="0"/>
    <x v="9"/>
    <x v="654"/>
    <x v="6"/>
    <x v="26"/>
    <x v="0"/>
    <x v="654"/>
    <x v="654"/>
    <x v="0"/>
    <x v="0"/>
    <x v="0"/>
    <x v="411"/>
    <x v="137"/>
    <x v="0"/>
    <x v="0"/>
    <x v="496"/>
    <x v="604"/>
    <x v="612"/>
    <x v="562"/>
    <x v="589"/>
    <x v="624"/>
    <x v="0"/>
    <x v="624"/>
    <x v="0"/>
    <x v="1"/>
    <x v="0"/>
    <x v="624"/>
    <x v="0"/>
    <x v="0"/>
    <x v="0"/>
    <x v="3"/>
  </r>
  <r>
    <x v="654"/>
    <x v="1"/>
    <x v="2"/>
    <x v="1"/>
    <x v="1"/>
    <x v="2"/>
    <x v="0"/>
    <x v="0"/>
    <x v="0"/>
    <x v="0"/>
    <x v="0"/>
    <x v="0"/>
    <x v="0"/>
    <x v="18"/>
    <x v="655"/>
    <x v="5"/>
    <x v="58"/>
    <x v="0"/>
    <x v="655"/>
    <x v="655"/>
    <x v="0"/>
    <x v="152"/>
    <x v="150"/>
    <x v="1"/>
    <x v="402"/>
    <x v="0"/>
    <x v="248"/>
    <x v="1"/>
    <x v="605"/>
    <x v="618"/>
    <x v="1"/>
    <x v="606"/>
    <x v="625"/>
    <x v="150"/>
    <x v="625"/>
    <x v="0"/>
    <x v="1"/>
    <x v="0"/>
    <x v="625"/>
    <x v="1"/>
    <x v="389"/>
    <x v="0"/>
    <x v="3"/>
  </r>
  <r>
    <x v="655"/>
    <x v="2"/>
    <x v="2"/>
    <x v="0"/>
    <x v="1"/>
    <x v="2"/>
    <x v="1"/>
    <x v="0"/>
    <x v="0"/>
    <x v="0"/>
    <x v="0"/>
    <x v="0"/>
    <x v="0"/>
    <x v="0"/>
    <x v="656"/>
    <x v="3"/>
    <x v="3"/>
    <x v="1"/>
    <x v="656"/>
    <x v="656"/>
    <x v="0"/>
    <x v="0"/>
    <x v="0"/>
    <x v="1"/>
    <x v="71"/>
    <x v="237"/>
    <x v="169"/>
    <x v="497"/>
    <x v="603"/>
    <x v="555"/>
    <x v="540"/>
    <x v="607"/>
    <x v="625"/>
    <x v="0"/>
    <x v="625"/>
    <x v="0"/>
    <x v="1"/>
    <x v="0"/>
    <x v="625"/>
    <x v="0"/>
    <x v="0"/>
    <x v="0"/>
    <x v="3"/>
  </r>
  <r>
    <x v="656"/>
    <x v="0"/>
    <x v="0"/>
    <x v="0"/>
    <x v="1"/>
    <x v="18"/>
    <x v="1"/>
    <x v="0"/>
    <x v="0"/>
    <x v="0"/>
    <x v="0"/>
    <x v="0"/>
    <x v="0"/>
    <x v="17"/>
    <x v="657"/>
    <x v="7"/>
    <x v="38"/>
    <x v="0"/>
    <x v="657"/>
    <x v="657"/>
    <x v="0"/>
    <x v="0"/>
    <x v="0"/>
    <x v="1"/>
    <x v="524"/>
    <x v="238"/>
    <x v="351"/>
    <x v="498"/>
    <x v="499"/>
    <x v="618"/>
    <x v="563"/>
    <x v="608"/>
    <x v="626"/>
    <x v="0"/>
    <x v="626"/>
    <x v="0"/>
    <x v="1"/>
    <x v="0"/>
    <x v="626"/>
    <x v="0"/>
    <x v="0"/>
    <x v="0"/>
    <x v="3"/>
  </r>
  <r>
    <x v="657"/>
    <x v="1"/>
    <x v="2"/>
    <x v="1"/>
    <x v="1"/>
    <x v="2"/>
    <x v="0"/>
    <x v="0"/>
    <x v="0"/>
    <x v="0"/>
    <x v="0"/>
    <x v="0"/>
    <x v="0"/>
    <x v="10"/>
    <x v="658"/>
    <x v="5"/>
    <x v="7"/>
    <x v="0"/>
    <x v="658"/>
    <x v="658"/>
    <x v="92"/>
    <x v="173"/>
    <x v="182"/>
    <x v="1"/>
    <x v="71"/>
    <x v="239"/>
    <x v="308"/>
    <x v="499"/>
    <x v="530"/>
    <x v="619"/>
    <x v="564"/>
    <x v="609"/>
    <x v="627"/>
    <x v="182"/>
    <x v="627"/>
    <x v="0"/>
    <x v="1"/>
    <x v="0"/>
    <x v="627"/>
    <x v="0"/>
    <x v="390"/>
    <x v="0"/>
    <x v="3"/>
  </r>
  <r>
    <x v="658"/>
    <x v="2"/>
    <x v="2"/>
    <x v="0"/>
    <x v="1"/>
    <x v="107"/>
    <x v="1"/>
    <x v="0"/>
    <x v="0"/>
    <x v="0"/>
    <x v="0"/>
    <x v="0"/>
    <x v="0"/>
    <x v="35"/>
    <x v="659"/>
    <x v="12"/>
    <x v="76"/>
    <x v="0"/>
    <x v="659"/>
    <x v="659"/>
    <x v="0"/>
    <x v="0"/>
    <x v="0"/>
    <x v="406"/>
    <x v="525"/>
    <x v="0"/>
    <x v="0"/>
    <x v="483"/>
    <x v="489"/>
    <x v="620"/>
    <x v="546"/>
    <x v="610"/>
    <x v="628"/>
    <x v="0"/>
    <x v="628"/>
    <x v="0"/>
    <x v="1"/>
    <x v="0"/>
    <x v="628"/>
    <x v="0"/>
    <x v="0"/>
    <x v="0"/>
    <x v="3"/>
  </r>
  <r>
    <x v="659"/>
    <x v="0"/>
    <x v="2"/>
    <x v="0"/>
    <x v="1"/>
    <x v="121"/>
    <x v="1"/>
    <x v="2"/>
    <x v="0"/>
    <x v="0"/>
    <x v="0"/>
    <x v="0"/>
    <x v="0"/>
    <x v="30"/>
    <x v="660"/>
    <x v="0"/>
    <x v="0"/>
    <x v="0"/>
    <x v="660"/>
    <x v="660"/>
    <x v="170"/>
    <x v="75"/>
    <x v="144"/>
    <x v="1"/>
    <x v="466"/>
    <x v="0"/>
    <x v="329"/>
    <x v="1"/>
    <x v="462"/>
    <x v="621"/>
    <x v="565"/>
    <x v="611"/>
    <x v="629"/>
    <x v="144"/>
    <x v="629"/>
    <x v="0"/>
    <x v="1"/>
    <x v="0"/>
    <x v="629"/>
    <x v="1"/>
    <x v="391"/>
    <x v="0"/>
    <x v="3"/>
  </r>
  <r>
    <x v="660"/>
    <x v="1"/>
    <x v="2"/>
    <x v="1"/>
    <x v="1"/>
    <x v="2"/>
    <x v="0"/>
    <x v="0"/>
    <x v="0"/>
    <x v="0"/>
    <x v="0"/>
    <x v="0"/>
    <x v="0"/>
    <x v="9"/>
    <x v="661"/>
    <x v="1"/>
    <x v="10"/>
    <x v="0"/>
    <x v="661"/>
    <x v="661"/>
    <x v="0"/>
    <x v="0"/>
    <x v="0"/>
    <x v="412"/>
    <x v="526"/>
    <x v="0"/>
    <x v="0"/>
    <x v="500"/>
    <x v="595"/>
    <x v="622"/>
    <x v="566"/>
    <x v="595"/>
    <x v="630"/>
    <x v="0"/>
    <x v="630"/>
    <x v="0"/>
    <x v="1"/>
    <x v="0"/>
    <x v="630"/>
    <x v="0"/>
    <x v="0"/>
    <x v="0"/>
    <x v="3"/>
  </r>
  <r>
    <x v="661"/>
    <x v="0"/>
    <x v="1"/>
    <x v="0"/>
    <x v="1"/>
    <x v="110"/>
    <x v="2"/>
    <x v="0"/>
    <x v="0"/>
    <x v="0"/>
    <x v="0"/>
    <x v="0"/>
    <x v="0"/>
    <x v="0"/>
    <x v="662"/>
    <x v="3"/>
    <x v="3"/>
    <x v="1"/>
    <x v="662"/>
    <x v="662"/>
    <x v="162"/>
    <x v="145"/>
    <x v="135"/>
    <x v="1"/>
    <x v="71"/>
    <x v="240"/>
    <x v="352"/>
    <x v="501"/>
    <x v="606"/>
    <x v="623"/>
    <x v="567"/>
    <x v="612"/>
    <x v="631"/>
    <x v="135"/>
    <x v="631"/>
    <x v="0"/>
    <x v="1"/>
    <x v="0"/>
    <x v="631"/>
    <x v="0"/>
    <x v="392"/>
    <x v="0"/>
    <x v="3"/>
  </r>
  <r>
    <x v="662"/>
    <x v="0"/>
    <x v="2"/>
    <x v="0"/>
    <x v="1"/>
    <x v="2"/>
    <x v="1"/>
    <x v="0"/>
    <x v="0"/>
    <x v="0"/>
    <x v="0"/>
    <x v="0"/>
    <x v="0"/>
    <x v="11"/>
    <x v="663"/>
    <x v="8"/>
    <x v="71"/>
    <x v="0"/>
    <x v="663"/>
    <x v="663"/>
    <x v="63"/>
    <x v="63"/>
    <x v="64"/>
    <x v="1"/>
    <x v="71"/>
    <x v="0"/>
    <x v="353"/>
    <x v="1"/>
    <x v="607"/>
    <x v="624"/>
    <x v="568"/>
    <x v="613"/>
    <x v="632"/>
    <x v="64"/>
    <x v="632"/>
    <x v="0"/>
    <x v="1"/>
    <x v="0"/>
    <x v="632"/>
    <x v="1"/>
    <x v="393"/>
    <x v="0"/>
    <x v="3"/>
  </r>
  <r>
    <x v="663"/>
    <x v="1"/>
    <x v="2"/>
    <x v="1"/>
    <x v="1"/>
    <x v="2"/>
    <x v="0"/>
    <x v="0"/>
    <x v="0"/>
    <x v="0"/>
    <x v="0"/>
    <x v="0"/>
    <x v="0"/>
    <x v="6"/>
    <x v="664"/>
    <x v="5"/>
    <x v="31"/>
    <x v="0"/>
    <x v="664"/>
    <x v="664"/>
    <x v="237"/>
    <x v="174"/>
    <x v="255"/>
    <x v="1"/>
    <x v="71"/>
    <x v="0"/>
    <x v="120"/>
    <x v="1"/>
    <x v="608"/>
    <x v="625"/>
    <x v="569"/>
    <x v="614"/>
    <x v="633"/>
    <x v="255"/>
    <x v="633"/>
    <x v="0"/>
    <x v="1"/>
    <x v="0"/>
    <x v="633"/>
    <x v="0"/>
    <x v="394"/>
    <x v="0"/>
    <x v="3"/>
  </r>
  <r>
    <x v="664"/>
    <x v="1"/>
    <x v="0"/>
    <x v="1"/>
    <x v="53"/>
    <x v="122"/>
    <x v="0"/>
    <x v="0"/>
    <x v="0"/>
    <x v="0"/>
    <x v="0"/>
    <x v="0"/>
    <x v="0"/>
    <x v="7"/>
    <x v="665"/>
    <x v="6"/>
    <x v="29"/>
    <x v="1"/>
    <x v="665"/>
    <x v="665"/>
    <x v="0"/>
    <x v="0"/>
    <x v="0"/>
    <x v="1"/>
    <x v="71"/>
    <x v="241"/>
    <x v="299"/>
    <x v="502"/>
    <x v="514"/>
    <x v="626"/>
    <x v="570"/>
    <x v="512"/>
    <x v="634"/>
    <x v="0"/>
    <x v="634"/>
    <x v="0"/>
    <x v="1"/>
    <x v="0"/>
    <x v="634"/>
    <x v="0"/>
    <x v="0"/>
    <x v="0"/>
    <x v="3"/>
  </r>
  <r>
    <x v="665"/>
    <x v="1"/>
    <x v="1"/>
    <x v="1"/>
    <x v="1"/>
    <x v="2"/>
    <x v="0"/>
    <x v="0"/>
    <x v="0"/>
    <x v="0"/>
    <x v="0"/>
    <x v="0"/>
    <x v="0"/>
    <x v="1"/>
    <x v="666"/>
    <x v="1"/>
    <x v="13"/>
    <x v="1"/>
    <x v="666"/>
    <x v="666"/>
    <x v="0"/>
    <x v="0"/>
    <x v="0"/>
    <x v="1"/>
    <x v="71"/>
    <x v="242"/>
    <x v="131"/>
    <x v="453"/>
    <x v="609"/>
    <x v="627"/>
    <x v="560"/>
    <x v="615"/>
    <x v="635"/>
    <x v="0"/>
    <x v="635"/>
    <x v="0"/>
    <x v="1"/>
    <x v="0"/>
    <x v="635"/>
    <x v="0"/>
    <x v="0"/>
    <x v="0"/>
    <x v="3"/>
  </r>
  <r>
    <x v="666"/>
    <x v="1"/>
    <x v="2"/>
    <x v="1"/>
    <x v="1"/>
    <x v="2"/>
    <x v="0"/>
    <x v="0"/>
    <x v="0"/>
    <x v="0"/>
    <x v="0"/>
    <x v="0"/>
    <x v="0"/>
    <x v="14"/>
    <x v="667"/>
    <x v="6"/>
    <x v="29"/>
    <x v="0"/>
    <x v="667"/>
    <x v="667"/>
    <x v="126"/>
    <x v="143"/>
    <x v="208"/>
    <x v="144"/>
    <x v="527"/>
    <x v="243"/>
    <x v="354"/>
    <x v="503"/>
    <x v="610"/>
    <x v="628"/>
    <x v="571"/>
    <x v="604"/>
    <x v="636"/>
    <x v="208"/>
    <x v="636"/>
    <x v="0"/>
    <x v="1"/>
    <x v="0"/>
    <x v="636"/>
    <x v="0"/>
    <x v="395"/>
    <x v="0"/>
    <x v="3"/>
  </r>
  <r>
    <x v="667"/>
    <x v="2"/>
    <x v="2"/>
    <x v="0"/>
    <x v="1"/>
    <x v="123"/>
    <x v="1"/>
    <x v="0"/>
    <x v="0"/>
    <x v="0"/>
    <x v="0"/>
    <x v="0"/>
    <x v="0"/>
    <x v="49"/>
    <x v="668"/>
    <x v="12"/>
    <x v="77"/>
    <x v="0"/>
    <x v="668"/>
    <x v="668"/>
    <x v="0"/>
    <x v="0"/>
    <x v="0"/>
    <x v="1"/>
    <x v="477"/>
    <x v="0"/>
    <x v="0"/>
    <x v="1"/>
    <x v="542"/>
    <x v="629"/>
    <x v="1"/>
    <x v="540"/>
    <x v="637"/>
    <x v="0"/>
    <x v="637"/>
    <x v="0"/>
    <x v="1"/>
    <x v="0"/>
    <x v="637"/>
    <x v="1"/>
    <x v="0"/>
    <x v="0"/>
    <x v="3"/>
  </r>
  <r>
    <x v="668"/>
    <x v="1"/>
    <x v="2"/>
    <x v="1"/>
    <x v="1"/>
    <x v="2"/>
    <x v="0"/>
    <x v="0"/>
    <x v="0"/>
    <x v="0"/>
    <x v="0"/>
    <x v="0"/>
    <x v="0"/>
    <x v="7"/>
    <x v="669"/>
    <x v="6"/>
    <x v="8"/>
    <x v="0"/>
    <x v="669"/>
    <x v="669"/>
    <x v="0"/>
    <x v="0"/>
    <x v="0"/>
    <x v="413"/>
    <x v="528"/>
    <x v="0"/>
    <x v="0"/>
    <x v="504"/>
    <x v="611"/>
    <x v="630"/>
    <x v="572"/>
    <x v="616"/>
    <x v="638"/>
    <x v="0"/>
    <x v="638"/>
    <x v="0"/>
    <x v="1"/>
    <x v="0"/>
    <x v="638"/>
    <x v="0"/>
    <x v="0"/>
    <x v="0"/>
    <x v="3"/>
  </r>
  <r>
    <x v="669"/>
    <x v="0"/>
    <x v="2"/>
    <x v="0"/>
    <x v="1"/>
    <x v="2"/>
    <x v="1"/>
    <x v="0"/>
    <x v="0"/>
    <x v="0"/>
    <x v="0"/>
    <x v="0"/>
    <x v="0"/>
    <x v="51"/>
    <x v="670"/>
    <x v="8"/>
    <x v="52"/>
    <x v="0"/>
    <x v="670"/>
    <x v="670"/>
    <x v="179"/>
    <x v="100"/>
    <x v="155"/>
    <x v="1"/>
    <x v="529"/>
    <x v="0"/>
    <x v="355"/>
    <x v="1"/>
    <x v="612"/>
    <x v="631"/>
    <x v="573"/>
    <x v="617"/>
    <x v="639"/>
    <x v="155"/>
    <x v="639"/>
    <x v="0"/>
    <x v="1"/>
    <x v="0"/>
    <x v="639"/>
    <x v="1"/>
    <x v="396"/>
    <x v="0"/>
    <x v="3"/>
  </r>
  <r>
    <x v="670"/>
    <x v="0"/>
    <x v="2"/>
    <x v="3"/>
    <x v="54"/>
    <x v="2"/>
    <x v="0"/>
    <x v="0"/>
    <x v="0"/>
    <x v="0"/>
    <x v="0"/>
    <x v="0"/>
    <x v="0"/>
    <x v="29"/>
    <x v="671"/>
    <x v="0"/>
    <x v="0"/>
    <x v="0"/>
    <x v="671"/>
    <x v="671"/>
    <x v="110"/>
    <x v="178"/>
    <x v="188"/>
    <x v="1"/>
    <x v="71"/>
    <x v="0"/>
    <x v="356"/>
    <x v="1"/>
    <x v="613"/>
    <x v="632"/>
    <x v="418"/>
    <x v="618"/>
    <x v="640"/>
    <x v="188"/>
    <x v="640"/>
    <x v="0"/>
    <x v="1"/>
    <x v="0"/>
    <x v="640"/>
    <x v="1"/>
    <x v="397"/>
    <x v="0"/>
    <x v="3"/>
  </r>
  <r>
    <x v="671"/>
    <x v="2"/>
    <x v="2"/>
    <x v="0"/>
    <x v="1"/>
    <x v="2"/>
    <x v="1"/>
    <x v="0"/>
    <x v="0"/>
    <x v="0"/>
    <x v="0"/>
    <x v="0"/>
    <x v="0"/>
    <x v="35"/>
    <x v="672"/>
    <x v="12"/>
    <x v="76"/>
    <x v="0"/>
    <x v="672"/>
    <x v="672"/>
    <x v="0"/>
    <x v="0"/>
    <x v="0"/>
    <x v="414"/>
    <x v="530"/>
    <x v="0"/>
    <x v="0"/>
    <x v="505"/>
    <x v="571"/>
    <x v="633"/>
    <x v="574"/>
    <x v="619"/>
    <x v="641"/>
    <x v="0"/>
    <x v="641"/>
    <x v="0"/>
    <x v="1"/>
    <x v="0"/>
    <x v="641"/>
    <x v="0"/>
    <x v="0"/>
    <x v="0"/>
    <x v="3"/>
  </r>
  <r>
    <x v="672"/>
    <x v="0"/>
    <x v="0"/>
    <x v="0"/>
    <x v="1"/>
    <x v="124"/>
    <x v="0"/>
    <x v="0"/>
    <x v="0"/>
    <x v="0"/>
    <x v="0"/>
    <x v="0"/>
    <x v="0"/>
    <x v="52"/>
    <x v="673"/>
    <x v="8"/>
    <x v="78"/>
    <x v="0"/>
    <x v="673"/>
    <x v="673"/>
    <x v="114"/>
    <x v="152"/>
    <x v="157"/>
    <x v="246"/>
    <x v="531"/>
    <x v="244"/>
    <x v="343"/>
    <x v="502"/>
    <x v="614"/>
    <x v="634"/>
    <x v="575"/>
    <x v="620"/>
    <x v="642"/>
    <x v="157"/>
    <x v="642"/>
    <x v="0"/>
    <x v="1"/>
    <x v="0"/>
    <x v="642"/>
    <x v="0"/>
    <x v="398"/>
    <x v="0"/>
    <x v="3"/>
  </r>
  <r>
    <x v="673"/>
    <x v="2"/>
    <x v="2"/>
    <x v="3"/>
    <x v="1"/>
    <x v="63"/>
    <x v="1"/>
    <x v="0"/>
    <x v="0"/>
    <x v="0"/>
    <x v="0"/>
    <x v="0"/>
    <x v="0"/>
    <x v="12"/>
    <x v="674"/>
    <x v="2"/>
    <x v="2"/>
    <x v="0"/>
    <x v="674"/>
    <x v="674"/>
    <x v="0"/>
    <x v="0"/>
    <x v="0"/>
    <x v="395"/>
    <x v="532"/>
    <x v="0"/>
    <x v="0"/>
    <x v="463"/>
    <x v="615"/>
    <x v="635"/>
    <x v="279"/>
    <x v="621"/>
    <x v="642"/>
    <x v="0"/>
    <x v="642"/>
    <x v="0"/>
    <x v="1"/>
    <x v="0"/>
    <x v="642"/>
    <x v="0"/>
    <x v="0"/>
    <x v="0"/>
    <x v="3"/>
  </r>
  <r>
    <x v="674"/>
    <x v="0"/>
    <x v="1"/>
    <x v="0"/>
    <x v="1"/>
    <x v="125"/>
    <x v="1"/>
    <x v="0"/>
    <x v="0"/>
    <x v="0"/>
    <x v="0"/>
    <x v="0"/>
    <x v="0"/>
    <x v="10"/>
    <x v="675"/>
    <x v="7"/>
    <x v="11"/>
    <x v="0"/>
    <x v="675"/>
    <x v="675"/>
    <x v="97"/>
    <x v="0"/>
    <x v="98"/>
    <x v="415"/>
    <x v="505"/>
    <x v="245"/>
    <x v="357"/>
    <x v="506"/>
    <x v="571"/>
    <x v="636"/>
    <x v="576"/>
    <x v="619"/>
    <x v="643"/>
    <x v="98"/>
    <x v="643"/>
    <x v="0"/>
    <x v="1"/>
    <x v="0"/>
    <x v="643"/>
    <x v="0"/>
    <x v="399"/>
    <x v="0"/>
    <x v="3"/>
  </r>
  <r>
    <x v="675"/>
    <x v="0"/>
    <x v="2"/>
    <x v="2"/>
    <x v="55"/>
    <x v="2"/>
    <x v="0"/>
    <x v="0"/>
    <x v="0"/>
    <x v="0"/>
    <x v="0"/>
    <x v="0"/>
    <x v="0"/>
    <x v="21"/>
    <x v="676"/>
    <x v="11"/>
    <x v="55"/>
    <x v="0"/>
    <x v="676"/>
    <x v="676"/>
    <x v="114"/>
    <x v="191"/>
    <x v="192"/>
    <x v="1"/>
    <x v="533"/>
    <x v="0"/>
    <x v="326"/>
    <x v="1"/>
    <x v="616"/>
    <x v="637"/>
    <x v="472"/>
    <x v="622"/>
    <x v="644"/>
    <x v="192"/>
    <x v="644"/>
    <x v="0"/>
    <x v="1"/>
    <x v="0"/>
    <x v="644"/>
    <x v="1"/>
    <x v="400"/>
    <x v="0"/>
    <x v="3"/>
  </r>
  <r>
    <x v="676"/>
    <x v="1"/>
    <x v="2"/>
    <x v="1"/>
    <x v="1"/>
    <x v="2"/>
    <x v="0"/>
    <x v="0"/>
    <x v="0"/>
    <x v="0"/>
    <x v="0"/>
    <x v="0"/>
    <x v="0"/>
    <x v="6"/>
    <x v="677"/>
    <x v="5"/>
    <x v="7"/>
    <x v="0"/>
    <x v="677"/>
    <x v="677"/>
    <x v="162"/>
    <x v="145"/>
    <x v="135"/>
    <x v="1"/>
    <x v="534"/>
    <x v="0"/>
    <x v="358"/>
    <x v="1"/>
    <x v="617"/>
    <x v="638"/>
    <x v="524"/>
    <x v="623"/>
    <x v="644"/>
    <x v="135"/>
    <x v="644"/>
    <x v="0"/>
    <x v="1"/>
    <x v="0"/>
    <x v="644"/>
    <x v="1"/>
    <x v="401"/>
    <x v="0"/>
    <x v="3"/>
  </r>
  <r>
    <x v="677"/>
    <x v="1"/>
    <x v="2"/>
    <x v="1"/>
    <x v="1"/>
    <x v="2"/>
    <x v="0"/>
    <x v="0"/>
    <x v="0"/>
    <x v="0"/>
    <x v="0"/>
    <x v="0"/>
    <x v="0"/>
    <x v="22"/>
    <x v="678"/>
    <x v="9"/>
    <x v="22"/>
    <x v="0"/>
    <x v="678"/>
    <x v="678"/>
    <x v="0"/>
    <x v="0"/>
    <x v="0"/>
    <x v="416"/>
    <x v="535"/>
    <x v="0"/>
    <x v="0"/>
    <x v="507"/>
    <x v="618"/>
    <x v="634"/>
    <x v="577"/>
    <x v="624"/>
    <x v="644"/>
    <x v="0"/>
    <x v="644"/>
    <x v="0"/>
    <x v="1"/>
    <x v="0"/>
    <x v="644"/>
    <x v="0"/>
    <x v="0"/>
    <x v="0"/>
    <x v="3"/>
  </r>
  <r>
    <x v="678"/>
    <x v="1"/>
    <x v="2"/>
    <x v="1"/>
    <x v="1"/>
    <x v="2"/>
    <x v="0"/>
    <x v="0"/>
    <x v="0"/>
    <x v="0"/>
    <x v="0"/>
    <x v="0"/>
    <x v="0"/>
    <x v="1"/>
    <x v="679"/>
    <x v="1"/>
    <x v="47"/>
    <x v="1"/>
    <x v="679"/>
    <x v="679"/>
    <x v="0"/>
    <x v="138"/>
    <x v="98"/>
    <x v="1"/>
    <x v="71"/>
    <x v="206"/>
    <x v="220"/>
    <x v="438"/>
    <x v="619"/>
    <x v="639"/>
    <x v="578"/>
    <x v="625"/>
    <x v="645"/>
    <x v="98"/>
    <x v="645"/>
    <x v="0"/>
    <x v="1"/>
    <x v="0"/>
    <x v="645"/>
    <x v="0"/>
    <x v="402"/>
    <x v="0"/>
    <x v="3"/>
  </r>
  <r>
    <x v="679"/>
    <x v="0"/>
    <x v="2"/>
    <x v="0"/>
    <x v="1"/>
    <x v="2"/>
    <x v="0"/>
    <x v="0"/>
    <x v="0"/>
    <x v="0"/>
    <x v="0"/>
    <x v="0"/>
    <x v="0"/>
    <x v="22"/>
    <x v="680"/>
    <x v="9"/>
    <x v="22"/>
    <x v="0"/>
    <x v="680"/>
    <x v="680"/>
    <x v="0"/>
    <x v="0"/>
    <x v="0"/>
    <x v="417"/>
    <x v="536"/>
    <x v="0"/>
    <x v="0"/>
    <x v="508"/>
    <x v="620"/>
    <x v="639"/>
    <x v="579"/>
    <x v="626"/>
    <x v="646"/>
    <x v="0"/>
    <x v="646"/>
    <x v="0"/>
    <x v="1"/>
    <x v="0"/>
    <x v="646"/>
    <x v="0"/>
    <x v="0"/>
    <x v="0"/>
    <x v="3"/>
  </r>
  <r>
    <x v="680"/>
    <x v="0"/>
    <x v="2"/>
    <x v="0"/>
    <x v="1"/>
    <x v="2"/>
    <x v="0"/>
    <x v="0"/>
    <x v="0"/>
    <x v="0"/>
    <x v="0"/>
    <x v="0"/>
    <x v="0"/>
    <x v="17"/>
    <x v="681"/>
    <x v="9"/>
    <x v="22"/>
    <x v="0"/>
    <x v="681"/>
    <x v="681"/>
    <x v="179"/>
    <x v="152"/>
    <x v="135"/>
    <x v="1"/>
    <x v="537"/>
    <x v="0"/>
    <x v="340"/>
    <x v="1"/>
    <x v="621"/>
    <x v="556"/>
    <x v="573"/>
    <x v="497"/>
    <x v="647"/>
    <x v="135"/>
    <x v="647"/>
    <x v="0"/>
    <x v="1"/>
    <x v="0"/>
    <x v="647"/>
    <x v="1"/>
    <x v="403"/>
    <x v="0"/>
    <x v="3"/>
  </r>
  <r>
    <x v="681"/>
    <x v="1"/>
    <x v="2"/>
    <x v="1"/>
    <x v="1"/>
    <x v="2"/>
    <x v="0"/>
    <x v="0"/>
    <x v="0"/>
    <x v="0"/>
    <x v="0"/>
    <x v="0"/>
    <x v="0"/>
    <x v="16"/>
    <x v="682"/>
    <x v="10"/>
    <x v="21"/>
    <x v="0"/>
    <x v="682"/>
    <x v="682"/>
    <x v="122"/>
    <x v="177"/>
    <x v="236"/>
    <x v="1"/>
    <x v="538"/>
    <x v="0"/>
    <x v="359"/>
    <x v="1"/>
    <x v="622"/>
    <x v="640"/>
    <x v="580"/>
    <x v="627"/>
    <x v="648"/>
    <x v="236"/>
    <x v="648"/>
    <x v="0"/>
    <x v="1"/>
    <x v="0"/>
    <x v="648"/>
    <x v="1"/>
    <x v="404"/>
    <x v="0"/>
    <x v="3"/>
  </r>
  <r>
    <x v="682"/>
    <x v="1"/>
    <x v="2"/>
    <x v="1"/>
    <x v="1"/>
    <x v="126"/>
    <x v="0"/>
    <x v="0"/>
    <x v="0"/>
    <x v="0"/>
    <x v="0"/>
    <x v="0"/>
    <x v="0"/>
    <x v="9"/>
    <x v="683"/>
    <x v="6"/>
    <x v="29"/>
    <x v="1"/>
    <x v="683"/>
    <x v="683"/>
    <x v="0"/>
    <x v="0"/>
    <x v="0"/>
    <x v="418"/>
    <x v="539"/>
    <x v="0"/>
    <x v="0"/>
    <x v="452"/>
    <x v="623"/>
    <x v="556"/>
    <x v="581"/>
    <x v="628"/>
    <x v="648"/>
    <x v="0"/>
    <x v="648"/>
    <x v="0"/>
    <x v="1"/>
    <x v="0"/>
    <x v="648"/>
    <x v="0"/>
    <x v="0"/>
    <x v="0"/>
    <x v="3"/>
  </r>
  <r>
    <x v="683"/>
    <x v="1"/>
    <x v="2"/>
    <x v="1"/>
    <x v="1"/>
    <x v="2"/>
    <x v="0"/>
    <x v="0"/>
    <x v="0"/>
    <x v="0"/>
    <x v="0"/>
    <x v="0"/>
    <x v="0"/>
    <x v="7"/>
    <x v="684"/>
    <x v="6"/>
    <x v="29"/>
    <x v="0"/>
    <x v="684"/>
    <x v="684"/>
    <x v="0"/>
    <x v="152"/>
    <x v="150"/>
    <x v="1"/>
    <x v="540"/>
    <x v="246"/>
    <x v="360"/>
    <x v="509"/>
    <x v="624"/>
    <x v="641"/>
    <x v="582"/>
    <x v="629"/>
    <x v="649"/>
    <x v="150"/>
    <x v="649"/>
    <x v="0"/>
    <x v="1"/>
    <x v="0"/>
    <x v="649"/>
    <x v="0"/>
    <x v="405"/>
    <x v="0"/>
    <x v="3"/>
  </r>
  <r>
    <x v="684"/>
    <x v="0"/>
    <x v="2"/>
    <x v="0"/>
    <x v="1"/>
    <x v="2"/>
    <x v="1"/>
    <x v="0"/>
    <x v="0"/>
    <x v="0"/>
    <x v="0"/>
    <x v="0"/>
    <x v="0"/>
    <x v="49"/>
    <x v="685"/>
    <x v="12"/>
    <x v="77"/>
    <x v="0"/>
    <x v="685"/>
    <x v="685"/>
    <x v="0"/>
    <x v="63"/>
    <x v="154"/>
    <x v="1"/>
    <x v="541"/>
    <x v="247"/>
    <x v="166"/>
    <x v="510"/>
    <x v="625"/>
    <x v="642"/>
    <x v="583"/>
    <x v="630"/>
    <x v="650"/>
    <x v="154"/>
    <x v="650"/>
    <x v="0"/>
    <x v="1"/>
    <x v="0"/>
    <x v="650"/>
    <x v="0"/>
    <x v="406"/>
    <x v="0"/>
    <x v="3"/>
  </r>
  <r>
    <x v="685"/>
    <x v="0"/>
    <x v="2"/>
    <x v="2"/>
    <x v="56"/>
    <x v="2"/>
    <x v="1"/>
    <x v="0"/>
    <x v="0"/>
    <x v="0"/>
    <x v="0"/>
    <x v="0"/>
    <x v="0"/>
    <x v="0"/>
    <x v="686"/>
    <x v="0"/>
    <x v="0"/>
    <x v="0"/>
    <x v="686"/>
    <x v="686"/>
    <x v="143"/>
    <x v="42"/>
    <x v="246"/>
    <x v="1"/>
    <x v="71"/>
    <x v="248"/>
    <x v="306"/>
    <x v="511"/>
    <x v="614"/>
    <x v="643"/>
    <x v="584"/>
    <x v="631"/>
    <x v="651"/>
    <x v="246"/>
    <x v="651"/>
    <x v="0"/>
    <x v="1"/>
    <x v="0"/>
    <x v="651"/>
    <x v="0"/>
    <x v="407"/>
    <x v="0"/>
    <x v="3"/>
  </r>
  <r>
    <x v="686"/>
    <x v="1"/>
    <x v="2"/>
    <x v="1"/>
    <x v="1"/>
    <x v="2"/>
    <x v="0"/>
    <x v="0"/>
    <x v="0"/>
    <x v="0"/>
    <x v="0"/>
    <x v="0"/>
    <x v="0"/>
    <x v="6"/>
    <x v="687"/>
    <x v="5"/>
    <x v="12"/>
    <x v="0"/>
    <x v="687"/>
    <x v="687"/>
    <x v="104"/>
    <x v="152"/>
    <x v="165"/>
    <x v="419"/>
    <x v="542"/>
    <x v="0"/>
    <x v="354"/>
    <x v="512"/>
    <x v="536"/>
    <x v="644"/>
    <x v="325"/>
    <x v="632"/>
    <x v="652"/>
    <x v="165"/>
    <x v="652"/>
    <x v="0"/>
    <x v="1"/>
    <x v="0"/>
    <x v="652"/>
    <x v="0"/>
    <x v="408"/>
    <x v="0"/>
    <x v="3"/>
  </r>
  <r>
    <x v="687"/>
    <x v="1"/>
    <x v="2"/>
    <x v="1"/>
    <x v="1"/>
    <x v="2"/>
    <x v="0"/>
    <x v="0"/>
    <x v="0"/>
    <x v="0"/>
    <x v="0"/>
    <x v="0"/>
    <x v="0"/>
    <x v="18"/>
    <x v="688"/>
    <x v="5"/>
    <x v="58"/>
    <x v="0"/>
    <x v="688"/>
    <x v="688"/>
    <x v="114"/>
    <x v="0"/>
    <x v="164"/>
    <x v="1"/>
    <x v="512"/>
    <x v="0"/>
    <x v="169"/>
    <x v="1"/>
    <x v="528"/>
    <x v="564"/>
    <x v="472"/>
    <x v="627"/>
    <x v="653"/>
    <x v="164"/>
    <x v="653"/>
    <x v="0"/>
    <x v="1"/>
    <x v="0"/>
    <x v="653"/>
    <x v="1"/>
    <x v="409"/>
    <x v="0"/>
    <x v="3"/>
  </r>
  <r>
    <x v="688"/>
    <x v="1"/>
    <x v="2"/>
    <x v="1"/>
    <x v="1"/>
    <x v="2"/>
    <x v="0"/>
    <x v="0"/>
    <x v="0"/>
    <x v="0"/>
    <x v="0"/>
    <x v="0"/>
    <x v="0"/>
    <x v="1"/>
    <x v="689"/>
    <x v="1"/>
    <x v="13"/>
    <x v="1"/>
    <x v="689"/>
    <x v="689"/>
    <x v="0"/>
    <x v="0"/>
    <x v="0"/>
    <x v="1"/>
    <x v="71"/>
    <x v="225"/>
    <x v="361"/>
    <x v="472"/>
    <x v="626"/>
    <x v="645"/>
    <x v="548"/>
    <x v="579"/>
    <x v="654"/>
    <x v="0"/>
    <x v="654"/>
    <x v="0"/>
    <x v="1"/>
    <x v="0"/>
    <x v="654"/>
    <x v="0"/>
    <x v="0"/>
    <x v="0"/>
    <x v="3"/>
  </r>
  <r>
    <x v="689"/>
    <x v="1"/>
    <x v="2"/>
    <x v="1"/>
    <x v="1"/>
    <x v="2"/>
    <x v="0"/>
    <x v="0"/>
    <x v="0"/>
    <x v="0"/>
    <x v="0"/>
    <x v="0"/>
    <x v="0"/>
    <x v="4"/>
    <x v="690"/>
    <x v="10"/>
    <x v="39"/>
    <x v="0"/>
    <x v="690"/>
    <x v="690"/>
    <x v="198"/>
    <x v="224"/>
    <x v="274"/>
    <x v="1"/>
    <x v="238"/>
    <x v="0"/>
    <x v="362"/>
    <x v="1"/>
    <x v="627"/>
    <x v="646"/>
    <x v="405"/>
    <x v="633"/>
    <x v="655"/>
    <x v="274"/>
    <x v="655"/>
    <x v="0"/>
    <x v="1"/>
    <x v="0"/>
    <x v="655"/>
    <x v="0"/>
    <x v="410"/>
    <x v="0"/>
    <x v="3"/>
  </r>
  <r>
    <x v="690"/>
    <x v="0"/>
    <x v="2"/>
    <x v="0"/>
    <x v="1"/>
    <x v="2"/>
    <x v="1"/>
    <x v="0"/>
    <x v="0"/>
    <x v="0"/>
    <x v="0"/>
    <x v="0"/>
    <x v="0"/>
    <x v="9"/>
    <x v="691"/>
    <x v="7"/>
    <x v="27"/>
    <x v="0"/>
    <x v="691"/>
    <x v="691"/>
    <x v="0"/>
    <x v="0"/>
    <x v="0"/>
    <x v="1"/>
    <x v="543"/>
    <x v="0"/>
    <x v="0"/>
    <x v="1"/>
    <x v="628"/>
    <x v="647"/>
    <x v="1"/>
    <x v="634"/>
    <x v="656"/>
    <x v="0"/>
    <x v="656"/>
    <x v="0"/>
    <x v="1"/>
    <x v="0"/>
    <x v="656"/>
    <x v="1"/>
    <x v="0"/>
    <x v="0"/>
    <x v="3"/>
  </r>
  <r>
    <x v="691"/>
    <x v="2"/>
    <x v="2"/>
    <x v="0"/>
    <x v="1"/>
    <x v="107"/>
    <x v="1"/>
    <x v="0"/>
    <x v="0"/>
    <x v="0"/>
    <x v="0"/>
    <x v="0"/>
    <x v="0"/>
    <x v="22"/>
    <x v="692"/>
    <x v="12"/>
    <x v="32"/>
    <x v="0"/>
    <x v="692"/>
    <x v="692"/>
    <x v="0"/>
    <x v="0"/>
    <x v="0"/>
    <x v="358"/>
    <x v="304"/>
    <x v="0"/>
    <x v="0"/>
    <x v="513"/>
    <x v="629"/>
    <x v="648"/>
    <x v="585"/>
    <x v="635"/>
    <x v="657"/>
    <x v="0"/>
    <x v="657"/>
    <x v="0"/>
    <x v="1"/>
    <x v="0"/>
    <x v="657"/>
    <x v="0"/>
    <x v="0"/>
    <x v="0"/>
    <x v="3"/>
  </r>
  <r>
    <x v="692"/>
    <x v="1"/>
    <x v="2"/>
    <x v="1"/>
    <x v="1"/>
    <x v="2"/>
    <x v="0"/>
    <x v="0"/>
    <x v="0"/>
    <x v="0"/>
    <x v="0"/>
    <x v="0"/>
    <x v="0"/>
    <x v="14"/>
    <x v="693"/>
    <x v="6"/>
    <x v="8"/>
    <x v="0"/>
    <x v="693"/>
    <x v="693"/>
    <x v="179"/>
    <x v="138"/>
    <x v="212"/>
    <x v="420"/>
    <x v="544"/>
    <x v="243"/>
    <x v="331"/>
    <x v="514"/>
    <x v="553"/>
    <x v="649"/>
    <x v="586"/>
    <x v="636"/>
    <x v="658"/>
    <x v="212"/>
    <x v="658"/>
    <x v="0"/>
    <x v="1"/>
    <x v="0"/>
    <x v="658"/>
    <x v="0"/>
    <x v="411"/>
    <x v="0"/>
    <x v="3"/>
  </r>
  <r>
    <x v="693"/>
    <x v="0"/>
    <x v="2"/>
    <x v="0"/>
    <x v="1"/>
    <x v="127"/>
    <x v="0"/>
    <x v="0"/>
    <x v="0"/>
    <x v="0"/>
    <x v="0"/>
    <x v="0"/>
    <x v="0"/>
    <x v="22"/>
    <x v="694"/>
    <x v="7"/>
    <x v="27"/>
    <x v="0"/>
    <x v="694"/>
    <x v="694"/>
    <x v="0"/>
    <x v="0"/>
    <x v="0"/>
    <x v="144"/>
    <x v="495"/>
    <x v="0"/>
    <x v="0"/>
    <x v="515"/>
    <x v="606"/>
    <x v="632"/>
    <x v="587"/>
    <x v="637"/>
    <x v="659"/>
    <x v="0"/>
    <x v="659"/>
    <x v="0"/>
    <x v="1"/>
    <x v="0"/>
    <x v="659"/>
    <x v="0"/>
    <x v="0"/>
    <x v="0"/>
    <x v="3"/>
  </r>
  <r>
    <x v="694"/>
    <x v="1"/>
    <x v="2"/>
    <x v="1"/>
    <x v="1"/>
    <x v="2"/>
    <x v="0"/>
    <x v="0"/>
    <x v="0"/>
    <x v="0"/>
    <x v="0"/>
    <x v="0"/>
    <x v="0"/>
    <x v="25"/>
    <x v="695"/>
    <x v="1"/>
    <x v="10"/>
    <x v="1"/>
    <x v="695"/>
    <x v="695"/>
    <x v="0"/>
    <x v="0"/>
    <x v="0"/>
    <x v="421"/>
    <x v="545"/>
    <x v="0"/>
    <x v="0"/>
    <x v="516"/>
    <x v="630"/>
    <x v="650"/>
    <x v="588"/>
    <x v="638"/>
    <x v="660"/>
    <x v="0"/>
    <x v="660"/>
    <x v="0"/>
    <x v="1"/>
    <x v="0"/>
    <x v="660"/>
    <x v="0"/>
    <x v="0"/>
    <x v="0"/>
    <x v="3"/>
  </r>
  <r>
    <x v="695"/>
    <x v="0"/>
    <x v="2"/>
    <x v="0"/>
    <x v="1"/>
    <x v="2"/>
    <x v="0"/>
    <x v="0"/>
    <x v="0"/>
    <x v="0"/>
    <x v="0"/>
    <x v="0"/>
    <x v="0"/>
    <x v="6"/>
    <x v="696"/>
    <x v="0"/>
    <x v="60"/>
    <x v="0"/>
    <x v="696"/>
    <x v="696"/>
    <x v="179"/>
    <x v="145"/>
    <x v="165"/>
    <x v="71"/>
    <x v="48"/>
    <x v="249"/>
    <x v="363"/>
    <x v="513"/>
    <x v="631"/>
    <x v="651"/>
    <x v="589"/>
    <x v="639"/>
    <x v="661"/>
    <x v="165"/>
    <x v="661"/>
    <x v="0"/>
    <x v="1"/>
    <x v="0"/>
    <x v="661"/>
    <x v="0"/>
    <x v="412"/>
    <x v="0"/>
    <x v="3"/>
  </r>
  <r>
    <x v="696"/>
    <x v="1"/>
    <x v="2"/>
    <x v="1"/>
    <x v="1"/>
    <x v="2"/>
    <x v="0"/>
    <x v="0"/>
    <x v="0"/>
    <x v="0"/>
    <x v="0"/>
    <x v="0"/>
    <x v="0"/>
    <x v="46"/>
    <x v="697"/>
    <x v="5"/>
    <x v="65"/>
    <x v="0"/>
    <x v="697"/>
    <x v="697"/>
    <x v="0"/>
    <x v="0"/>
    <x v="0"/>
    <x v="422"/>
    <x v="307"/>
    <x v="0"/>
    <x v="0"/>
    <x v="517"/>
    <x v="632"/>
    <x v="652"/>
    <x v="576"/>
    <x v="640"/>
    <x v="662"/>
    <x v="0"/>
    <x v="662"/>
    <x v="0"/>
    <x v="1"/>
    <x v="0"/>
    <x v="662"/>
    <x v="0"/>
    <x v="0"/>
    <x v="0"/>
    <x v="3"/>
  </r>
  <r>
    <x v="697"/>
    <x v="1"/>
    <x v="2"/>
    <x v="1"/>
    <x v="1"/>
    <x v="2"/>
    <x v="0"/>
    <x v="0"/>
    <x v="0"/>
    <x v="0"/>
    <x v="0"/>
    <x v="0"/>
    <x v="0"/>
    <x v="1"/>
    <x v="698"/>
    <x v="1"/>
    <x v="25"/>
    <x v="0"/>
    <x v="698"/>
    <x v="698"/>
    <x v="0"/>
    <x v="0"/>
    <x v="0"/>
    <x v="423"/>
    <x v="512"/>
    <x v="0"/>
    <x v="0"/>
    <x v="518"/>
    <x v="592"/>
    <x v="653"/>
    <x v="590"/>
    <x v="591"/>
    <x v="663"/>
    <x v="0"/>
    <x v="663"/>
    <x v="0"/>
    <x v="1"/>
    <x v="0"/>
    <x v="663"/>
    <x v="0"/>
    <x v="0"/>
    <x v="0"/>
    <x v="3"/>
  </r>
  <r>
    <x v="698"/>
    <x v="2"/>
    <x v="2"/>
    <x v="0"/>
    <x v="1"/>
    <x v="2"/>
    <x v="1"/>
    <x v="0"/>
    <x v="0"/>
    <x v="0"/>
    <x v="0"/>
    <x v="0"/>
    <x v="0"/>
    <x v="2"/>
    <x v="699"/>
    <x v="2"/>
    <x v="2"/>
    <x v="0"/>
    <x v="699"/>
    <x v="699"/>
    <x v="0"/>
    <x v="0"/>
    <x v="0"/>
    <x v="1"/>
    <x v="537"/>
    <x v="0"/>
    <x v="0"/>
    <x v="1"/>
    <x v="543"/>
    <x v="643"/>
    <x v="1"/>
    <x v="641"/>
    <x v="664"/>
    <x v="0"/>
    <x v="664"/>
    <x v="0"/>
    <x v="1"/>
    <x v="0"/>
    <x v="664"/>
    <x v="1"/>
    <x v="0"/>
    <x v="0"/>
    <x v="3"/>
  </r>
  <r>
    <x v="699"/>
    <x v="0"/>
    <x v="2"/>
    <x v="0"/>
    <x v="1"/>
    <x v="2"/>
    <x v="0"/>
    <x v="0"/>
    <x v="0"/>
    <x v="0"/>
    <x v="0"/>
    <x v="0"/>
    <x v="0"/>
    <x v="12"/>
    <x v="700"/>
    <x v="7"/>
    <x v="16"/>
    <x v="0"/>
    <x v="700"/>
    <x v="700"/>
    <x v="0"/>
    <x v="0"/>
    <x v="0"/>
    <x v="408"/>
    <x v="516"/>
    <x v="0"/>
    <x v="0"/>
    <x v="490"/>
    <x v="633"/>
    <x v="643"/>
    <x v="492"/>
    <x v="642"/>
    <x v="664"/>
    <x v="0"/>
    <x v="664"/>
    <x v="0"/>
    <x v="1"/>
    <x v="0"/>
    <x v="664"/>
    <x v="0"/>
    <x v="0"/>
    <x v="0"/>
    <x v="3"/>
  </r>
  <r>
    <x v="700"/>
    <x v="1"/>
    <x v="2"/>
    <x v="1"/>
    <x v="1"/>
    <x v="2"/>
    <x v="0"/>
    <x v="0"/>
    <x v="0"/>
    <x v="0"/>
    <x v="0"/>
    <x v="0"/>
    <x v="0"/>
    <x v="18"/>
    <x v="701"/>
    <x v="5"/>
    <x v="58"/>
    <x v="0"/>
    <x v="701"/>
    <x v="701"/>
    <x v="0"/>
    <x v="0"/>
    <x v="0"/>
    <x v="1"/>
    <x v="470"/>
    <x v="0"/>
    <x v="0"/>
    <x v="1"/>
    <x v="634"/>
    <x v="654"/>
    <x v="1"/>
    <x v="643"/>
    <x v="665"/>
    <x v="0"/>
    <x v="665"/>
    <x v="0"/>
    <x v="1"/>
    <x v="0"/>
    <x v="665"/>
    <x v="1"/>
    <x v="0"/>
    <x v="0"/>
    <x v="3"/>
  </r>
  <r>
    <x v="701"/>
    <x v="1"/>
    <x v="2"/>
    <x v="1"/>
    <x v="1"/>
    <x v="2"/>
    <x v="0"/>
    <x v="0"/>
    <x v="0"/>
    <x v="0"/>
    <x v="0"/>
    <x v="0"/>
    <x v="0"/>
    <x v="38"/>
    <x v="702"/>
    <x v="5"/>
    <x v="31"/>
    <x v="0"/>
    <x v="702"/>
    <x v="702"/>
    <x v="233"/>
    <x v="225"/>
    <x v="113"/>
    <x v="1"/>
    <x v="546"/>
    <x v="0"/>
    <x v="364"/>
    <x v="1"/>
    <x v="635"/>
    <x v="655"/>
    <x v="591"/>
    <x v="644"/>
    <x v="666"/>
    <x v="113"/>
    <x v="666"/>
    <x v="0"/>
    <x v="1"/>
    <x v="0"/>
    <x v="666"/>
    <x v="0"/>
    <x v="413"/>
    <x v="0"/>
    <x v="3"/>
  </r>
  <r>
    <x v="702"/>
    <x v="1"/>
    <x v="2"/>
    <x v="1"/>
    <x v="1"/>
    <x v="2"/>
    <x v="0"/>
    <x v="0"/>
    <x v="0"/>
    <x v="0"/>
    <x v="0"/>
    <x v="0"/>
    <x v="0"/>
    <x v="9"/>
    <x v="703"/>
    <x v="1"/>
    <x v="10"/>
    <x v="0"/>
    <x v="703"/>
    <x v="703"/>
    <x v="0"/>
    <x v="0"/>
    <x v="0"/>
    <x v="424"/>
    <x v="547"/>
    <x v="0"/>
    <x v="0"/>
    <x v="494"/>
    <x v="514"/>
    <x v="656"/>
    <x v="558"/>
    <x v="512"/>
    <x v="666"/>
    <x v="0"/>
    <x v="666"/>
    <x v="0"/>
    <x v="1"/>
    <x v="0"/>
    <x v="666"/>
    <x v="0"/>
    <x v="0"/>
    <x v="0"/>
    <x v="3"/>
  </r>
  <r>
    <x v="703"/>
    <x v="0"/>
    <x v="2"/>
    <x v="0"/>
    <x v="1"/>
    <x v="2"/>
    <x v="0"/>
    <x v="0"/>
    <x v="0"/>
    <x v="0"/>
    <x v="0"/>
    <x v="0"/>
    <x v="0"/>
    <x v="15"/>
    <x v="704"/>
    <x v="0"/>
    <x v="64"/>
    <x v="0"/>
    <x v="704"/>
    <x v="704"/>
    <x v="35"/>
    <x v="218"/>
    <x v="268"/>
    <x v="425"/>
    <x v="500"/>
    <x v="0"/>
    <x v="346"/>
    <x v="482"/>
    <x v="636"/>
    <x v="657"/>
    <x v="592"/>
    <x v="591"/>
    <x v="667"/>
    <x v="268"/>
    <x v="667"/>
    <x v="0"/>
    <x v="1"/>
    <x v="0"/>
    <x v="667"/>
    <x v="0"/>
    <x v="414"/>
    <x v="0"/>
    <x v="3"/>
  </r>
  <r>
    <x v="704"/>
    <x v="0"/>
    <x v="1"/>
    <x v="0"/>
    <x v="1"/>
    <x v="128"/>
    <x v="0"/>
    <x v="0"/>
    <x v="0"/>
    <x v="0"/>
    <x v="0"/>
    <x v="0"/>
    <x v="0"/>
    <x v="40"/>
    <x v="705"/>
    <x v="7"/>
    <x v="27"/>
    <x v="0"/>
    <x v="705"/>
    <x v="705"/>
    <x v="179"/>
    <x v="0"/>
    <x v="157"/>
    <x v="426"/>
    <x v="137"/>
    <x v="0"/>
    <x v="365"/>
    <x v="519"/>
    <x v="637"/>
    <x v="658"/>
    <x v="593"/>
    <x v="645"/>
    <x v="668"/>
    <x v="157"/>
    <x v="668"/>
    <x v="0"/>
    <x v="1"/>
    <x v="0"/>
    <x v="668"/>
    <x v="0"/>
    <x v="415"/>
    <x v="0"/>
    <x v="3"/>
  </r>
  <r>
    <x v="705"/>
    <x v="2"/>
    <x v="2"/>
    <x v="0"/>
    <x v="1"/>
    <x v="107"/>
    <x v="1"/>
    <x v="0"/>
    <x v="0"/>
    <x v="0"/>
    <x v="0"/>
    <x v="0"/>
    <x v="0"/>
    <x v="12"/>
    <x v="706"/>
    <x v="2"/>
    <x v="2"/>
    <x v="2"/>
    <x v="706"/>
    <x v="706"/>
    <x v="0"/>
    <x v="0"/>
    <x v="0"/>
    <x v="412"/>
    <x v="548"/>
    <x v="0"/>
    <x v="0"/>
    <x v="500"/>
    <x v="638"/>
    <x v="659"/>
    <x v="566"/>
    <x v="646"/>
    <x v="668"/>
    <x v="0"/>
    <x v="668"/>
    <x v="0"/>
    <x v="1"/>
    <x v="0"/>
    <x v="668"/>
    <x v="0"/>
    <x v="0"/>
    <x v="0"/>
    <x v="3"/>
  </r>
  <r>
    <x v="706"/>
    <x v="0"/>
    <x v="2"/>
    <x v="0"/>
    <x v="1"/>
    <x v="2"/>
    <x v="0"/>
    <x v="0"/>
    <x v="0"/>
    <x v="0"/>
    <x v="0"/>
    <x v="0"/>
    <x v="0"/>
    <x v="50"/>
    <x v="707"/>
    <x v="2"/>
    <x v="2"/>
    <x v="2"/>
    <x v="707"/>
    <x v="707"/>
    <x v="153"/>
    <x v="152"/>
    <x v="192"/>
    <x v="381"/>
    <x v="128"/>
    <x v="192"/>
    <x v="366"/>
    <x v="520"/>
    <x v="639"/>
    <x v="660"/>
    <x v="594"/>
    <x v="647"/>
    <x v="669"/>
    <x v="192"/>
    <x v="669"/>
    <x v="0"/>
    <x v="1"/>
    <x v="0"/>
    <x v="669"/>
    <x v="0"/>
    <x v="416"/>
    <x v="0"/>
    <x v="3"/>
  </r>
  <r>
    <x v="707"/>
    <x v="1"/>
    <x v="2"/>
    <x v="1"/>
    <x v="1"/>
    <x v="129"/>
    <x v="0"/>
    <x v="0"/>
    <x v="0"/>
    <x v="0"/>
    <x v="0"/>
    <x v="0"/>
    <x v="0"/>
    <x v="1"/>
    <x v="708"/>
    <x v="1"/>
    <x v="1"/>
    <x v="1"/>
    <x v="708"/>
    <x v="708"/>
    <x v="0"/>
    <x v="138"/>
    <x v="98"/>
    <x v="1"/>
    <x v="71"/>
    <x v="250"/>
    <x v="367"/>
    <x v="505"/>
    <x v="640"/>
    <x v="658"/>
    <x v="574"/>
    <x v="648"/>
    <x v="670"/>
    <x v="98"/>
    <x v="670"/>
    <x v="0"/>
    <x v="1"/>
    <x v="0"/>
    <x v="670"/>
    <x v="0"/>
    <x v="417"/>
    <x v="0"/>
    <x v="3"/>
  </r>
  <r>
    <x v="708"/>
    <x v="0"/>
    <x v="2"/>
    <x v="0"/>
    <x v="1"/>
    <x v="2"/>
    <x v="0"/>
    <x v="0"/>
    <x v="0"/>
    <x v="0"/>
    <x v="0"/>
    <x v="0"/>
    <x v="0"/>
    <x v="4"/>
    <x v="709"/>
    <x v="11"/>
    <x v="33"/>
    <x v="0"/>
    <x v="709"/>
    <x v="709"/>
    <x v="238"/>
    <x v="226"/>
    <x v="275"/>
    <x v="1"/>
    <x v="71"/>
    <x v="0"/>
    <x v="300"/>
    <x v="1"/>
    <x v="641"/>
    <x v="661"/>
    <x v="595"/>
    <x v="649"/>
    <x v="671"/>
    <x v="275"/>
    <x v="671"/>
    <x v="0"/>
    <x v="1"/>
    <x v="0"/>
    <x v="671"/>
    <x v="0"/>
    <x v="418"/>
    <x v="0"/>
    <x v="3"/>
  </r>
  <r>
    <x v="709"/>
    <x v="1"/>
    <x v="2"/>
    <x v="0"/>
    <x v="1"/>
    <x v="130"/>
    <x v="0"/>
    <x v="0"/>
    <x v="0"/>
    <x v="0"/>
    <x v="0"/>
    <x v="0"/>
    <x v="0"/>
    <x v="7"/>
    <x v="710"/>
    <x v="6"/>
    <x v="26"/>
    <x v="0"/>
    <x v="710"/>
    <x v="710"/>
    <x v="97"/>
    <x v="0"/>
    <x v="98"/>
    <x v="427"/>
    <x v="549"/>
    <x v="226"/>
    <x v="211"/>
    <x v="521"/>
    <x v="642"/>
    <x v="660"/>
    <x v="596"/>
    <x v="650"/>
    <x v="672"/>
    <x v="98"/>
    <x v="672"/>
    <x v="0"/>
    <x v="1"/>
    <x v="0"/>
    <x v="672"/>
    <x v="0"/>
    <x v="419"/>
    <x v="0"/>
    <x v="3"/>
  </r>
  <r>
    <x v="710"/>
    <x v="1"/>
    <x v="0"/>
    <x v="1"/>
    <x v="1"/>
    <x v="131"/>
    <x v="0"/>
    <x v="0"/>
    <x v="0"/>
    <x v="0"/>
    <x v="0"/>
    <x v="0"/>
    <x v="0"/>
    <x v="0"/>
    <x v="711"/>
    <x v="6"/>
    <x v="8"/>
    <x v="1"/>
    <x v="711"/>
    <x v="711"/>
    <x v="0"/>
    <x v="0"/>
    <x v="0"/>
    <x v="428"/>
    <x v="550"/>
    <x v="0"/>
    <x v="0"/>
    <x v="522"/>
    <x v="643"/>
    <x v="662"/>
    <x v="597"/>
    <x v="651"/>
    <x v="672"/>
    <x v="0"/>
    <x v="672"/>
    <x v="0"/>
    <x v="1"/>
    <x v="0"/>
    <x v="672"/>
    <x v="0"/>
    <x v="0"/>
    <x v="0"/>
    <x v="3"/>
  </r>
  <r>
    <x v="711"/>
    <x v="2"/>
    <x v="0"/>
    <x v="0"/>
    <x v="1"/>
    <x v="132"/>
    <x v="1"/>
    <x v="0"/>
    <x v="0"/>
    <x v="0"/>
    <x v="0"/>
    <x v="0"/>
    <x v="0"/>
    <x v="49"/>
    <x v="712"/>
    <x v="12"/>
    <x v="72"/>
    <x v="0"/>
    <x v="712"/>
    <x v="712"/>
    <x v="0"/>
    <x v="0"/>
    <x v="0"/>
    <x v="1"/>
    <x v="484"/>
    <x v="251"/>
    <x v="285"/>
    <x v="412"/>
    <x v="644"/>
    <x v="663"/>
    <x v="418"/>
    <x v="572"/>
    <x v="673"/>
    <x v="0"/>
    <x v="673"/>
    <x v="0"/>
    <x v="1"/>
    <x v="0"/>
    <x v="673"/>
    <x v="1"/>
    <x v="0"/>
    <x v="0"/>
    <x v="3"/>
  </r>
  <r>
    <x v="712"/>
    <x v="2"/>
    <x v="2"/>
    <x v="0"/>
    <x v="1"/>
    <x v="107"/>
    <x v="1"/>
    <x v="0"/>
    <x v="0"/>
    <x v="0"/>
    <x v="0"/>
    <x v="0"/>
    <x v="0"/>
    <x v="2"/>
    <x v="713"/>
    <x v="2"/>
    <x v="2"/>
    <x v="0"/>
    <x v="713"/>
    <x v="713"/>
    <x v="0"/>
    <x v="0"/>
    <x v="0"/>
    <x v="1"/>
    <x v="443"/>
    <x v="0"/>
    <x v="0"/>
    <x v="1"/>
    <x v="645"/>
    <x v="663"/>
    <x v="1"/>
    <x v="652"/>
    <x v="673"/>
    <x v="0"/>
    <x v="673"/>
    <x v="0"/>
    <x v="1"/>
    <x v="0"/>
    <x v="673"/>
    <x v="1"/>
    <x v="0"/>
    <x v="0"/>
    <x v="3"/>
  </r>
  <r>
    <x v="713"/>
    <x v="0"/>
    <x v="2"/>
    <x v="0"/>
    <x v="1"/>
    <x v="2"/>
    <x v="0"/>
    <x v="0"/>
    <x v="0"/>
    <x v="0"/>
    <x v="0"/>
    <x v="0"/>
    <x v="0"/>
    <x v="37"/>
    <x v="714"/>
    <x v="7"/>
    <x v="16"/>
    <x v="2"/>
    <x v="714"/>
    <x v="714"/>
    <x v="0"/>
    <x v="0"/>
    <x v="0"/>
    <x v="429"/>
    <x v="551"/>
    <x v="0"/>
    <x v="0"/>
    <x v="523"/>
    <x v="646"/>
    <x v="664"/>
    <x v="598"/>
    <x v="653"/>
    <x v="674"/>
    <x v="0"/>
    <x v="674"/>
    <x v="0"/>
    <x v="1"/>
    <x v="0"/>
    <x v="674"/>
    <x v="0"/>
    <x v="0"/>
    <x v="0"/>
    <x v="3"/>
  </r>
  <r>
    <x v="714"/>
    <x v="0"/>
    <x v="2"/>
    <x v="0"/>
    <x v="1"/>
    <x v="2"/>
    <x v="1"/>
    <x v="0"/>
    <x v="0"/>
    <x v="0"/>
    <x v="0"/>
    <x v="0"/>
    <x v="0"/>
    <x v="30"/>
    <x v="715"/>
    <x v="0"/>
    <x v="0"/>
    <x v="0"/>
    <x v="715"/>
    <x v="715"/>
    <x v="134"/>
    <x v="183"/>
    <x v="188"/>
    <x v="1"/>
    <x v="462"/>
    <x v="0"/>
    <x v="368"/>
    <x v="1"/>
    <x v="647"/>
    <x v="665"/>
    <x v="599"/>
    <x v="419"/>
    <x v="675"/>
    <x v="188"/>
    <x v="675"/>
    <x v="0"/>
    <x v="1"/>
    <x v="0"/>
    <x v="675"/>
    <x v="1"/>
    <x v="420"/>
    <x v="0"/>
    <x v="3"/>
  </r>
  <r>
    <x v="715"/>
    <x v="0"/>
    <x v="2"/>
    <x v="0"/>
    <x v="1"/>
    <x v="2"/>
    <x v="1"/>
    <x v="0"/>
    <x v="0"/>
    <x v="0"/>
    <x v="0"/>
    <x v="0"/>
    <x v="0"/>
    <x v="37"/>
    <x v="716"/>
    <x v="7"/>
    <x v="27"/>
    <x v="0"/>
    <x v="716"/>
    <x v="716"/>
    <x v="152"/>
    <x v="100"/>
    <x v="77"/>
    <x v="1"/>
    <x v="552"/>
    <x v="0"/>
    <x v="304"/>
    <x v="1"/>
    <x v="648"/>
    <x v="666"/>
    <x v="260"/>
    <x v="568"/>
    <x v="675"/>
    <x v="77"/>
    <x v="675"/>
    <x v="0"/>
    <x v="1"/>
    <x v="0"/>
    <x v="675"/>
    <x v="0"/>
    <x v="421"/>
    <x v="0"/>
    <x v="3"/>
  </r>
  <r>
    <x v="716"/>
    <x v="1"/>
    <x v="2"/>
    <x v="1"/>
    <x v="1"/>
    <x v="2"/>
    <x v="0"/>
    <x v="0"/>
    <x v="0"/>
    <x v="0"/>
    <x v="0"/>
    <x v="0"/>
    <x v="0"/>
    <x v="7"/>
    <x v="717"/>
    <x v="6"/>
    <x v="8"/>
    <x v="0"/>
    <x v="717"/>
    <x v="717"/>
    <x v="114"/>
    <x v="152"/>
    <x v="157"/>
    <x v="1"/>
    <x v="447"/>
    <x v="245"/>
    <x v="146"/>
    <x v="524"/>
    <x v="623"/>
    <x v="667"/>
    <x v="600"/>
    <x v="654"/>
    <x v="675"/>
    <x v="157"/>
    <x v="675"/>
    <x v="0"/>
    <x v="1"/>
    <x v="0"/>
    <x v="675"/>
    <x v="0"/>
    <x v="422"/>
    <x v="0"/>
    <x v="3"/>
  </r>
  <r>
    <x v="717"/>
    <x v="0"/>
    <x v="2"/>
    <x v="0"/>
    <x v="1"/>
    <x v="2"/>
    <x v="1"/>
    <x v="0"/>
    <x v="0"/>
    <x v="0"/>
    <x v="0"/>
    <x v="0"/>
    <x v="0"/>
    <x v="22"/>
    <x v="718"/>
    <x v="2"/>
    <x v="6"/>
    <x v="0"/>
    <x v="718"/>
    <x v="718"/>
    <x v="0"/>
    <x v="0"/>
    <x v="0"/>
    <x v="430"/>
    <x v="553"/>
    <x v="0"/>
    <x v="0"/>
    <x v="525"/>
    <x v="649"/>
    <x v="668"/>
    <x v="601"/>
    <x v="655"/>
    <x v="675"/>
    <x v="0"/>
    <x v="675"/>
    <x v="0"/>
    <x v="1"/>
    <x v="0"/>
    <x v="675"/>
    <x v="0"/>
    <x v="0"/>
    <x v="0"/>
    <x v="3"/>
  </r>
  <r>
    <x v="718"/>
    <x v="0"/>
    <x v="0"/>
    <x v="0"/>
    <x v="1"/>
    <x v="133"/>
    <x v="1"/>
    <x v="0"/>
    <x v="0"/>
    <x v="0"/>
    <x v="0"/>
    <x v="0"/>
    <x v="0"/>
    <x v="32"/>
    <x v="719"/>
    <x v="0"/>
    <x v="0"/>
    <x v="0"/>
    <x v="719"/>
    <x v="719"/>
    <x v="97"/>
    <x v="143"/>
    <x v="212"/>
    <x v="239"/>
    <x v="554"/>
    <x v="252"/>
    <x v="320"/>
    <x v="518"/>
    <x v="650"/>
    <x v="669"/>
    <x v="602"/>
    <x v="656"/>
    <x v="676"/>
    <x v="212"/>
    <x v="676"/>
    <x v="0"/>
    <x v="1"/>
    <x v="0"/>
    <x v="676"/>
    <x v="0"/>
    <x v="423"/>
    <x v="0"/>
    <x v="3"/>
  </r>
  <r>
    <x v="719"/>
    <x v="1"/>
    <x v="2"/>
    <x v="1"/>
    <x v="1"/>
    <x v="2"/>
    <x v="0"/>
    <x v="0"/>
    <x v="0"/>
    <x v="0"/>
    <x v="0"/>
    <x v="0"/>
    <x v="0"/>
    <x v="16"/>
    <x v="720"/>
    <x v="10"/>
    <x v="37"/>
    <x v="0"/>
    <x v="720"/>
    <x v="720"/>
    <x v="155"/>
    <x v="191"/>
    <x v="165"/>
    <x v="1"/>
    <x v="499"/>
    <x v="0"/>
    <x v="368"/>
    <x v="1"/>
    <x v="644"/>
    <x v="670"/>
    <x v="448"/>
    <x v="551"/>
    <x v="677"/>
    <x v="165"/>
    <x v="677"/>
    <x v="0"/>
    <x v="1"/>
    <x v="0"/>
    <x v="677"/>
    <x v="1"/>
    <x v="424"/>
    <x v="0"/>
    <x v="3"/>
  </r>
  <r>
    <x v="720"/>
    <x v="1"/>
    <x v="2"/>
    <x v="1"/>
    <x v="1"/>
    <x v="2"/>
    <x v="0"/>
    <x v="0"/>
    <x v="0"/>
    <x v="0"/>
    <x v="0"/>
    <x v="0"/>
    <x v="0"/>
    <x v="6"/>
    <x v="721"/>
    <x v="5"/>
    <x v="19"/>
    <x v="0"/>
    <x v="721"/>
    <x v="721"/>
    <x v="0"/>
    <x v="0"/>
    <x v="0"/>
    <x v="222"/>
    <x v="555"/>
    <x v="0"/>
    <x v="0"/>
    <x v="526"/>
    <x v="651"/>
    <x v="546"/>
    <x v="603"/>
    <x v="657"/>
    <x v="677"/>
    <x v="0"/>
    <x v="677"/>
    <x v="0"/>
    <x v="1"/>
    <x v="0"/>
    <x v="677"/>
    <x v="0"/>
    <x v="0"/>
    <x v="0"/>
    <x v="3"/>
  </r>
  <r>
    <x v="721"/>
    <x v="1"/>
    <x v="2"/>
    <x v="1"/>
    <x v="1"/>
    <x v="2"/>
    <x v="0"/>
    <x v="0"/>
    <x v="0"/>
    <x v="0"/>
    <x v="0"/>
    <x v="0"/>
    <x v="0"/>
    <x v="16"/>
    <x v="722"/>
    <x v="10"/>
    <x v="39"/>
    <x v="0"/>
    <x v="722"/>
    <x v="722"/>
    <x v="0"/>
    <x v="0"/>
    <x v="0"/>
    <x v="431"/>
    <x v="552"/>
    <x v="0"/>
    <x v="0"/>
    <x v="527"/>
    <x v="652"/>
    <x v="671"/>
    <x v="396"/>
    <x v="658"/>
    <x v="678"/>
    <x v="0"/>
    <x v="678"/>
    <x v="0"/>
    <x v="1"/>
    <x v="0"/>
    <x v="678"/>
    <x v="0"/>
    <x v="0"/>
    <x v="0"/>
    <x v="3"/>
  </r>
  <r>
    <x v="722"/>
    <x v="0"/>
    <x v="2"/>
    <x v="0"/>
    <x v="1"/>
    <x v="2"/>
    <x v="0"/>
    <x v="0"/>
    <x v="0"/>
    <x v="0"/>
    <x v="0"/>
    <x v="0"/>
    <x v="0"/>
    <x v="9"/>
    <x v="723"/>
    <x v="0"/>
    <x v="0"/>
    <x v="1"/>
    <x v="723"/>
    <x v="723"/>
    <x v="155"/>
    <x v="0"/>
    <x v="150"/>
    <x v="1"/>
    <x v="556"/>
    <x v="253"/>
    <x v="266"/>
    <x v="528"/>
    <x v="545"/>
    <x v="672"/>
    <x v="604"/>
    <x v="659"/>
    <x v="679"/>
    <x v="150"/>
    <x v="679"/>
    <x v="0"/>
    <x v="1"/>
    <x v="0"/>
    <x v="679"/>
    <x v="0"/>
    <x v="425"/>
    <x v="0"/>
    <x v="3"/>
  </r>
  <r>
    <x v="723"/>
    <x v="0"/>
    <x v="2"/>
    <x v="0"/>
    <x v="1"/>
    <x v="134"/>
    <x v="1"/>
    <x v="0"/>
    <x v="0"/>
    <x v="0"/>
    <x v="0"/>
    <x v="0"/>
    <x v="0"/>
    <x v="52"/>
    <x v="724"/>
    <x v="8"/>
    <x v="78"/>
    <x v="0"/>
    <x v="724"/>
    <x v="724"/>
    <x v="97"/>
    <x v="0"/>
    <x v="98"/>
    <x v="432"/>
    <x v="557"/>
    <x v="254"/>
    <x v="369"/>
    <x v="529"/>
    <x v="653"/>
    <x v="673"/>
    <x v="605"/>
    <x v="660"/>
    <x v="679"/>
    <x v="98"/>
    <x v="679"/>
    <x v="0"/>
    <x v="1"/>
    <x v="0"/>
    <x v="679"/>
    <x v="0"/>
    <x v="426"/>
    <x v="0"/>
    <x v="3"/>
  </r>
  <r>
    <x v="724"/>
    <x v="1"/>
    <x v="2"/>
    <x v="1"/>
    <x v="1"/>
    <x v="2"/>
    <x v="0"/>
    <x v="0"/>
    <x v="0"/>
    <x v="0"/>
    <x v="0"/>
    <x v="0"/>
    <x v="0"/>
    <x v="18"/>
    <x v="725"/>
    <x v="5"/>
    <x v="58"/>
    <x v="0"/>
    <x v="725"/>
    <x v="725"/>
    <x v="239"/>
    <x v="221"/>
    <x v="276"/>
    <x v="1"/>
    <x v="558"/>
    <x v="0"/>
    <x v="290"/>
    <x v="1"/>
    <x v="598"/>
    <x v="674"/>
    <x v="606"/>
    <x v="561"/>
    <x v="680"/>
    <x v="276"/>
    <x v="680"/>
    <x v="0"/>
    <x v="1"/>
    <x v="0"/>
    <x v="680"/>
    <x v="0"/>
    <x v="427"/>
    <x v="0"/>
    <x v="3"/>
  </r>
  <r>
    <x v="725"/>
    <x v="0"/>
    <x v="2"/>
    <x v="0"/>
    <x v="1"/>
    <x v="2"/>
    <x v="2"/>
    <x v="0"/>
    <x v="0"/>
    <x v="0"/>
    <x v="0"/>
    <x v="0"/>
    <x v="0"/>
    <x v="33"/>
    <x v="726"/>
    <x v="7"/>
    <x v="38"/>
    <x v="0"/>
    <x v="726"/>
    <x v="726"/>
    <x v="164"/>
    <x v="42"/>
    <x v="172"/>
    <x v="415"/>
    <x v="559"/>
    <x v="255"/>
    <x v="338"/>
    <x v="530"/>
    <x v="649"/>
    <x v="675"/>
    <x v="517"/>
    <x v="658"/>
    <x v="680"/>
    <x v="172"/>
    <x v="680"/>
    <x v="0"/>
    <x v="1"/>
    <x v="0"/>
    <x v="680"/>
    <x v="0"/>
    <x v="428"/>
    <x v="0"/>
    <x v="3"/>
  </r>
  <r>
    <x v="726"/>
    <x v="0"/>
    <x v="2"/>
    <x v="0"/>
    <x v="1"/>
    <x v="2"/>
    <x v="0"/>
    <x v="0"/>
    <x v="0"/>
    <x v="0"/>
    <x v="0"/>
    <x v="0"/>
    <x v="0"/>
    <x v="18"/>
    <x v="727"/>
    <x v="2"/>
    <x v="2"/>
    <x v="0"/>
    <x v="727"/>
    <x v="727"/>
    <x v="0"/>
    <x v="138"/>
    <x v="98"/>
    <x v="1"/>
    <x v="560"/>
    <x v="0"/>
    <x v="180"/>
    <x v="1"/>
    <x v="568"/>
    <x v="676"/>
    <x v="1"/>
    <x v="661"/>
    <x v="681"/>
    <x v="98"/>
    <x v="681"/>
    <x v="0"/>
    <x v="1"/>
    <x v="0"/>
    <x v="681"/>
    <x v="1"/>
    <x v="429"/>
    <x v="0"/>
    <x v="3"/>
  </r>
  <r>
    <x v="727"/>
    <x v="1"/>
    <x v="2"/>
    <x v="1"/>
    <x v="1"/>
    <x v="2"/>
    <x v="0"/>
    <x v="0"/>
    <x v="0"/>
    <x v="0"/>
    <x v="0"/>
    <x v="0"/>
    <x v="0"/>
    <x v="16"/>
    <x v="728"/>
    <x v="10"/>
    <x v="56"/>
    <x v="0"/>
    <x v="728"/>
    <x v="728"/>
    <x v="92"/>
    <x v="225"/>
    <x v="277"/>
    <x v="1"/>
    <x v="495"/>
    <x v="0"/>
    <x v="300"/>
    <x v="1"/>
    <x v="654"/>
    <x v="677"/>
    <x v="477"/>
    <x v="565"/>
    <x v="682"/>
    <x v="277"/>
    <x v="682"/>
    <x v="0"/>
    <x v="1"/>
    <x v="0"/>
    <x v="682"/>
    <x v="0"/>
    <x v="430"/>
    <x v="0"/>
    <x v="3"/>
  </r>
  <r>
    <x v="728"/>
    <x v="0"/>
    <x v="2"/>
    <x v="0"/>
    <x v="1"/>
    <x v="2"/>
    <x v="0"/>
    <x v="0"/>
    <x v="0"/>
    <x v="0"/>
    <x v="0"/>
    <x v="0"/>
    <x v="0"/>
    <x v="10"/>
    <x v="729"/>
    <x v="7"/>
    <x v="11"/>
    <x v="0"/>
    <x v="729"/>
    <x v="729"/>
    <x v="126"/>
    <x v="191"/>
    <x v="166"/>
    <x v="263"/>
    <x v="561"/>
    <x v="192"/>
    <x v="326"/>
    <x v="531"/>
    <x v="655"/>
    <x v="678"/>
    <x v="564"/>
    <x v="662"/>
    <x v="683"/>
    <x v="166"/>
    <x v="683"/>
    <x v="0"/>
    <x v="1"/>
    <x v="0"/>
    <x v="683"/>
    <x v="0"/>
    <x v="431"/>
    <x v="0"/>
    <x v="3"/>
  </r>
  <r>
    <x v="729"/>
    <x v="1"/>
    <x v="1"/>
    <x v="1"/>
    <x v="1"/>
    <x v="96"/>
    <x v="0"/>
    <x v="1"/>
    <x v="0"/>
    <x v="0"/>
    <x v="0"/>
    <x v="0"/>
    <x v="0"/>
    <x v="6"/>
    <x v="730"/>
    <x v="5"/>
    <x v="31"/>
    <x v="0"/>
    <x v="730"/>
    <x v="730"/>
    <x v="97"/>
    <x v="152"/>
    <x v="164"/>
    <x v="420"/>
    <x v="562"/>
    <x v="0"/>
    <x v="211"/>
    <x v="440"/>
    <x v="656"/>
    <x v="679"/>
    <x v="604"/>
    <x v="637"/>
    <x v="684"/>
    <x v="164"/>
    <x v="684"/>
    <x v="0"/>
    <x v="1"/>
    <x v="0"/>
    <x v="684"/>
    <x v="0"/>
    <x v="432"/>
    <x v="0"/>
    <x v="3"/>
  </r>
  <r>
    <x v="730"/>
    <x v="1"/>
    <x v="2"/>
    <x v="1"/>
    <x v="1"/>
    <x v="2"/>
    <x v="0"/>
    <x v="0"/>
    <x v="0"/>
    <x v="0"/>
    <x v="0"/>
    <x v="0"/>
    <x v="0"/>
    <x v="14"/>
    <x v="731"/>
    <x v="6"/>
    <x v="8"/>
    <x v="0"/>
    <x v="731"/>
    <x v="731"/>
    <x v="0"/>
    <x v="0"/>
    <x v="0"/>
    <x v="1"/>
    <x v="563"/>
    <x v="0"/>
    <x v="0"/>
    <x v="1"/>
    <x v="554"/>
    <x v="680"/>
    <x v="1"/>
    <x v="419"/>
    <x v="685"/>
    <x v="0"/>
    <x v="685"/>
    <x v="0"/>
    <x v="1"/>
    <x v="0"/>
    <x v="685"/>
    <x v="1"/>
    <x v="0"/>
    <x v="0"/>
    <x v="3"/>
  </r>
  <r>
    <x v="731"/>
    <x v="1"/>
    <x v="2"/>
    <x v="1"/>
    <x v="1"/>
    <x v="2"/>
    <x v="0"/>
    <x v="0"/>
    <x v="0"/>
    <x v="0"/>
    <x v="0"/>
    <x v="0"/>
    <x v="0"/>
    <x v="9"/>
    <x v="732"/>
    <x v="1"/>
    <x v="10"/>
    <x v="0"/>
    <x v="732"/>
    <x v="732"/>
    <x v="0"/>
    <x v="0"/>
    <x v="0"/>
    <x v="433"/>
    <x v="564"/>
    <x v="0"/>
    <x v="0"/>
    <x v="531"/>
    <x v="657"/>
    <x v="681"/>
    <x v="607"/>
    <x v="663"/>
    <x v="686"/>
    <x v="0"/>
    <x v="686"/>
    <x v="0"/>
    <x v="1"/>
    <x v="0"/>
    <x v="686"/>
    <x v="0"/>
    <x v="0"/>
    <x v="0"/>
    <x v="3"/>
  </r>
  <r>
    <x v="732"/>
    <x v="1"/>
    <x v="2"/>
    <x v="1"/>
    <x v="1"/>
    <x v="2"/>
    <x v="0"/>
    <x v="0"/>
    <x v="0"/>
    <x v="0"/>
    <x v="0"/>
    <x v="0"/>
    <x v="0"/>
    <x v="6"/>
    <x v="733"/>
    <x v="5"/>
    <x v="7"/>
    <x v="0"/>
    <x v="733"/>
    <x v="733"/>
    <x v="0"/>
    <x v="0"/>
    <x v="0"/>
    <x v="434"/>
    <x v="551"/>
    <x v="0"/>
    <x v="0"/>
    <x v="532"/>
    <x v="646"/>
    <x v="681"/>
    <x v="608"/>
    <x v="653"/>
    <x v="686"/>
    <x v="0"/>
    <x v="686"/>
    <x v="0"/>
    <x v="1"/>
    <x v="0"/>
    <x v="686"/>
    <x v="0"/>
    <x v="0"/>
    <x v="0"/>
    <x v="3"/>
  </r>
  <r>
    <x v="733"/>
    <x v="1"/>
    <x v="2"/>
    <x v="1"/>
    <x v="1"/>
    <x v="2"/>
    <x v="0"/>
    <x v="0"/>
    <x v="0"/>
    <x v="0"/>
    <x v="0"/>
    <x v="0"/>
    <x v="0"/>
    <x v="18"/>
    <x v="734"/>
    <x v="5"/>
    <x v="58"/>
    <x v="0"/>
    <x v="734"/>
    <x v="734"/>
    <x v="155"/>
    <x v="138"/>
    <x v="164"/>
    <x v="1"/>
    <x v="526"/>
    <x v="0"/>
    <x v="369"/>
    <x v="1"/>
    <x v="573"/>
    <x v="682"/>
    <x v="448"/>
    <x v="578"/>
    <x v="687"/>
    <x v="164"/>
    <x v="687"/>
    <x v="0"/>
    <x v="1"/>
    <x v="0"/>
    <x v="687"/>
    <x v="1"/>
    <x v="433"/>
    <x v="0"/>
    <x v="3"/>
  </r>
  <r>
    <x v="734"/>
    <x v="0"/>
    <x v="2"/>
    <x v="0"/>
    <x v="1"/>
    <x v="2"/>
    <x v="0"/>
    <x v="0"/>
    <x v="0"/>
    <x v="0"/>
    <x v="0"/>
    <x v="0"/>
    <x v="0"/>
    <x v="24"/>
    <x v="735"/>
    <x v="12"/>
    <x v="32"/>
    <x v="0"/>
    <x v="735"/>
    <x v="735"/>
    <x v="0"/>
    <x v="145"/>
    <x v="164"/>
    <x v="1"/>
    <x v="565"/>
    <x v="256"/>
    <x v="275"/>
    <x v="533"/>
    <x v="640"/>
    <x v="682"/>
    <x v="517"/>
    <x v="628"/>
    <x v="687"/>
    <x v="164"/>
    <x v="687"/>
    <x v="0"/>
    <x v="1"/>
    <x v="0"/>
    <x v="687"/>
    <x v="0"/>
    <x v="433"/>
    <x v="0"/>
    <x v="3"/>
  </r>
  <r>
    <x v="735"/>
    <x v="2"/>
    <x v="2"/>
    <x v="0"/>
    <x v="1"/>
    <x v="107"/>
    <x v="1"/>
    <x v="0"/>
    <x v="0"/>
    <x v="0"/>
    <x v="0"/>
    <x v="0"/>
    <x v="0"/>
    <x v="24"/>
    <x v="736"/>
    <x v="12"/>
    <x v="59"/>
    <x v="0"/>
    <x v="736"/>
    <x v="736"/>
    <x v="0"/>
    <x v="0"/>
    <x v="0"/>
    <x v="1"/>
    <x v="442"/>
    <x v="0"/>
    <x v="0"/>
    <x v="1"/>
    <x v="547"/>
    <x v="679"/>
    <x v="1"/>
    <x v="664"/>
    <x v="687"/>
    <x v="0"/>
    <x v="687"/>
    <x v="0"/>
    <x v="1"/>
    <x v="0"/>
    <x v="687"/>
    <x v="1"/>
    <x v="0"/>
    <x v="0"/>
    <x v="3"/>
  </r>
  <r>
    <x v="736"/>
    <x v="0"/>
    <x v="2"/>
    <x v="0"/>
    <x v="1"/>
    <x v="2"/>
    <x v="2"/>
    <x v="0"/>
    <x v="0"/>
    <x v="0"/>
    <x v="0"/>
    <x v="0"/>
    <x v="0"/>
    <x v="17"/>
    <x v="737"/>
    <x v="9"/>
    <x v="22"/>
    <x v="0"/>
    <x v="737"/>
    <x v="737"/>
    <x v="164"/>
    <x v="177"/>
    <x v="186"/>
    <x v="435"/>
    <x v="566"/>
    <x v="175"/>
    <x v="370"/>
    <x v="447"/>
    <x v="658"/>
    <x v="536"/>
    <x v="563"/>
    <x v="660"/>
    <x v="688"/>
    <x v="186"/>
    <x v="688"/>
    <x v="0"/>
    <x v="1"/>
    <x v="0"/>
    <x v="688"/>
    <x v="0"/>
    <x v="434"/>
    <x v="0"/>
    <x v="3"/>
  </r>
  <r>
    <x v="737"/>
    <x v="2"/>
    <x v="0"/>
    <x v="0"/>
    <x v="57"/>
    <x v="135"/>
    <x v="1"/>
    <x v="0"/>
    <x v="0"/>
    <x v="0"/>
    <x v="0"/>
    <x v="0"/>
    <x v="0"/>
    <x v="52"/>
    <x v="738"/>
    <x v="8"/>
    <x v="78"/>
    <x v="0"/>
    <x v="738"/>
    <x v="738"/>
    <x v="170"/>
    <x v="145"/>
    <x v="116"/>
    <x v="1"/>
    <x v="71"/>
    <x v="238"/>
    <x v="371"/>
    <x v="498"/>
    <x v="593"/>
    <x v="666"/>
    <x v="607"/>
    <x v="662"/>
    <x v="689"/>
    <x v="116"/>
    <x v="689"/>
    <x v="0"/>
    <x v="1"/>
    <x v="0"/>
    <x v="689"/>
    <x v="0"/>
    <x v="435"/>
    <x v="0"/>
    <x v="3"/>
  </r>
  <r>
    <x v="738"/>
    <x v="1"/>
    <x v="2"/>
    <x v="1"/>
    <x v="1"/>
    <x v="2"/>
    <x v="0"/>
    <x v="0"/>
    <x v="0"/>
    <x v="0"/>
    <x v="0"/>
    <x v="0"/>
    <x v="0"/>
    <x v="12"/>
    <x v="739"/>
    <x v="5"/>
    <x v="12"/>
    <x v="2"/>
    <x v="739"/>
    <x v="739"/>
    <x v="0"/>
    <x v="0"/>
    <x v="0"/>
    <x v="436"/>
    <x v="546"/>
    <x v="0"/>
    <x v="0"/>
    <x v="534"/>
    <x v="659"/>
    <x v="683"/>
    <x v="609"/>
    <x v="665"/>
    <x v="689"/>
    <x v="0"/>
    <x v="689"/>
    <x v="0"/>
    <x v="1"/>
    <x v="0"/>
    <x v="689"/>
    <x v="0"/>
    <x v="0"/>
    <x v="0"/>
    <x v="3"/>
  </r>
  <r>
    <x v="739"/>
    <x v="1"/>
    <x v="2"/>
    <x v="1"/>
    <x v="1"/>
    <x v="2"/>
    <x v="0"/>
    <x v="0"/>
    <x v="0"/>
    <x v="0"/>
    <x v="0"/>
    <x v="0"/>
    <x v="0"/>
    <x v="1"/>
    <x v="740"/>
    <x v="1"/>
    <x v="25"/>
    <x v="1"/>
    <x v="740"/>
    <x v="740"/>
    <x v="0"/>
    <x v="0"/>
    <x v="0"/>
    <x v="437"/>
    <x v="555"/>
    <x v="0"/>
    <x v="0"/>
    <x v="535"/>
    <x v="651"/>
    <x v="684"/>
    <x v="600"/>
    <x v="657"/>
    <x v="690"/>
    <x v="0"/>
    <x v="690"/>
    <x v="0"/>
    <x v="1"/>
    <x v="0"/>
    <x v="690"/>
    <x v="0"/>
    <x v="0"/>
    <x v="0"/>
    <x v="3"/>
  </r>
  <r>
    <x v="740"/>
    <x v="1"/>
    <x v="2"/>
    <x v="1"/>
    <x v="1"/>
    <x v="2"/>
    <x v="0"/>
    <x v="0"/>
    <x v="0"/>
    <x v="0"/>
    <x v="0"/>
    <x v="0"/>
    <x v="0"/>
    <x v="18"/>
    <x v="741"/>
    <x v="5"/>
    <x v="74"/>
    <x v="0"/>
    <x v="741"/>
    <x v="741"/>
    <x v="239"/>
    <x v="126"/>
    <x v="215"/>
    <x v="1"/>
    <x v="567"/>
    <x v="0"/>
    <x v="166"/>
    <x v="1"/>
    <x v="660"/>
    <x v="685"/>
    <x v="606"/>
    <x v="666"/>
    <x v="691"/>
    <x v="215"/>
    <x v="691"/>
    <x v="0"/>
    <x v="1"/>
    <x v="0"/>
    <x v="691"/>
    <x v="0"/>
    <x v="436"/>
    <x v="0"/>
    <x v="3"/>
  </r>
  <r>
    <x v="741"/>
    <x v="1"/>
    <x v="2"/>
    <x v="1"/>
    <x v="1"/>
    <x v="2"/>
    <x v="0"/>
    <x v="0"/>
    <x v="0"/>
    <x v="0"/>
    <x v="0"/>
    <x v="0"/>
    <x v="0"/>
    <x v="1"/>
    <x v="742"/>
    <x v="1"/>
    <x v="13"/>
    <x v="0"/>
    <x v="742"/>
    <x v="742"/>
    <x v="0"/>
    <x v="0"/>
    <x v="0"/>
    <x v="434"/>
    <x v="568"/>
    <x v="0"/>
    <x v="0"/>
    <x v="532"/>
    <x v="653"/>
    <x v="678"/>
    <x v="608"/>
    <x v="660"/>
    <x v="692"/>
    <x v="0"/>
    <x v="692"/>
    <x v="0"/>
    <x v="1"/>
    <x v="0"/>
    <x v="692"/>
    <x v="0"/>
    <x v="0"/>
    <x v="0"/>
    <x v="3"/>
  </r>
  <r>
    <x v="742"/>
    <x v="0"/>
    <x v="2"/>
    <x v="2"/>
    <x v="58"/>
    <x v="136"/>
    <x v="1"/>
    <x v="0"/>
    <x v="0"/>
    <x v="0"/>
    <x v="0"/>
    <x v="0"/>
    <x v="0"/>
    <x v="30"/>
    <x v="743"/>
    <x v="0"/>
    <x v="0"/>
    <x v="0"/>
    <x v="743"/>
    <x v="743"/>
    <x v="153"/>
    <x v="133"/>
    <x v="124"/>
    <x v="1"/>
    <x v="504"/>
    <x v="0"/>
    <x v="372"/>
    <x v="1"/>
    <x v="570"/>
    <x v="686"/>
    <x v="360"/>
    <x v="667"/>
    <x v="693"/>
    <x v="124"/>
    <x v="693"/>
    <x v="0"/>
    <x v="1"/>
    <x v="0"/>
    <x v="693"/>
    <x v="1"/>
    <x v="437"/>
    <x v="0"/>
    <x v="3"/>
  </r>
  <r>
    <x v="743"/>
    <x v="1"/>
    <x v="2"/>
    <x v="1"/>
    <x v="1"/>
    <x v="2"/>
    <x v="0"/>
    <x v="0"/>
    <x v="0"/>
    <x v="0"/>
    <x v="0"/>
    <x v="0"/>
    <x v="0"/>
    <x v="9"/>
    <x v="744"/>
    <x v="1"/>
    <x v="10"/>
    <x v="0"/>
    <x v="744"/>
    <x v="744"/>
    <x v="0"/>
    <x v="0"/>
    <x v="0"/>
    <x v="438"/>
    <x v="362"/>
    <x v="0"/>
    <x v="0"/>
    <x v="536"/>
    <x v="661"/>
    <x v="687"/>
    <x v="466"/>
    <x v="668"/>
    <x v="693"/>
    <x v="0"/>
    <x v="693"/>
    <x v="0"/>
    <x v="1"/>
    <x v="0"/>
    <x v="693"/>
    <x v="0"/>
    <x v="0"/>
    <x v="0"/>
    <x v="3"/>
  </r>
  <r>
    <x v="744"/>
    <x v="0"/>
    <x v="2"/>
    <x v="0"/>
    <x v="1"/>
    <x v="137"/>
    <x v="2"/>
    <x v="1"/>
    <x v="0"/>
    <x v="0"/>
    <x v="0"/>
    <x v="0"/>
    <x v="0"/>
    <x v="32"/>
    <x v="745"/>
    <x v="7"/>
    <x v="27"/>
    <x v="0"/>
    <x v="745"/>
    <x v="745"/>
    <x v="173"/>
    <x v="227"/>
    <x v="248"/>
    <x v="1"/>
    <x v="321"/>
    <x v="0"/>
    <x v="373"/>
    <x v="1"/>
    <x v="636"/>
    <x v="688"/>
    <x v="384"/>
    <x v="669"/>
    <x v="694"/>
    <x v="248"/>
    <x v="694"/>
    <x v="0"/>
    <x v="1"/>
    <x v="0"/>
    <x v="694"/>
    <x v="1"/>
    <x v="438"/>
    <x v="0"/>
    <x v="3"/>
  </r>
  <r>
    <x v="745"/>
    <x v="2"/>
    <x v="2"/>
    <x v="0"/>
    <x v="1"/>
    <x v="2"/>
    <x v="1"/>
    <x v="0"/>
    <x v="0"/>
    <x v="0"/>
    <x v="0"/>
    <x v="0"/>
    <x v="0"/>
    <x v="49"/>
    <x v="746"/>
    <x v="12"/>
    <x v="72"/>
    <x v="0"/>
    <x v="746"/>
    <x v="746"/>
    <x v="0"/>
    <x v="0"/>
    <x v="0"/>
    <x v="1"/>
    <x v="569"/>
    <x v="0"/>
    <x v="0"/>
    <x v="1"/>
    <x v="582"/>
    <x v="689"/>
    <x v="1"/>
    <x v="670"/>
    <x v="695"/>
    <x v="0"/>
    <x v="695"/>
    <x v="0"/>
    <x v="1"/>
    <x v="0"/>
    <x v="695"/>
    <x v="1"/>
    <x v="0"/>
    <x v="0"/>
    <x v="3"/>
  </r>
  <r>
    <x v="746"/>
    <x v="0"/>
    <x v="2"/>
    <x v="0"/>
    <x v="1"/>
    <x v="2"/>
    <x v="2"/>
    <x v="0"/>
    <x v="0"/>
    <x v="0"/>
    <x v="0"/>
    <x v="0"/>
    <x v="0"/>
    <x v="22"/>
    <x v="747"/>
    <x v="2"/>
    <x v="53"/>
    <x v="0"/>
    <x v="747"/>
    <x v="747"/>
    <x v="0"/>
    <x v="0"/>
    <x v="0"/>
    <x v="439"/>
    <x v="564"/>
    <x v="0"/>
    <x v="0"/>
    <x v="537"/>
    <x v="657"/>
    <x v="536"/>
    <x v="610"/>
    <x v="663"/>
    <x v="696"/>
    <x v="0"/>
    <x v="696"/>
    <x v="0"/>
    <x v="1"/>
    <x v="0"/>
    <x v="696"/>
    <x v="0"/>
    <x v="0"/>
    <x v="0"/>
    <x v="3"/>
  </r>
  <r>
    <x v="747"/>
    <x v="1"/>
    <x v="2"/>
    <x v="1"/>
    <x v="1"/>
    <x v="2"/>
    <x v="0"/>
    <x v="0"/>
    <x v="0"/>
    <x v="0"/>
    <x v="0"/>
    <x v="0"/>
    <x v="0"/>
    <x v="1"/>
    <x v="748"/>
    <x v="1"/>
    <x v="47"/>
    <x v="1"/>
    <x v="748"/>
    <x v="748"/>
    <x v="114"/>
    <x v="152"/>
    <x v="157"/>
    <x v="1"/>
    <x v="71"/>
    <x v="239"/>
    <x v="374"/>
    <x v="499"/>
    <x v="655"/>
    <x v="690"/>
    <x v="611"/>
    <x v="671"/>
    <x v="697"/>
    <x v="157"/>
    <x v="697"/>
    <x v="0"/>
    <x v="1"/>
    <x v="0"/>
    <x v="697"/>
    <x v="0"/>
    <x v="439"/>
    <x v="0"/>
    <x v="3"/>
  </r>
  <r>
    <x v="748"/>
    <x v="0"/>
    <x v="2"/>
    <x v="0"/>
    <x v="1"/>
    <x v="2"/>
    <x v="1"/>
    <x v="0"/>
    <x v="0"/>
    <x v="0"/>
    <x v="0"/>
    <x v="0"/>
    <x v="0"/>
    <x v="2"/>
    <x v="749"/>
    <x v="2"/>
    <x v="6"/>
    <x v="0"/>
    <x v="749"/>
    <x v="749"/>
    <x v="0"/>
    <x v="0"/>
    <x v="0"/>
    <x v="1"/>
    <x v="502"/>
    <x v="0"/>
    <x v="0"/>
    <x v="1"/>
    <x v="580"/>
    <x v="691"/>
    <x v="1"/>
    <x v="577"/>
    <x v="697"/>
    <x v="0"/>
    <x v="697"/>
    <x v="0"/>
    <x v="1"/>
    <x v="0"/>
    <x v="697"/>
    <x v="1"/>
    <x v="0"/>
    <x v="0"/>
    <x v="3"/>
  </r>
  <r>
    <x v="749"/>
    <x v="0"/>
    <x v="2"/>
    <x v="0"/>
    <x v="1"/>
    <x v="138"/>
    <x v="0"/>
    <x v="0"/>
    <x v="0"/>
    <x v="0"/>
    <x v="0"/>
    <x v="0"/>
    <x v="0"/>
    <x v="11"/>
    <x v="750"/>
    <x v="8"/>
    <x v="14"/>
    <x v="0"/>
    <x v="750"/>
    <x v="750"/>
    <x v="155"/>
    <x v="0"/>
    <x v="150"/>
    <x v="1"/>
    <x v="71"/>
    <x v="239"/>
    <x v="327"/>
    <x v="499"/>
    <x v="662"/>
    <x v="692"/>
    <x v="612"/>
    <x v="671"/>
    <x v="698"/>
    <x v="150"/>
    <x v="698"/>
    <x v="0"/>
    <x v="1"/>
    <x v="0"/>
    <x v="698"/>
    <x v="0"/>
    <x v="440"/>
    <x v="0"/>
    <x v="3"/>
  </r>
  <r>
    <x v="750"/>
    <x v="1"/>
    <x v="2"/>
    <x v="1"/>
    <x v="1"/>
    <x v="2"/>
    <x v="0"/>
    <x v="0"/>
    <x v="0"/>
    <x v="0"/>
    <x v="0"/>
    <x v="0"/>
    <x v="0"/>
    <x v="1"/>
    <x v="751"/>
    <x v="1"/>
    <x v="25"/>
    <x v="2"/>
    <x v="751"/>
    <x v="751"/>
    <x v="0"/>
    <x v="0"/>
    <x v="0"/>
    <x v="440"/>
    <x v="481"/>
    <x v="0"/>
    <x v="0"/>
    <x v="538"/>
    <x v="642"/>
    <x v="693"/>
    <x v="613"/>
    <x v="650"/>
    <x v="698"/>
    <x v="0"/>
    <x v="698"/>
    <x v="0"/>
    <x v="1"/>
    <x v="0"/>
    <x v="698"/>
    <x v="0"/>
    <x v="0"/>
    <x v="0"/>
    <x v="3"/>
  </r>
  <r>
    <x v="751"/>
    <x v="2"/>
    <x v="2"/>
    <x v="3"/>
    <x v="1"/>
    <x v="52"/>
    <x v="1"/>
    <x v="0"/>
    <x v="0"/>
    <x v="0"/>
    <x v="0"/>
    <x v="0"/>
    <x v="0"/>
    <x v="22"/>
    <x v="752"/>
    <x v="2"/>
    <x v="2"/>
    <x v="0"/>
    <x v="752"/>
    <x v="752"/>
    <x v="0"/>
    <x v="0"/>
    <x v="0"/>
    <x v="441"/>
    <x v="479"/>
    <x v="0"/>
    <x v="0"/>
    <x v="539"/>
    <x v="663"/>
    <x v="693"/>
    <x v="614"/>
    <x v="672"/>
    <x v="698"/>
    <x v="0"/>
    <x v="698"/>
    <x v="0"/>
    <x v="1"/>
    <x v="0"/>
    <x v="698"/>
    <x v="0"/>
    <x v="0"/>
    <x v="0"/>
    <x v="3"/>
  </r>
  <r>
    <x v="752"/>
    <x v="1"/>
    <x v="2"/>
    <x v="1"/>
    <x v="1"/>
    <x v="2"/>
    <x v="0"/>
    <x v="0"/>
    <x v="0"/>
    <x v="0"/>
    <x v="0"/>
    <x v="0"/>
    <x v="0"/>
    <x v="18"/>
    <x v="753"/>
    <x v="1"/>
    <x v="13"/>
    <x v="0"/>
    <x v="753"/>
    <x v="753"/>
    <x v="41"/>
    <x v="115"/>
    <x v="171"/>
    <x v="1"/>
    <x v="71"/>
    <x v="0"/>
    <x v="342"/>
    <x v="1"/>
    <x v="588"/>
    <x v="694"/>
    <x v="615"/>
    <x v="673"/>
    <x v="699"/>
    <x v="171"/>
    <x v="699"/>
    <x v="0"/>
    <x v="1"/>
    <x v="0"/>
    <x v="699"/>
    <x v="0"/>
    <x v="441"/>
    <x v="0"/>
    <x v="3"/>
  </r>
  <r>
    <x v="753"/>
    <x v="1"/>
    <x v="2"/>
    <x v="1"/>
    <x v="1"/>
    <x v="2"/>
    <x v="0"/>
    <x v="0"/>
    <x v="0"/>
    <x v="0"/>
    <x v="0"/>
    <x v="0"/>
    <x v="0"/>
    <x v="21"/>
    <x v="754"/>
    <x v="10"/>
    <x v="44"/>
    <x v="0"/>
    <x v="754"/>
    <x v="754"/>
    <x v="196"/>
    <x v="228"/>
    <x v="278"/>
    <x v="1"/>
    <x v="71"/>
    <x v="0"/>
    <x v="178"/>
    <x v="1"/>
    <x v="664"/>
    <x v="695"/>
    <x v="396"/>
    <x v="674"/>
    <x v="700"/>
    <x v="278"/>
    <x v="700"/>
    <x v="0"/>
    <x v="1"/>
    <x v="0"/>
    <x v="700"/>
    <x v="0"/>
    <x v="442"/>
    <x v="0"/>
    <x v="3"/>
  </r>
  <r>
    <x v="754"/>
    <x v="0"/>
    <x v="2"/>
    <x v="0"/>
    <x v="1"/>
    <x v="2"/>
    <x v="0"/>
    <x v="0"/>
    <x v="0"/>
    <x v="0"/>
    <x v="0"/>
    <x v="0"/>
    <x v="0"/>
    <x v="33"/>
    <x v="755"/>
    <x v="9"/>
    <x v="20"/>
    <x v="0"/>
    <x v="755"/>
    <x v="755"/>
    <x v="155"/>
    <x v="145"/>
    <x v="157"/>
    <x v="1"/>
    <x v="570"/>
    <x v="0"/>
    <x v="244"/>
    <x v="1"/>
    <x v="665"/>
    <x v="696"/>
    <x v="448"/>
    <x v="675"/>
    <x v="701"/>
    <x v="157"/>
    <x v="701"/>
    <x v="0"/>
    <x v="1"/>
    <x v="0"/>
    <x v="701"/>
    <x v="1"/>
    <x v="443"/>
    <x v="0"/>
    <x v="3"/>
  </r>
  <r>
    <x v="755"/>
    <x v="1"/>
    <x v="2"/>
    <x v="1"/>
    <x v="1"/>
    <x v="2"/>
    <x v="0"/>
    <x v="0"/>
    <x v="0"/>
    <x v="0"/>
    <x v="0"/>
    <x v="0"/>
    <x v="0"/>
    <x v="4"/>
    <x v="756"/>
    <x v="10"/>
    <x v="39"/>
    <x v="0"/>
    <x v="756"/>
    <x v="756"/>
    <x v="0"/>
    <x v="0"/>
    <x v="0"/>
    <x v="1"/>
    <x v="241"/>
    <x v="0"/>
    <x v="375"/>
    <x v="1"/>
    <x v="570"/>
    <x v="686"/>
    <x v="1"/>
    <x v="569"/>
    <x v="701"/>
    <x v="0"/>
    <x v="701"/>
    <x v="0"/>
    <x v="1"/>
    <x v="0"/>
    <x v="701"/>
    <x v="1"/>
    <x v="0"/>
    <x v="0"/>
    <x v="3"/>
  </r>
  <r>
    <x v="756"/>
    <x v="0"/>
    <x v="2"/>
    <x v="0"/>
    <x v="1"/>
    <x v="2"/>
    <x v="0"/>
    <x v="0"/>
    <x v="0"/>
    <x v="0"/>
    <x v="0"/>
    <x v="0"/>
    <x v="0"/>
    <x v="17"/>
    <x v="757"/>
    <x v="9"/>
    <x v="22"/>
    <x v="0"/>
    <x v="757"/>
    <x v="757"/>
    <x v="0"/>
    <x v="138"/>
    <x v="98"/>
    <x v="1"/>
    <x v="504"/>
    <x v="0"/>
    <x v="271"/>
    <x v="1"/>
    <x v="556"/>
    <x v="697"/>
    <x v="1"/>
    <x v="675"/>
    <x v="702"/>
    <x v="98"/>
    <x v="702"/>
    <x v="0"/>
    <x v="1"/>
    <x v="0"/>
    <x v="702"/>
    <x v="1"/>
    <x v="444"/>
    <x v="0"/>
    <x v="3"/>
  </r>
  <r>
    <x v="757"/>
    <x v="0"/>
    <x v="2"/>
    <x v="0"/>
    <x v="1"/>
    <x v="2"/>
    <x v="0"/>
    <x v="0"/>
    <x v="0"/>
    <x v="0"/>
    <x v="0"/>
    <x v="0"/>
    <x v="0"/>
    <x v="17"/>
    <x v="758"/>
    <x v="9"/>
    <x v="22"/>
    <x v="0"/>
    <x v="758"/>
    <x v="758"/>
    <x v="0"/>
    <x v="0"/>
    <x v="0"/>
    <x v="442"/>
    <x v="321"/>
    <x v="0"/>
    <x v="376"/>
    <x v="540"/>
    <x v="666"/>
    <x v="697"/>
    <x v="616"/>
    <x v="673"/>
    <x v="703"/>
    <x v="0"/>
    <x v="703"/>
    <x v="0"/>
    <x v="1"/>
    <x v="0"/>
    <x v="703"/>
    <x v="0"/>
    <x v="0"/>
    <x v="0"/>
    <x v="3"/>
  </r>
  <r>
    <x v="758"/>
    <x v="1"/>
    <x v="2"/>
    <x v="1"/>
    <x v="1"/>
    <x v="2"/>
    <x v="0"/>
    <x v="0"/>
    <x v="0"/>
    <x v="0"/>
    <x v="0"/>
    <x v="0"/>
    <x v="0"/>
    <x v="6"/>
    <x v="759"/>
    <x v="5"/>
    <x v="7"/>
    <x v="0"/>
    <x v="759"/>
    <x v="759"/>
    <x v="0"/>
    <x v="0"/>
    <x v="0"/>
    <x v="443"/>
    <x v="475"/>
    <x v="0"/>
    <x v="0"/>
    <x v="541"/>
    <x v="667"/>
    <x v="698"/>
    <x v="617"/>
    <x v="676"/>
    <x v="704"/>
    <x v="0"/>
    <x v="704"/>
    <x v="0"/>
    <x v="1"/>
    <x v="0"/>
    <x v="704"/>
    <x v="0"/>
    <x v="0"/>
    <x v="0"/>
    <x v="3"/>
  </r>
  <r>
    <x v="759"/>
    <x v="0"/>
    <x v="2"/>
    <x v="0"/>
    <x v="1"/>
    <x v="2"/>
    <x v="0"/>
    <x v="0"/>
    <x v="0"/>
    <x v="0"/>
    <x v="0"/>
    <x v="0"/>
    <x v="0"/>
    <x v="41"/>
    <x v="760"/>
    <x v="7"/>
    <x v="16"/>
    <x v="0"/>
    <x v="760"/>
    <x v="760"/>
    <x v="0"/>
    <x v="0"/>
    <x v="0"/>
    <x v="444"/>
    <x v="571"/>
    <x v="257"/>
    <x v="377"/>
    <x v="505"/>
    <x v="668"/>
    <x v="699"/>
    <x v="574"/>
    <x v="677"/>
    <x v="705"/>
    <x v="0"/>
    <x v="705"/>
    <x v="0"/>
    <x v="1"/>
    <x v="0"/>
    <x v="705"/>
    <x v="0"/>
    <x v="0"/>
    <x v="0"/>
    <x v="3"/>
  </r>
  <r>
    <x v="760"/>
    <x v="2"/>
    <x v="0"/>
    <x v="0"/>
    <x v="59"/>
    <x v="139"/>
    <x v="1"/>
    <x v="0"/>
    <x v="0"/>
    <x v="0"/>
    <x v="0"/>
    <x v="0"/>
    <x v="0"/>
    <x v="49"/>
    <x v="761"/>
    <x v="12"/>
    <x v="32"/>
    <x v="0"/>
    <x v="761"/>
    <x v="761"/>
    <x v="0"/>
    <x v="0"/>
    <x v="0"/>
    <x v="1"/>
    <x v="137"/>
    <x v="0"/>
    <x v="0"/>
    <x v="1"/>
    <x v="604"/>
    <x v="699"/>
    <x v="1"/>
    <x v="589"/>
    <x v="705"/>
    <x v="0"/>
    <x v="705"/>
    <x v="0"/>
    <x v="1"/>
    <x v="0"/>
    <x v="705"/>
    <x v="1"/>
    <x v="0"/>
    <x v="0"/>
    <x v="3"/>
  </r>
  <r>
    <x v="761"/>
    <x v="2"/>
    <x v="0"/>
    <x v="3"/>
    <x v="60"/>
    <x v="57"/>
    <x v="1"/>
    <x v="0"/>
    <x v="0"/>
    <x v="0"/>
    <x v="0"/>
    <x v="0"/>
    <x v="0"/>
    <x v="24"/>
    <x v="762"/>
    <x v="12"/>
    <x v="59"/>
    <x v="1"/>
    <x v="762"/>
    <x v="762"/>
    <x v="0"/>
    <x v="0"/>
    <x v="0"/>
    <x v="1"/>
    <x v="71"/>
    <x v="258"/>
    <x v="378"/>
    <x v="542"/>
    <x v="669"/>
    <x v="700"/>
    <x v="618"/>
    <x v="678"/>
    <x v="706"/>
    <x v="0"/>
    <x v="706"/>
    <x v="0"/>
    <x v="1"/>
    <x v="0"/>
    <x v="706"/>
    <x v="0"/>
    <x v="0"/>
    <x v="0"/>
    <x v="3"/>
  </r>
  <r>
    <x v="762"/>
    <x v="2"/>
    <x v="2"/>
    <x v="0"/>
    <x v="1"/>
    <x v="2"/>
    <x v="1"/>
    <x v="0"/>
    <x v="0"/>
    <x v="0"/>
    <x v="0"/>
    <x v="0"/>
    <x v="0"/>
    <x v="18"/>
    <x v="763"/>
    <x v="2"/>
    <x v="2"/>
    <x v="0"/>
    <x v="763"/>
    <x v="763"/>
    <x v="0"/>
    <x v="0"/>
    <x v="0"/>
    <x v="445"/>
    <x v="304"/>
    <x v="0"/>
    <x v="179"/>
    <x v="543"/>
    <x v="670"/>
    <x v="700"/>
    <x v="619"/>
    <x v="656"/>
    <x v="706"/>
    <x v="0"/>
    <x v="706"/>
    <x v="0"/>
    <x v="1"/>
    <x v="0"/>
    <x v="706"/>
    <x v="0"/>
    <x v="0"/>
    <x v="0"/>
    <x v="3"/>
  </r>
  <r>
    <x v="763"/>
    <x v="1"/>
    <x v="2"/>
    <x v="1"/>
    <x v="1"/>
    <x v="2"/>
    <x v="0"/>
    <x v="0"/>
    <x v="0"/>
    <x v="0"/>
    <x v="0"/>
    <x v="0"/>
    <x v="0"/>
    <x v="16"/>
    <x v="764"/>
    <x v="10"/>
    <x v="41"/>
    <x v="0"/>
    <x v="764"/>
    <x v="764"/>
    <x v="153"/>
    <x v="143"/>
    <x v="155"/>
    <x v="1"/>
    <x v="572"/>
    <x v="0"/>
    <x v="0"/>
    <x v="1"/>
    <x v="671"/>
    <x v="701"/>
    <x v="360"/>
    <x v="679"/>
    <x v="707"/>
    <x v="155"/>
    <x v="707"/>
    <x v="0"/>
    <x v="1"/>
    <x v="0"/>
    <x v="707"/>
    <x v="1"/>
    <x v="445"/>
    <x v="0"/>
    <x v="3"/>
  </r>
  <r>
    <x v="764"/>
    <x v="0"/>
    <x v="2"/>
    <x v="0"/>
    <x v="1"/>
    <x v="2"/>
    <x v="0"/>
    <x v="0"/>
    <x v="0"/>
    <x v="0"/>
    <x v="3"/>
    <x v="1"/>
    <x v="0"/>
    <x v="21"/>
    <x v="765"/>
    <x v="11"/>
    <x v="33"/>
    <x v="0"/>
    <x v="765"/>
    <x v="765"/>
    <x v="0"/>
    <x v="0"/>
    <x v="0"/>
    <x v="1"/>
    <x v="512"/>
    <x v="0"/>
    <x v="0"/>
    <x v="1"/>
    <x v="592"/>
    <x v="702"/>
    <x v="1"/>
    <x v="591"/>
    <x v="707"/>
    <x v="0"/>
    <x v="707"/>
    <x v="0"/>
    <x v="1"/>
    <x v="0"/>
    <x v="707"/>
    <x v="1"/>
    <x v="0"/>
    <x v="0"/>
    <x v="3"/>
  </r>
  <r>
    <x v="765"/>
    <x v="0"/>
    <x v="2"/>
    <x v="0"/>
    <x v="1"/>
    <x v="2"/>
    <x v="0"/>
    <x v="0"/>
    <x v="0"/>
    <x v="0"/>
    <x v="0"/>
    <x v="0"/>
    <x v="0"/>
    <x v="43"/>
    <x v="766"/>
    <x v="0"/>
    <x v="18"/>
    <x v="0"/>
    <x v="766"/>
    <x v="766"/>
    <x v="0"/>
    <x v="0"/>
    <x v="0"/>
    <x v="446"/>
    <x v="573"/>
    <x v="0"/>
    <x v="0"/>
    <x v="510"/>
    <x v="619"/>
    <x v="702"/>
    <x v="583"/>
    <x v="680"/>
    <x v="707"/>
    <x v="0"/>
    <x v="707"/>
    <x v="0"/>
    <x v="1"/>
    <x v="0"/>
    <x v="707"/>
    <x v="0"/>
    <x v="0"/>
    <x v="0"/>
    <x v="3"/>
  </r>
  <r>
    <x v="766"/>
    <x v="0"/>
    <x v="2"/>
    <x v="0"/>
    <x v="1"/>
    <x v="2"/>
    <x v="2"/>
    <x v="0"/>
    <x v="0"/>
    <x v="0"/>
    <x v="0"/>
    <x v="0"/>
    <x v="0"/>
    <x v="32"/>
    <x v="767"/>
    <x v="7"/>
    <x v="27"/>
    <x v="0"/>
    <x v="767"/>
    <x v="767"/>
    <x v="131"/>
    <x v="4"/>
    <x v="141"/>
    <x v="39"/>
    <x v="351"/>
    <x v="0"/>
    <x v="325"/>
    <x v="544"/>
    <x v="602"/>
    <x v="703"/>
    <x v="260"/>
    <x v="582"/>
    <x v="708"/>
    <x v="141"/>
    <x v="708"/>
    <x v="0"/>
    <x v="1"/>
    <x v="0"/>
    <x v="708"/>
    <x v="0"/>
    <x v="446"/>
    <x v="0"/>
    <x v="3"/>
  </r>
  <r>
    <x v="767"/>
    <x v="0"/>
    <x v="2"/>
    <x v="0"/>
    <x v="1"/>
    <x v="2"/>
    <x v="1"/>
    <x v="0"/>
    <x v="0"/>
    <x v="0"/>
    <x v="0"/>
    <x v="0"/>
    <x v="0"/>
    <x v="17"/>
    <x v="768"/>
    <x v="9"/>
    <x v="22"/>
    <x v="0"/>
    <x v="768"/>
    <x v="768"/>
    <x v="162"/>
    <x v="0"/>
    <x v="154"/>
    <x v="1"/>
    <x v="574"/>
    <x v="0"/>
    <x v="361"/>
    <x v="1"/>
    <x v="672"/>
    <x v="704"/>
    <x v="524"/>
    <x v="679"/>
    <x v="709"/>
    <x v="154"/>
    <x v="709"/>
    <x v="0"/>
    <x v="1"/>
    <x v="0"/>
    <x v="709"/>
    <x v="1"/>
    <x v="447"/>
    <x v="0"/>
    <x v="3"/>
  </r>
  <r>
    <x v="768"/>
    <x v="1"/>
    <x v="2"/>
    <x v="1"/>
    <x v="1"/>
    <x v="2"/>
    <x v="0"/>
    <x v="0"/>
    <x v="0"/>
    <x v="0"/>
    <x v="0"/>
    <x v="0"/>
    <x v="0"/>
    <x v="4"/>
    <x v="769"/>
    <x v="10"/>
    <x v="39"/>
    <x v="0"/>
    <x v="769"/>
    <x v="769"/>
    <x v="92"/>
    <x v="145"/>
    <x v="173"/>
    <x v="1"/>
    <x v="575"/>
    <x v="0"/>
    <x v="339"/>
    <x v="1"/>
    <x v="650"/>
    <x v="705"/>
    <x v="477"/>
    <x v="581"/>
    <x v="710"/>
    <x v="173"/>
    <x v="710"/>
    <x v="0"/>
    <x v="1"/>
    <x v="0"/>
    <x v="710"/>
    <x v="0"/>
    <x v="448"/>
    <x v="0"/>
    <x v="3"/>
  </r>
  <r>
    <x v="769"/>
    <x v="1"/>
    <x v="2"/>
    <x v="1"/>
    <x v="1"/>
    <x v="2"/>
    <x v="0"/>
    <x v="0"/>
    <x v="0"/>
    <x v="0"/>
    <x v="0"/>
    <x v="0"/>
    <x v="0"/>
    <x v="1"/>
    <x v="770"/>
    <x v="1"/>
    <x v="4"/>
    <x v="1"/>
    <x v="770"/>
    <x v="770"/>
    <x v="0"/>
    <x v="0"/>
    <x v="0"/>
    <x v="420"/>
    <x v="573"/>
    <x v="0"/>
    <x v="0"/>
    <x v="440"/>
    <x v="619"/>
    <x v="706"/>
    <x v="620"/>
    <x v="680"/>
    <x v="710"/>
    <x v="0"/>
    <x v="710"/>
    <x v="0"/>
    <x v="1"/>
    <x v="0"/>
    <x v="710"/>
    <x v="0"/>
    <x v="0"/>
    <x v="0"/>
    <x v="3"/>
  </r>
  <r>
    <x v="770"/>
    <x v="1"/>
    <x v="2"/>
    <x v="1"/>
    <x v="1"/>
    <x v="2"/>
    <x v="0"/>
    <x v="0"/>
    <x v="0"/>
    <x v="0"/>
    <x v="0"/>
    <x v="0"/>
    <x v="0"/>
    <x v="22"/>
    <x v="771"/>
    <x v="1"/>
    <x v="13"/>
    <x v="0"/>
    <x v="771"/>
    <x v="771"/>
    <x v="110"/>
    <x v="146"/>
    <x v="133"/>
    <x v="1"/>
    <x v="71"/>
    <x v="259"/>
    <x v="379"/>
    <x v="545"/>
    <x v="673"/>
    <x v="707"/>
    <x v="604"/>
    <x v="674"/>
    <x v="711"/>
    <x v="133"/>
    <x v="711"/>
    <x v="0"/>
    <x v="1"/>
    <x v="0"/>
    <x v="711"/>
    <x v="0"/>
    <x v="449"/>
    <x v="0"/>
    <x v="3"/>
  </r>
  <r>
    <x v="771"/>
    <x v="0"/>
    <x v="2"/>
    <x v="0"/>
    <x v="1"/>
    <x v="2"/>
    <x v="0"/>
    <x v="0"/>
    <x v="0"/>
    <x v="0"/>
    <x v="0"/>
    <x v="0"/>
    <x v="0"/>
    <x v="17"/>
    <x v="772"/>
    <x v="9"/>
    <x v="57"/>
    <x v="0"/>
    <x v="772"/>
    <x v="772"/>
    <x v="155"/>
    <x v="145"/>
    <x v="157"/>
    <x v="1"/>
    <x v="548"/>
    <x v="226"/>
    <x v="354"/>
    <x v="546"/>
    <x v="553"/>
    <x v="708"/>
    <x v="616"/>
    <x v="681"/>
    <x v="711"/>
    <x v="157"/>
    <x v="711"/>
    <x v="0"/>
    <x v="1"/>
    <x v="0"/>
    <x v="711"/>
    <x v="0"/>
    <x v="450"/>
    <x v="0"/>
    <x v="3"/>
  </r>
  <r>
    <x v="772"/>
    <x v="0"/>
    <x v="2"/>
    <x v="0"/>
    <x v="1"/>
    <x v="2"/>
    <x v="0"/>
    <x v="0"/>
    <x v="0"/>
    <x v="0"/>
    <x v="0"/>
    <x v="0"/>
    <x v="0"/>
    <x v="18"/>
    <x v="773"/>
    <x v="2"/>
    <x v="2"/>
    <x v="0"/>
    <x v="773"/>
    <x v="773"/>
    <x v="239"/>
    <x v="143"/>
    <x v="158"/>
    <x v="1"/>
    <x v="576"/>
    <x v="0"/>
    <x v="380"/>
    <x v="1"/>
    <x v="674"/>
    <x v="709"/>
    <x v="606"/>
    <x v="638"/>
    <x v="712"/>
    <x v="158"/>
    <x v="712"/>
    <x v="0"/>
    <x v="1"/>
    <x v="0"/>
    <x v="712"/>
    <x v="0"/>
    <x v="451"/>
    <x v="0"/>
    <x v="3"/>
  </r>
  <r>
    <x v="773"/>
    <x v="2"/>
    <x v="2"/>
    <x v="3"/>
    <x v="1"/>
    <x v="140"/>
    <x v="1"/>
    <x v="0"/>
    <x v="0"/>
    <x v="0"/>
    <x v="0"/>
    <x v="0"/>
    <x v="0"/>
    <x v="2"/>
    <x v="774"/>
    <x v="2"/>
    <x v="2"/>
    <x v="0"/>
    <x v="774"/>
    <x v="774"/>
    <x v="0"/>
    <x v="0"/>
    <x v="0"/>
    <x v="447"/>
    <x v="391"/>
    <x v="0"/>
    <x v="0"/>
    <x v="545"/>
    <x v="675"/>
    <x v="708"/>
    <x v="621"/>
    <x v="682"/>
    <x v="712"/>
    <x v="0"/>
    <x v="712"/>
    <x v="0"/>
    <x v="1"/>
    <x v="0"/>
    <x v="712"/>
    <x v="0"/>
    <x v="0"/>
    <x v="0"/>
    <x v="3"/>
  </r>
  <r>
    <x v="774"/>
    <x v="1"/>
    <x v="2"/>
    <x v="1"/>
    <x v="1"/>
    <x v="2"/>
    <x v="0"/>
    <x v="0"/>
    <x v="0"/>
    <x v="0"/>
    <x v="0"/>
    <x v="0"/>
    <x v="0"/>
    <x v="18"/>
    <x v="775"/>
    <x v="5"/>
    <x v="58"/>
    <x v="0"/>
    <x v="775"/>
    <x v="775"/>
    <x v="0"/>
    <x v="0"/>
    <x v="0"/>
    <x v="1"/>
    <x v="158"/>
    <x v="0"/>
    <x v="0"/>
    <x v="1"/>
    <x v="583"/>
    <x v="710"/>
    <x v="1"/>
    <x v="683"/>
    <x v="713"/>
    <x v="0"/>
    <x v="713"/>
    <x v="0"/>
    <x v="1"/>
    <x v="0"/>
    <x v="713"/>
    <x v="1"/>
    <x v="0"/>
    <x v="0"/>
    <x v="3"/>
  </r>
  <r>
    <x v="775"/>
    <x v="1"/>
    <x v="2"/>
    <x v="1"/>
    <x v="1"/>
    <x v="2"/>
    <x v="0"/>
    <x v="0"/>
    <x v="0"/>
    <x v="0"/>
    <x v="0"/>
    <x v="0"/>
    <x v="0"/>
    <x v="7"/>
    <x v="776"/>
    <x v="6"/>
    <x v="29"/>
    <x v="0"/>
    <x v="776"/>
    <x v="776"/>
    <x v="0"/>
    <x v="0"/>
    <x v="0"/>
    <x v="448"/>
    <x v="577"/>
    <x v="0"/>
    <x v="297"/>
    <x v="547"/>
    <x v="676"/>
    <x v="711"/>
    <x v="622"/>
    <x v="625"/>
    <x v="714"/>
    <x v="0"/>
    <x v="714"/>
    <x v="0"/>
    <x v="1"/>
    <x v="0"/>
    <x v="714"/>
    <x v="0"/>
    <x v="0"/>
    <x v="0"/>
    <x v="3"/>
  </r>
  <r>
    <x v="776"/>
    <x v="0"/>
    <x v="2"/>
    <x v="0"/>
    <x v="1"/>
    <x v="2"/>
    <x v="0"/>
    <x v="0"/>
    <x v="0"/>
    <x v="0"/>
    <x v="0"/>
    <x v="0"/>
    <x v="0"/>
    <x v="37"/>
    <x v="777"/>
    <x v="7"/>
    <x v="27"/>
    <x v="0"/>
    <x v="777"/>
    <x v="777"/>
    <x v="114"/>
    <x v="191"/>
    <x v="192"/>
    <x v="1"/>
    <x v="45"/>
    <x v="0"/>
    <x v="381"/>
    <x v="1"/>
    <x v="670"/>
    <x v="712"/>
    <x v="472"/>
    <x v="684"/>
    <x v="715"/>
    <x v="192"/>
    <x v="715"/>
    <x v="0"/>
    <x v="1"/>
    <x v="0"/>
    <x v="715"/>
    <x v="1"/>
    <x v="452"/>
    <x v="0"/>
    <x v="3"/>
  </r>
  <r>
    <x v="777"/>
    <x v="1"/>
    <x v="0"/>
    <x v="1"/>
    <x v="61"/>
    <x v="2"/>
    <x v="0"/>
    <x v="0"/>
    <x v="0"/>
    <x v="0"/>
    <x v="0"/>
    <x v="0"/>
    <x v="0"/>
    <x v="1"/>
    <x v="778"/>
    <x v="1"/>
    <x v="13"/>
    <x v="1"/>
    <x v="778"/>
    <x v="778"/>
    <x v="114"/>
    <x v="138"/>
    <x v="154"/>
    <x v="1"/>
    <x v="71"/>
    <x v="260"/>
    <x v="374"/>
    <x v="548"/>
    <x v="655"/>
    <x v="713"/>
    <x v="618"/>
    <x v="621"/>
    <x v="715"/>
    <x v="154"/>
    <x v="715"/>
    <x v="0"/>
    <x v="1"/>
    <x v="0"/>
    <x v="715"/>
    <x v="0"/>
    <x v="453"/>
    <x v="0"/>
    <x v="3"/>
  </r>
  <r>
    <x v="778"/>
    <x v="0"/>
    <x v="0"/>
    <x v="0"/>
    <x v="62"/>
    <x v="141"/>
    <x v="0"/>
    <x v="2"/>
    <x v="0"/>
    <x v="0"/>
    <x v="0"/>
    <x v="0"/>
    <x v="0"/>
    <x v="26"/>
    <x v="779"/>
    <x v="19"/>
    <x v="79"/>
    <x v="0"/>
    <x v="779"/>
    <x v="779"/>
    <x v="0"/>
    <x v="0"/>
    <x v="0"/>
    <x v="1"/>
    <x v="71"/>
    <x v="0"/>
    <x v="382"/>
    <x v="1"/>
    <x v="562"/>
    <x v="714"/>
    <x v="1"/>
    <x v="685"/>
    <x v="715"/>
    <x v="0"/>
    <x v="715"/>
    <x v="0"/>
    <x v="1"/>
    <x v="0"/>
    <x v="715"/>
    <x v="1"/>
    <x v="0"/>
    <x v="0"/>
    <x v="3"/>
  </r>
  <r>
    <x v="779"/>
    <x v="2"/>
    <x v="0"/>
    <x v="3"/>
    <x v="63"/>
    <x v="142"/>
    <x v="1"/>
    <x v="0"/>
    <x v="0"/>
    <x v="0"/>
    <x v="0"/>
    <x v="0"/>
    <x v="0"/>
    <x v="49"/>
    <x v="780"/>
    <x v="12"/>
    <x v="72"/>
    <x v="2"/>
    <x v="780"/>
    <x v="780"/>
    <x v="0"/>
    <x v="0"/>
    <x v="0"/>
    <x v="1"/>
    <x v="578"/>
    <x v="0"/>
    <x v="0"/>
    <x v="1"/>
    <x v="677"/>
    <x v="715"/>
    <x v="1"/>
    <x v="594"/>
    <x v="716"/>
    <x v="0"/>
    <x v="716"/>
    <x v="0"/>
    <x v="1"/>
    <x v="0"/>
    <x v="716"/>
    <x v="1"/>
    <x v="0"/>
    <x v="0"/>
    <x v="3"/>
  </r>
  <r>
    <x v="780"/>
    <x v="1"/>
    <x v="0"/>
    <x v="1"/>
    <x v="64"/>
    <x v="33"/>
    <x v="0"/>
    <x v="0"/>
    <x v="0"/>
    <x v="0"/>
    <x v="0"/>
    <x v="0"/>
    <x v="0"/>
    <x v="7"/>
    <x v="781"/>
    <x v="1"/>
    <x v="13"/>
    <x v="0"/>
    <x v="781"/>
    <x v="781"/>
    <x v="0"/>
    <x v="0"/>
    <x v="0"/>
    <x v="449"/>
    <x v="540"/>
    <x v="0"/>
    <x v="0"/>
    <x v="514"/>
    <x v="678"/>
    <x v="715"/>
    <x v="623"/>
    <x v="686"/>
    <x v="716"/>
    <x v="0"/>
    <x v="716"/>
    <x v="0"/>
    <x v="1"/>
    <x v="0"/>
    <x v="716"/>
    <x v="0"/>
    <x v="0"/>
    <x v="0"/>
    <x v="3"/>
  </r>
  <r>
    <x v="781"/>
    <x v="0"/>
    <x v="2"/>
    <x v="0"/>
    <x v="1"/>
    <x v="2"/>
    <x v="1"/>
    <x v="0"/>
    <x v="0"/>
    <x v="0"/>
    <x v="0"/>
    <x v="0"/>
    <x v="0"/>
    <x v="24"/>
    <x v="782"/>
    <x v="12"/>
    <x v="32"/>
    <x v="0"/>
    <x v="782"/>
    <x v="782"/>
    <x v="179"/>
    <x v="138"/>
    <x v="212"/>
    <x v="1"/>
    <x v="320"/>
    <x v="0"/>
    <x v="285"/>
    <x v="1"/>
    <x v="679"/>
    <x v="716"/>
    <x v="573"/>
    <x v="656"/>
    <x v="717"/>
    <x v="212"/>
    <x v="717"/>
    <x v="0"/>
    <x v="1"/>
    <x v="0"/>
    <x v="717"/>
    <x v="1"/>
    <x v="454"/>
    <x v="0"/>
    <x v="3"/>
  </r>
  <r>
    <x v="782"/>
    <x v="0"/>
    <x v="2"/>
    <x v="0"/>
    <x v="1"/>
    <x v="2"/>
    <x v="1"/>
    <x v="0"/>
    <x v="0"/>
    <x v="0"/>
    <x v="0"/>
    <x v="0"/>
    <x v="0"/>
    <x v="17"/>
    <x v="783"/>
    <x v="9"/>
    <x v="20"/>
    <x v="0"/>
    <x v="783"/>
    <x v="783"/>
    <x v="0"/>
    <x v="0"/>
    <x v="0"/>
    <x v="1"/>
    <x v="523"/>
    <x v="0"/>
    <x v="383"/>
    <x v="1"/>
    <x v="636"/>
    <x v="688"/>
    <x v="1"/>
    <x v="629"/>
    <x v="718"/>
    <x v="0"/>
    <x v="718"/>
    <x v="0"/>
    <x v="1"/>
    <x v="0"/>
    <x v="718"/>
    <x v="1"/>
    <x v="0"/>
    <x v="0"/>
    <x v="3"/>
  </r>
  <r>
    <x v="783"/>
    <x v="1"/>
    <x v="2"/>
    <x v="1"/>
    <x v="1"/>
    <x v="2"/>
    <x v="0"/>
    <x v="0"/>
    <x v="0"/>
    <x v="0"/>
    <x v="0"/>
    <x v="0"/>
    <x v="0"/>
    <x v="20"/>
    <x v="784"/>
    <x v="16"/>
    <x v="54"/>
    <x v="0"/>
    <x v="784"/>
    <x v="784"/>
    <x v="0"/>
    <x v="0"/>
    <x v="0"/>
    <x v="450"/>
    <x v="579"/>
    <x v="0"/>
    <x v="0"/>
    <x v="549"/>
    <x v="680"/>
    <x v="717"/>
    <x v="624"/>
    <x v="687"/>
    <x v="719"/>
    <x v="0"/>
    <x v="719"/>
    <x v="0"/>
    <x v="1"/>
    <x v="0"/>
    <x v="719"/>
    <x v="0"/>
    <x v="0"/>
    <x v="0"/>
    <x v="3"/>
  </r>
  <r>
    <x v="784"/>
    <x v="0"/>
    <x v="2"/>
    <x v="0"/>
    <x v="1"/>
    <x v="2"/>
    <x v="1"/>
    <x v="0"/>
    <x v="0"/>
    <x v="0"/>
    <x v="0"/>
    <x v="0"/>
    <x v="0"/>
    <x v="18"/>
    <x v="785"/>
    <x v="2"/>
    <x v="2"/>
    <x v="0"/>
    <x v="785"/>
    <x v="785"/>
    <x v="162"/>
    <x v="138"/>
    <x v="157"/>
    <x v="1"/>
    <x v="580"/>
    <x v="0"/>
    <x v="384"/>
    <x v="1"/>
    <x v="650"/>
    <x v="705"/>
    <x v="524"/>
    <x v="688"/>
    <x v="720"/>
    <x v="157"/>
    <x v="720"/>
    <x v="0"/>
    <x v="1"/>
    <x v="0"/>
    <x v="720"/>
    <x v="1"/>
    <x v="455"/>
    <x v="0"/>
    <x v="3"/>
  </r>
  <r>
    <x v="785"/>
    <x v="1"/>
    <x v="2"/>
    <x v="1"/>
    <x v="1"/>
    <x v="2"/>
    <x v="0"/>
    <x v="0"/>
    <x v="0"/>
    <x v="0"/>
    <x v="0"/>
    <x v="0"/>
    <x v="0"/>
    <x v="16"/>
    <x v="786"/>
    <x v="10"/>
    <x v="39"/>
    <x v="0"/>
    <x v="786"/>
    <x v="786"/>
    <x v="240"/>
    <x v="183"/>
    <x v="211"/>
    <x v="1"/>
    <x v="71"/>
    <x v="0"/>
    <x v="95"/>
    <x v="1"/>
    <x v="659"/>
    <x v="718"/>
    <x v="625"/>
    <x v="648"/>
    <x v="721"/>
    <x v="211"/>
    <x v="721"/>
    <x v="0"/>
    <x v="1"/>
    <x v="0"/>
    <x v="721"/>
    <x v="0"/>
    <x v="456"/>
    <x v="0"/>
    <x v="3"/>
  </r>
  <r>
    <x v="786"/>
    <x v="1"/>
    <x v="2"/>
    <x v="1"/>
    <x v="1"/>
    <x v="2"/>
    <x v="0"/>
    <x v="0"/>
    <x v="0"/>
    <x v="0"/>
    <x v="0"/>
    <x v="0"/>
    <x v="0"/>
    <x v="4"/>
    <x v="787"/>
    <x v="10"/>
    <x v="39"/>
    <x v="0"/>
    <x v="787"/>
    <x v="787"/>
    <x v="155"/>
    <x v="177"/>
    <x v="116"/>
    <x v="1"/>
    <x v="293"/>
    <x v="0"/>
    <x v="257"/>
    <x v="1"/>
    <x v="681"/>
    <x v="719"/>
    <x v="448"/>
    <x v="598"/>
    <x v="721"/>
    <x v="116"/>
    <x v="721"/>
    <x v="0"/>
    <x v="1"/>
    <x v="0"/>
    <x v="721"/>
    <x v="1"/>
    <x v="457"/>
    <x v="0"/>
    <x v="3"/>
  </r>
  <r>
    <x v="787"/>
    <x v="0"/>
    <x v="2"/>
    <x v="0"/>
    <x v="1"/>
    <x v="2"/>
    <x v="2"/>
    <x v="0"/>
    <x v="0"/>
    <x v="0"/>
    <x v="0"/>
    <x v="0"/>
    <x v="0"/>
    <x v="34"/>
    <x v="788"/>
    <x v="7"/>
    <x v="80"/>
    <x v="0"/>
    <x v="788"/>
    <x v="788"/>
    <x v="162"/>
    <x v="0"/>
    <x v="154"/>
    <x v="1"/>
    <x v="71"/>
    <x v="175"/>
    <x v="166"/>
    <x v="550"/>
    <x v="682"/>
    <x v="720"/>
    <x v="325"/>
    <x v="689"/>
    <x v="722"/>
    <x v="154"/>
    <x v="722"/>
    <x v="0"/>
    <x v="1"/>
    <x v="0"/>
    <x v="722"/>
    <x v="0"/>
    <x v="458"/>
    <x v="0"/>
    <x v="3"/>
  </r>
  <r>
    <x v="788"/>
    <x v="2"/>
    <x v="2"/>
    <x v="0"/>
    <x v="1"/>
    <x v="143"/>
    <x v="1"/>
    <x v="0"/>
    <x v="0"/>
    <x v="0"/>
    <x v="0"/>
    <x v="0"/>
    <x v="0"/>
    <x v="22"/>
    <x v="789"/>
    <x v="12"/>
    <x v="32"/>
    <x v="0"/>
    <x v="789"/>
    <x v="789"/>
    <x v="0"/>
    <x v="0"/>
    <x v="0"/>
    <x v="451"/>
    <x v="227"/>
    <x v="0"/>
    <x v="0"/>
    <x v="551"/>
    <x v="683"/>
    <x v="705"/>
    <x v="257"/>
    <x v="690"/>
    <x v="722"/>
    <x v="0"/>
    <x v="722"/>
    <x v="0"/>
    <x v="1"/>
    <x v="0"/>
    <x v="722"/>
    <x v="0"/>
    <x v="0"/>
    <x v="0"/>
    <x v="3"/>
  </r>
  <r>
    <x v="789"/>
    <x v="0"/>
    <x v="1"/>
    <x v="0"/>
    <x v="1"/>
    <x v="144"/>
    <x v="0"/>
    <x v="0"/>
    <x v="0"/>
    <x v="0"/>
    <x v="0"/>
    <x v="0"/>
    <x v="0"/>
    <x v="22"/>
    <x v="790"/>
    <x v="7"/>
    <x v="27"/>
    <x v="0"/>
    <x v="790"/>
    <x v="790"/>
    <x v="0"/>
    <x v="0"/>
    <x v="0"/>
    <x v="1"/>
    <x v="581"/>
    <x v="0"/>
    <x v="0"/>
    <x v="1"/>
    <x v="684"/>
    <x v="721"/>
    <x v="1"/>
    <x v="691"/>
    <x v="723"/>
    <x v="0"/>
    <x v="723"/>
    <x v="0"/>
    <x v="1"/>
    <x v="0"/>
    <x v="723"/>
    <x v="1"/>
    <x v="0"/>
    <x v="0"/>
    <x v="3"/>
  </r>
  <r>
    <x v="790"/>
    <x v="1"/>
    <x v="2"/>
    <x v="1"/>
    <x v="1"/>
    <x v="2"/>
    <x v="0"/>
    <x v="0"/>
    <x v="0"/>
    <x v="0"/>
    <x v="0"/>
    <x v="0"/>
    <x v="0"/>
    <x v="4"/>
    <x v="791"/>
    <x v="10"/>
    <x v="39"/>
    <x v="0"/>
    <x v="791"/>
    <x v="791"/>
    <x v="205"/>
    <x v="42"/>
    <x v="49"/>
    <x v="1"/>
    <x v="575"/>
    <x v="0"/>
    <x v="325"/>
    <x v="1"/>
    <x v="578"/>
    <x v="588"/>
    <x v="626"/>
    <x v="635"/>
    <x v="724"/>
    <x v="49"/>
    <x v="724"/>
    <x v="0"/>
    <x v="1"/>
    <x v="0"/>
    <x v="724"/>
    <x v="0"/>
    <x v="459"/>
    <x v="0"/>
    <x v="3"/>
  </r>
  <r>
    <x v="791"/>
    <x v="1"/>
    <x v="2"/>
    <x v="1"/>
    <x v="1"/>
    <x v="2"/>
    <x v="0"/>
    <x v="0"/>
    <x v="0"/>
    <x v="0"/>
    <x v="0"/>
    <x v="0"/>
    <x v="0"/>
    <x v="6"/>
    <x v="792"/>
    <x v="5"/>
    <x v="31"/>
    <x v="0"/>
    <x v="792"/>
    <x v="792"/>
    <x v="223"/>
    <x v="173"/>
    <x v="279"/>
    <x v="1"/>
    <x v="71"/>
    <x v="0"/>
    <x v="374"/>
    <x v="1"/>
    <x v="655"/>
    <x v="722"/>
    <x v="481"/>
    <x v="692"/>
    <x v="725"/>
    <x v="279"/>
    <x v="725"/>
    <x v="0"/>
    <x v="1"/>
    <x v="0"/>
    <x v="725"/>
    <x v="0"/>
    <x v="460"/>
    <x v="0"/>
    <x v="3"/>
  </r>
  <r>
    <x v="792"/>
    <x v="0"/>
    <x v="2"/>
    <x v="0"/>
    <x v="1"/>
    <x v="2"/>
    <x v="0"/>
    <x v="0"/>
    <x v="0"/>
    <x v="0"/>
    <x v="0"/>
    <x v="0"/>
    <x v="0"/>
    <x v="11"/>
    <x v="793"/>
    <x v="8"/>
    <x v="71"/>
    <x v="0"/>
    <x v="793"/>
    <x v="793"/>
    <x v="0"/>
    <x v="138"/>
    <x v="98"/>
    <x v="1"/>
    <x v="582"/>
    <x v="0"/>
    <x v="329"/>
    <x v="1"/>
    <x v="577"/>
    <x v="723"/>
    <x v="1"/>
    <x v="693"/>
    <x v="726"/>
    <x v="98"/>
    <x v="726"/>
    <x v="0"/>
    <x v="1"/>
    <x v="0"/>
    <x v="726"/>
    <x v="1"/>
    <x v="461"/>
    <x v="0"/>
    <x v="3"/>
  </r>
  <r>
    <x v="793"/>
    <x v="0"/>
    <x v="2"/>
    <x v="0"/>
    <x v="1"/>
    <x v="2"/>
    <x v="0"/>
    <x v="0"/>
    <x v="0"/>
    <x v="0"/>
    <x v="0"/>
    <x v="0"/>
    <x v="0"/>
    <x v="40"/>
    <x v="794"/>
    <x v="0"/>
    <x v="0"/>
    <x v="0"/>
    <x v="794"/>
    <x v="794"/>
    <x v="114"/>
    <x v="0"/>
    <x v="164"/>
    <x v="1"/>
    <x v="583"/>
    <x v="0"/>
    <x v="385"/>
    <x v="1"/>
    <x v="685"/>
    <x v="724"/>
    <x v="472"/>
    <x v="694"/>
    <x v="727"/>
    <x v="164"/>
    <x v="727"/>
    <x v="0"/>
    <x v="1"/>
    <x v="0"/>
    <x v="727"/>
    <x v="1"/>
    <x v="462"/>
    <x v="0"/>
    <x v="3"/>
  </r>
  <r>
    <x v="794"/>
    <x v="0"/>
    <x v="2"/>
    <x v="0"/>
    <x v="1"/>
    <x v="2"/>
    <x v="0"/>
    <x v="0"/>
    <x v="0"/>
    <x v="0"/>
    <x v="0"/>
    <x v="0"/>
    <x v="0"/>
    <x v="22"/>
    <x v="795"/>
    <x v="7"/>
    <x v="16"/>
    <x v="0"/>
    <x v="795"/>
    <x v="795"/>
    <x v="0"/>
    <x v="0"/>
    <x v="0"/>
    <x v="452"/>
    <x v="584"/>
    <x v="0"/>
    <x v="0"/>
    <x v="552"/>
    <x v="686"/>
    <x v="724"/>
    <x v="627"/>
    <x v="695"/>
    <x v="728"/>
    <x v="0"/>
    <x v="728"/>
    <x v="0"/>
    <x v="1"/>
    <x v="0"/>
    <x v="728"/>
    <x v="0"/>
    <x v="0"/>
    <x v="0"/>
    <x v="3"/>
  </r>
  <r>
    <x v="795"/>
    <x v="2"/>
    <x v="0"/>
    <x v="0"/>
    <x v="65"/>
    <x v="142"/>
    <x v="1"/>
    <x v="0"/>
    <x v="0"/>
    <x v="0"/>
    <x v="0"/>
    <x v="0"/>
    <x v="0"/>
    <x v="49"/>
    <x v="796"/>
    <x v="12"/>
    <x v="72"/>
    <x v="2"/>
    <x v="796"/>
    <x v="796"/>
    <x v="0"/>
    <x v="0"/>
    <x v="0"/>
    <x v="453"/>
    <x v="585"/>
    <x v="0"/>
    <x v="0"/>
    <x v="553"/>
    <x v="588"/>
    <x v="725"/>
    <x v="512"/>
    <x v="696"/>
    <x v="729"/>
    <x v="0"/>
    <x v="729"/>
    <x v="0"/>
    <x v="1"/>
    <x v="0"/>
    <x v="729"/>
    <x v="0"/>
    <x v="0"/>
    <x v="0"/>
    <x v="3"/>
  </r>
  <r>
    <x v="796"/>
    <x v="1"/>
    <x v="2"/>
    <x v="1"/>
    <x v="1"/>
    <x v="2"/>
    <x v="0"/>
    <x v="0"/>
    <x v="0"/>
    <x v="0"/>
    <x v="0"/>
    <x v="0"/>
    <x v="0"/>
    <x v="9"/>
    <x v="797"/>
    <x v="1"/>
    <x v="10"/>
    <x v="0"/>
    <x v="797"/>
    <x v="797"/>
    <x v="0"/>
    <x v="0"/>
    <x v="0"/>
    <x v="434"/>
    <x v="241"/>
    <x v="0"/>
    <x v="0"/>
    <x v="532"/>
    <x v="687"/>
    <x v="646"/>
    <x v="608"/>
    <x v="697"/>
    <x v="730"/>
    <x v="0"/>
    <x v="730"/>
    <x v="0"/>
    <x v="1"/>
    <x v="0"/>
    <x v="730"/>
    <x v="0"/>
    <x v="0"/>
    <x v="0"/>
    <x v="3"/>
  </r>
  <r>
    <x v="797"/>
    <x v="0"/>
    <x v="2"/>
    <x v="0"/>
    <x v="1"/>
    <x v="2"/>
    <x v="1"/>
    <x v="0"/>
    <x v="0"/>
    <x v="0"/>
    <x v="0"/>
    <x v="0"/>
    <x v="0"/>
    <x v="18"/>
    <x v="798"/>
    <x v="2"/>
    <x v="2"/>
    <x v="0"/>
    <x v="798"/>
    <x v="798"/>
    <x v="153"/>
    <x v="63"/>
    <x v="116"/>
    <x v="1"/>
    <x v="586"/>
    <x v="0"/>
    <x v="386"/>
    <x v="1"/>
    <x v="688"/>
    <x v="726"/>
    <x v="360"/>
    <x v="635"/>
    <x v="731"/>
    <x v="116"/>
    <x v="731"/>
    <x v="0"/>
    <x v="1"/>
    <x v="0"/>
    <x v="731"/>
    <x v="1"/>
    <x v="463"/>
    <x v="0"/>
    <x v="3"/>
  </r>
  <r>
    <x v="798"/>
    <x v="0"/>
    <x v="2"/>
    <x v="0"/>
    <x v="1"/>
    <x v="2"/>
    <x v="0"/>
    <x v="0"/>
    <x v="0"/>
    <x v="0"/>
    <x v="0"/>
    <x v="0"/>
    <x v="0"/>
    <x v="37"/>
    <x v="799"/>
    <x v="7"/>
    <x v="16"/>
    <x v="0"/>
    <x v="799"/>
    <x v="799"/>
    <x v="0"/>
    <x v="0"/>
    <x v="0"/>
    <x v="1"/>
    <x v="587"/>
    <x v="0"/>
    <x v="0"/>
    <x v="1"/>
    <x v="689"/>
    <x v="727"/>
    <x v="1"/>
    <x v="698"/>
    <x v="731"/>
    <x v="0"/>
    <x v="731"/>
    <x v="0"/>
    <x v="1"/>
    <x v="0"/>
    <x v="731"/>
    <x v="1"/>
    <x v="0"/>
    <x v="0"/>
    <x v="3"/>
  </r>
  <r>
    <x v="799"/>
    <x v="0"/>
    <x v="2"/>
    <x v="0"/>
    <x v="1"/>
    <x v="2"/>
    <x v="0"/>
    <x v="0"/>
    <x v="0"/>
    <x v="0"/>
    <x v="0"/>
    <x v="0"/>
    <x v="0"/>
    <x v="18"/>
    <x v="800"/>
    <x v="2"/>
    <x v="2"/>
    <x v="0"/>
    <x v="800"/>
    <x v="800"/>
    <x v="97"/>
    <x v="145"/>
    <x v="154"/>
    <x v="1"/>
    <x v="548"/>
    <x v="0"/>
    <x v="347"/>
    <x v="1"/>
    <x v="629"/>
    <x v="728"/>
    <x v="628"/>
    <x v="616"/>
    <x v="732"/>
    <x v="154"/>
    <x v="732"/>
    <x v="0"/>
    <x v="1"/>
    <x v="0"/>
    <x v="732"/>
    <x v="1"/>
    <x v="464"/>
    <x v="0"/>
    <x v="3"/>
  </r>
  <r>
    <x v="800"/>
    <x v="0"/>
    <x v="2"/>
    <x v="2"/>
    <x v="28"/>
    <x v="2"/>
    <x v="0"/>
    <x v="0"/>
    <x v="0"/>
    <x v="0"/>
    <x v="0"/>
    <x v="0"/>
    <x v="0"/>
    <x v="21"/>
    <x v="801"/>
    <x v="11"/>
    <x v="30"/>
    <x v="0"/>
    <x v="801"/>
    <x v="801"/>
    <x v="164"/>
    <x v="42"/>
    <x v="172"/>
    <x v="1"/>
    <x v="71"/>
    <x v="261"/>
    <x v="387"/>
    <x v="554"/>
    <x v="690"/>
    <x v="729"/>
    <x v="609"/>
    <x v="699"/>
    <x v="733"/>
    <x v="172"/>
    <x v="733"/>
    <x v="0"/>
    <x v="1"/>
    <x v="0"/>
    <x v="733"/>
    <x v="0"/>
    <x v="465"/>
    <x v="0"/>
    <x v="3"/>
  </r>
  <r>
    <x v="801"/>
    <x v="0"/>
    <x v="2"/>
    <x v="3"/>
    <x v="1"/>
    <x v="2"/>
    <x v="0"/>
    <x v="0"/>
    <x v="0"/>
    <x v="0"/>
    <x v="0"/>
    <x v="0"/>
    <x v="0"/>
    <x v="53"/>
    <x v="802"/>
    <x v="7"/>
    <x v="16"/>
    <x v="0"/>
    <x v="802"/>
    <x v="802"/>
    <x v="97"/>
    <x v="0"/>
    <x v="98"/>
    <x v="442"/>
    <x v="90"/>
    <x v="262"/>
    <x v="366"/>
    <x v="555"/>
    <x v="691"/>
    <x v="730"/>
    <x v="595"/>
    <x v="700"/>
    <x v="733"/>
    <x v="98"/>
    <x v="733"/>
    <x v="0"/>
    <x v="1"/>
    <x v="0"/>
    <x v="733"/>
    <x v="0"/>
    <x v="466"/>
    <x v="0"/>
    <x v="3"/>
  </r>
  <r>
    <x v="802"/>
    <x v="0"/>
    <x v="2"/>
    <x v="0"/>
    <x v="1"/>
    <x v="2"/>
    <x v="0"/>
    <x v="0"/>
    <x v="0"/>
    <x v="0"/>
    <x v="0"/>
    <x v="0"/>
    <x v="0"/>
    <x v="12"/>
    <x v="803"/>
    <x v="7"/>
    <x v="16"/>
    <x v="0"/>
    <x v="803"/>
    <x v="803"/>
    <x v="0"/>
    <x v="0"/>
    <x v="0"/>
    <x v="1"/>
    <x v="523"/>
    <x v="0"/>
    <x v="0"/>
    <x v="1"/>
    <x v="602"/>
    <x v="731"/>
    <x v="1"/>
    <x v="604"/>
    <x v="733"/>
    <x v="0"/>
    <x v="733"/>
    <x v="0"/>
    <x v="1"/>
    <x v="0"/>
    <x v="733"/>
    <x v="1"/>
    <x v="0"/>
    <x v="0"/>
    <x v="3"/>
  </r>
  <r>
    <x v="803"/>
    <x v="2"/>
    <x v="2"/>
    <x v="3"/>
    <x v="1"/>
    <x v="145"/>
    <x v="1"/>
    <x v="0"/>
    <x v="0"/>
    <x v="0"/>
    <x v="0"/>
    <x v="0"/>
    <x v="0"/>
    <x v="18"/>
    <x v="804"/>
    <x v="2"/>
    <x v="2"/>
    <x v="0"/>
    <x v="804"/>
    <x v="804"/>
    <x v="0"/>
    <x v="0"/>
    <x v="0"/>
    <x v="1"/>
    <x v="588"/>
    <x v="0"/>
    <x v="388"/>
    <x v="1"/>
    <x v="514"/>
    <x v="730"/>
    <x v="1"/>
    <x v="512"/>
    <x v="734"/>
    <x v="0"/>
    <x v="734"/>
    <x v="0"/>
    <x v="1"/>
    <x v="0"/>
    <x v="734"/>
    <x v="1"/>
    <x v="0"/>
    <x v="0"/>
    <x v="3"/>
  </r>
  <r>
    <x v="804"/>
    <x v="1"/>
    <x v="2"/>
    <x v="1"/>
    <x v="1"/>
    <x v="2"/>
    <x v="0"/>
    <x v="0"/>
    <x v="0"/>
    <x v="0"/>
    <x v="0"/>
    <x v="0"/>
    <x v="0"/>
    <x v="20"/>
    <x v="805"/>
    <x v="5"/>
    <x v="12"/>
    <x v="2"/>
    <x v="805"/>
    <x v="805"/>
    <x v="0"/>
    <x v="0"/>
    <x v="0"/>
    <x v="454"/>
    <x v="567"/>
    <x v="0"/>
    <x v="0"/>
    <x v="556"/>
    <x v="692"/>
    <x v="728"/>
    <x v="629"/>
    <x v="701"/>
    <x v="735"/>
    <x v="0"/>
    <x v="735"/>
    <x v="0"/>
    <x v="1"/>
    <x v="0"/>
    <x v="735"/>
    <x v="0"/>
    <x v="0"/>
    <x v="0"/>
    <x v="3"/>
  </r>
  <r>
    <x v="805"/>
    <x v="0"/>
    <x v="1"/>
    <x v="0"/>
    <x v="66"/>
    <x v="146"/>
    <x v="0"/>
    <x v="0"/>
    <x v="0"/>
    <x v="0"/>
    <x v="0"/>
    <x v="0"/>
    <x v="0"/>
    <x v="54"/>
    <x v="806"/>
    <x v="0"/>
    <x v="0"/>
    <x v="0"/>
    <x v="806"/>
    <x v="806"/>
    <x v="0"/>
    <x v="0"/>
    <x v="0"/>
    <x v="1"/>
    <x v="589"/>
    <x v="0"/>
    <x v="0"/>
    <x v="1"/>
    <x v="688"/>
    <x v="726"/>
    <x v="1"/>
    <x v="702"/>
    <x v="736"/>
    <x v="0"/>
    <x v="736"/>
    <x v="0"/>
    <x v="1"/>
    <x v="0"/>
    <x v="736"/>
    <x v="1"/>
    <x v="0"/>
    <x v="0"/>
    <x v="3"/>
  </r>
  <r>
    <x v="806"/>
    <x v="0"/>
    <x v="2"/>
    <x v="0"/>
    <x v="1"/>
    <x v="2"/>
    <x v="0"/>
    <x v="0"/>
    <x v="0"/>
    <x v="0"/>
    <x v="0"/>
    <x v="0"/>
    <x v="0"/>
    <x v="15"/>
    <x v="807"/>
    <x v="0"/>
    <x v="18"/>
    <x v="1"/>
    <x v="807"/>
    <x v="807"/>
    <x v="0"/>
    <x v="0"/>
    <x v="0"/>
    <x v="455"/>
    <x v="452"/>
    <x v="0"/>
    <x v="0"/>
    <x v="557"/>
    <x v="693"/>
    <x v="732"/>
    <x v="362"/>
    <x v="703"/>
    <x v="737"/>
    <x v="0"/>
    <x v="737"/>
    <x v="0"/>
    <x v="1"/>
    <x v="0"/>
    <x v="737"/>
    <x v="0"/>
    <x v="0"/>
    <x v="0"/>
    <x v="3"/>
  </r>
  <r>
    <x v="807"/>
    <x v="0"/>
    <x v="1"/>
    <x v="0"/>
    <x v="67"/>
    <x v="147"/>
    <x v="0"/>
    <x v="0"/>
    <x v="0"/>
    <x v="0"/>
    <x v="0"/>
    <x v="0"/>
    <x v="0"/>
    <x v="22"/>
    <x v="808"/>
    <x v="7"/>
    <x v="16"/>
    <x v="2"/>
    <x v="808"/>
    <x v="808"/>
    <x v="0"/>
    <x v="0"/>
    <x v="0"/>
    <x v="456"/>
    <x v="567"/>
    <x v="0"/>
    <x v="0"/>
    <x v="558"/>
    <x v="692"/>
    <x v="733"/>
    <x v="630"/>
    <x v="701"/>
    <x v="738"/>
    <x v="0"/>
    <x v="738"/>
    <x v="0"/>
    <x v="1"/>
    <x v="0"/>
    <x v="738"/>
    <x v="0"/>
    <x v="0"/>
    <x v="0"/>
    <x v="3"/>
  </r>
  <r>
    <x v="808"/>
    <x v="0"/>
    <x v="2"/>
    <x v="0"/>
    <x v="1"/>
    <x v="2"/>
    <x v="0"/>
    <x v="0"/>
    <x v="0"/>
    <x v="0"/>
    <x v="0"/>
    <x v="0"/>
    <x v="0"/>
    <x v="33"/>
    <x v="809"/>
    <x v="9"/>
    <x v="20"/>
    <x v="0"/>
    <x v="809"/>
    <x v="809"/>
    <x v="0"/>
    <x v="0"/>
    <x v="0"/>
    <x v="457"/>
    <x v="590"/>
    <x v="0"/>
    <x v="0"/>
    <x v="559"/>
    <x v="694"/>
    <x v="734"/>
    <x v="631"/>
    <x v="704"/>
    <x v="739"/>
    <x v="0"/>
    <x v="739"/>
    <x v="0"/>
    <x v="1"/>
    <x v="0"/>
    <x v="739"/>
    <x v="0"/>
    <x v="0"/>
    <x v="0"/>
    <x v="3"/>
  </r>
  <r>
    <x v="809"/>
    <x v="1"/>
    <x v="2"/>
    <x v="1"/>
    <x v="1"/>
    <x v="2"/>
    <x v="0"/>
    <x v="0"/>
    <x v="0"/>
    <x v="0"/>
    <x v="0"/>
    <x v="0"/>
    <x v="0"/>
    <x v="16"/>
    <x v="810"/>
    <x v="10"/>
    <x v="21"/>
    <x v="0"/>
    <x v="810"/>
    <x v="810"/>
    <x v="114"/>
    <x v="138"/>
    <x v="154"/>
    <x v="1"/>
    <x v="591"/>
    <x v="0"/>
    <x v="387"/>
    <x v="1"/>
    <x v="618"/>
    <x v="735"/>
    <x v="472"/>
    <x v="705"/>
    <x v="740"/>
    <x v="154"/>
    <x v="740"/>
    <x v="0"/>
    <x v="1"/>
    <x v="0"/>
    <x v="740"/>
    <x v="1"/>
    <x v="467"/>
    <x v="0"/>
    <x v="3"/>
  </r>
  <r>
    <x v="810"/>
    <x v="1"/>
    <x v="2"/>
    <x v="1"/>
    <x v="1"/>
    <x v="2"/>
    <x v="0"/>
    <x v="0"/>
    <x v="0"/>
    <x v="0"/>
    <x v="0"/>
    <x v="0"/>
    <x v="0"/>
    <x v="22"/>
    <x v="811"/>
    <x v="9"/>
    <x v="22"/>
    <x v="0"/>
    <x v="811"/>
    <x v="811"/>
    <x v="0"/>
    <x v="0"/>
    <x v="0"/>
    <x v="458"/>
    <x v="179"/>
    <x v="0"/>
    <x v="0"/>
    <x v="560"/>
    <x v="695"/>
    <x v="736"/>
    <x v="632"/>
    <x v="706"/>
    <x v="741"/>
    <x v="0"/>
    <x v="741"/>
    <x v="0"/>
    <x v="1"/>
    <x v="0"/>
    <x v="741"/>
    <x v="0"/>
    <x v="0"/>
    <x v="0"/>
    <x v="3"/>
  </r>
  <r>
    <x v="811"/>
    <x v="0"/>
    <x v="2"/>
    <x v="1"/>
    <x v="1"/>
    <x v="2"/>
    <x v="0"/>
    <x v="0"/>
    <x v="0"/>
    <x v="0"/>
    <x v="0"/>
    <x v="0"/>
    <x v="0"/>
    <x v="22"/>
    <x v="812"/>
    <x v="2"/>
    <x v="6"/>
    <x v="0"/>
    <x v="812"/>
    <x v="812"/>
    <x v="0"/>
    <x v="0"/>
    <x v="0"/>
    <x v="1"/>
    <x v="592"/>
    <x v="0"/>
    <x v="0"/>
    <x v="1"/>
    <x v="631"/>
    <x v="737"/>
    <x v="1"/>
    <x v="705"/>
    <x v="742"/>
    <x v="0"/>
    <x v="742"/>
    <x v="0"/>
    <x v="1"/>
    <x v="0"/>
    <x v="742"/>
    <x v="1"/>
    <x v="0"/>
    <x v="0"/>
    <x v="3"/>
  </r>
  <r>
    <x v="812"/>
    <x v="1"/>
    <x v="2"/>
    <x v="1"/>
    <x v="1"/>
    <x v="2"/>
    <x v="0"/>
    <x v="0"/>
    <x v="0"/>
    <x v="0"/>
    <x v="0"/>
    <x v="0"/>
    <x v="0"/>
    <x v="14"/>
    <x v="813"/>
    <x v="6"/>
    <x v="29"/>
    <x v="0"/>
    <x v="813"/>
    <x v="813"/>
    <x v="0"/>
    <x v="145"/>
    <x v="164"/>
    <x v="309"/>
    <x v="372"/>
    <x v="263"/>
    <x v="387"/>
    <x v="561"/>
    <x v="696"/>
    <x v="738"/>
    <x v="633"/>
    <x v="707"/>
    <x v="743"/>
    <x v="164"/>
    <x v="743"/>
    <x v="0"/>
    <x v="1"/>
    <x v="0"/>
    <x v="743"/>
    <x v="0"/>
    <x v="468"/>
    <x v="0"/>
    <x v="3"/>
  </r>
  <r>
    <x v="813"/>
    <x v="0"/>
    <x v="2"/>
    <x v="0"/>
    <x v="1"/>
    <x v="2"/>
    <x v="0"/>
    <x v="0"/>
    <x v="0"/>
    <x v="0"/>
    <x v="0"/>
    <x v="0"/>
    <x v="0"/>
    <x v="10"/>
    <x v="814"/>
    <x v="7"/>
    <x v="27"/>
    <x v="0"/>
    <x v="814"/>
    <x v="814"/>
    <x v="126"/>
    <x v="66"/>
    <x v="193"/>
    <x v="1"/>
    <x v="593"/>
    <x v="0"/>
    <x v="346"/>
    <x v="1"/>
    <x v="697"/>
    <x v="739"/>
    <x v="209"/>
    <x v="668"/>
    <x v="744"/>
    <x v="193"/>
    <x v="744"/>
    <x v="0"/>
    <x v="1"/>
    <x v="0"/>
    <x v="744"/>
    <x v="1"/>
    <x v="469"/>
    <x v="0"/>
    <x v="3"/>
  </r>
  <r>
    <x v="814"/>
    <x v="1"/>
    <x v="2"/>
    <x v="1"/>
    <x v="1"/>
    <x v="2"/>
    <x v="0"/>
    <x v="0"/>
    <x v="0"/>
    <x v="0"/>
    <x v="0"/>
    <x v="0"/>
    <x v="0"/>
    <x v="14"/>
    <x v="815"/>
    <x v="6"/>
    <x v="8"/>
    <x v="0"/>
    <x v="815"/>
    <x v="815"/>
    <x v="170"/>
    <x v="143"/>
    <x v="105"/>
    <x v="1"/>
    <x v="566"/>
    <x v="264"/>
    <x v="380"/>
    <x v="562"/>
    <x v="698"/>
    <x v="740"/>
    <x v="634"/>
    <x v="579"/>
    <x v="745"/>
    <x v="105"/>
    <x v="745"/>
    <x v="0"/>
    <x v="1"/>
    <x v="0"/>
    <x v="745"/>
    <x v="0"/>
    <x v="470"/>
    <x v="0"/>
    <x v="3"/>
  </r>
  <r>
    <x v="815"/>
    <x v="1"/>
    <x v="2"/>
    <x v="1"/>
    <x v="1"/>
    <x v="2"/>
    <x v="0"/>
    <x v="0"/>
    <x v="0"/>
    <x v="0"/>
    <x v="0"/>
    <x v="0"/>
    <x v="0"/>
    <x v="1"/>
    <x v="816"/>
    <x v="1"/>
    <x v="13"/>
    <x v="0"/>
    <x v="816"/>
    <x v="816"/>
    <x v="0"/>
    <x v="0"/>
    <x v="0"/>
    <x v="459"/>
    <x v="594"/>
    <x v="0"/>
    <x v="0"/>
    <x v="563"/>
    <x v="699"/>
    <x v="738"/>
    <x v="509"/>
    <x v="708"/>
    <x v="746"/>
    <x v="0"/>
    <x v="746"/>
    <x v="0"/>
    <x v="1"/>
    <x v="0"/>
    <x v="746"/>
    <x v="0"/>
    <x v="0"/>
    <x v="0"/>
    <x v="3"/>
  </r>
  <r>
    <x v="816"/>
    <x v="1"/>
    <x v="2"/>
    <x v="1"/>
    <x v="1"/>
    <x v="2"/>
    <x v="0"/>
    <x v="0"/>
    <x v="0"/>
    <x v="0"/>
    <x v="0"/>
    <x v="0"/>
    <x v="0"/>
    <x v="38"/>
    <x v="817"/>
    <x v="5"/>
    <x v="31"/>
    <x v="0"/>
    <x v="817"/>
    <x v="817"/>
    <x v="131"/>
    <x v="100"/>
    <x v="186"/>
    <x v="1"/>
    <x v="595"/>
    <x v="0"/>
    <x v="335"/>
    <x v="1"/>
    <x v="669"/>
    <x v="741"/>
    <x v="635"/>
    <x v="642"/>
    <x v="747"/>
    <x v="186"/>
    <x v="747"/>
    <x v="0"/>
    <x v="1"/>
    <x v="0"/>
    <x v="747"/>
    <x v="0"/>
    <x v="471"/>
    <x v="0"/>
    <x v="3"/>
  </r>
  <r>
    <x v="817"/>
    <x v="0"/>
    <x v="2"/>
    <x v="0"/>
    <x v="1"/>
    <x v="2"/>
    <x v="0"/>
    <x v="0"/>
    <x v="0"/>
    <x v="0"/>
    <x v="0"/>
    <x v="0"/>
    <x v="0"/>
    <x v="42"/>
    <x v="818"/>
    <x v="0"/>
    <x v="0"/>
    <x v="0"/>
    <x v="818"/>
    <x v="818"/>
    <x v="114"/>
    <x v="152"/>
    <x v="157"/>
    <x v="1"/>
    <x v="45"/>
    <x v="0"/>
    <x v="211"/>
    <x v="1"/>
    <x v="614"/>
    <x v="742"/>
    <x v="472"/>
    <x v="620"/>
    <x v="748"/>
    <x v="157"/>
    <x v="748"/>
    <x v="0"/>
    <x v="1"/>
    <x v="0"/>
    <x v="748"/>
    <x v="1"/>
    <x v="472"/>
    <x v="0"/>
    <x v="3"/>
  </r>
  <r>
    <x v="818"/>
    <x v="1"/>
    <x v="2"/>
    <x v="1"/>
    <x v="1"/>
    <x v="2"/>
    <x v="0"/>
    <x v="0"/>
    <x v="0"/>
    <x v="0"/>
    <x v="0"/>
    <x v="0"/>
    <x v="0"/>
    <x v="9"/>
    <x v="819"/>
    <x v="1"/>
    <x v="10"/>
    <x v="0"/>
    <x v="819"/>
    <x v="819"/>
    <x v="0"/>
    <x v="0"/>
    <x v="0"/>
    <x v="460"/>
    <x v="567"/>
    <x v="0"/>
    <x v="0"/>
    <x v="564"/>
    <x v="692"/>
    <x v="743"/>
    <x v="636"/>
    <x v="701"/>
    <x v="748"/>
    <x v="0"/>
    <x v="748"/>
    <x v="0"/>
    <x v="1"/>
    <x v="0"/>
    <x v="748"/>
    <x v="0"/>
    <x v="0"/>
    <x v="0"/>
    <x v="3"/>
  </r>
  <r>
    <x v="819"/>
    <x v="1"/>
    <x v="2"/>
    <x v="1"/>
    <x v="1"/>
    <x v="2"/>
    <x v="0"/>
    <x v="0"/>
    <x v="0"/>
    <x v="0"/>
    <x v="0"/>
    <x v="0"/>
    <x v="0"/>
    <x v="25"/>
    <x v="820"/>
    <x v="5"/>
    <x v="81"/>
    <x v="0"/>
    <x v="820"/>
    <x v="820"/>
    <x v="114"/>
    <x v="179"/>
    <x v="166"/>
    <x v="461"/>
    <x v="505"/>
    <x v="265"/>
    <x v="347"/>
    <x v="565"/>
    <x v="700"/>
    <x v="744"/>
    <x v="632"/>
    <x v="703"/>
    <x v="749"/>
    <x v="166"/>
    <x v="749"/>
    <x v="0"/>
    <x v="1"/>
    <x v="0"/>
    <x v="749"/>
    <x v="0"/>
    <x v="473"/>
    <x v="0"/>
    <x v="3"/>
  </r>
  <r>
    <x v="820"/>
    <x v="0"/>
    <x v="1"/>
    <x v="0"/>
    <x v="68"/>
    <x v="18"/>
    <x v="0"/>
    <x v="0"/>
    <x v="0"/>
    <x v="0"/>
    <x v="0"/>
    <x v="0"/>
    <x v="0"/>
    <x v="9"/>
    <x v="821"/>
    <x v="12"/>
    <x v="32"/>
    <x v="0"/>
    <x v="821"/>
    <x v="821"/>
    <x v="0"/>
    <x v="138"/>
    <x v="98"/>
    <x v="1"/>
    <x v="540"/>
    <x v="230"/>
    <x v="249"/>
    <x v="482"/>
    <x v="626"/>
    <x v="745"/>
    <x v="637"/>
    <x v="709"/>
    <x v="749"/>
    <x v="98"/>
    <x v="749"/>
    <x v="0"/>
    <x v="1"/>
    <x v="0"/>
    <x v="749"/>
    <x v="0"/>
    <x v="474"/>
    <x v="0"/>
    <x v="3"/>
  </r>
  <r>
    <x v="821"/>
    <x v="0"/>
    <x v="2"/>
    <x v="0"/>
    <x v="1"/>
    <x v="2"/>
    <x v="0"/>
    <x v="0"/>
    <x v="0"/>
    <x v="0"/>
    <x v="0"/>
    <x v="0"/>
    <x v="0"/>
    <x v="26"/>
    <x v="822"/>
    <x v="0"/>
    <x v="18"/>
    <x v="0"/>
    <x v="822"/>
    <x v="822"/>
    <x v="0"/>
    <x v="0"/>
    <x v="0"/>
    <x v="1"/>
    <x v="596"/>
    <x v="0"/>
    <x v="0"/>
    <x v="1"/>
    <x v="701"/>
    <x v="729"/>
    <x v="1"/>
    <x v="620"/>
    <x v="750"/>
    <x v="0"/>
    <x v="750"/>
    <x v="0"/>
    <x v="1"/>
    <x v="0"/>
    <x v="750"/>
    <x v="1"/>
    <x v="0"/>
    <x v="0"/>
    <x v="3"/>
  </r>
  <r>
    <x v="822"/>
    <x v="0"/>
    <x v="2"/>
    <x v="0"/>
    <x v="1"/>
    <x v="2"/>
    <x v="0"/>
    <x v="0"/>
    <x v="0"/>
    <x v="0"/>
    <x v="0"/>
    <x v="0"/>
    <x v="0"/>
    <x v="33"/>
    <x v="823"/>
    <x v="9"/>
    <x v="20"/>
    <x v="0"/>
    <x v="823"/>
    <x v="823"/>
    <x v="131"/>
    <x v="225"/>
    <x v="133"/>
    <x v="1"/>
    <x v="597"/>
    <x v="0"/>
    <x v="389"/>
    <x v="1"/>
    <x v="615"/>
    <x v="746"/>
    <x v="635"/>
    <x v="678"/>
    <x v="751"/>
    <x v="133"/>
    <x v="751"/>
    <x v="0"/>
    <x v="1"/>
    <x v="0"/>
    <x v="751"/>
    <x v="0"/>
    <x v="475"/>
    <x v="0"/>
    <x v="3"/>
  </r>
  <r>
    <x v="823"/>
    <x v="0"/>
    <x v="2"/>
    <x v="0"/>
    <x v="1"/>
    <x v="2"/>
    <x v="0"/>
    <x v="0"/>
    <x v="0"/>
    <x v="0"/>
    <x v="0"/>
    <x v="0"/>
    <x v="0"/>
    <x v="12"/>
    <x v="824"/>
    <x v="7"/>
    <x v="11"/>
    <x v="1"/>
    <x v="824"/>
    <x v="824"/>
    <x v="0"/>
    <x v="0"/>
    <x v="0"/>
    <x v="1"/>
    <x v="71"/>
    <x v="266"/>
    <x v="131"/>
    <x v="566"/>
    <x v="609"/>
    <x v="742"/>
    <x v="638"/>
    <x v="615"/>
    <x v="751"/>
    <x v="0"/>
    <x v="751"/>
    <x v="0"/>
    <x v="1"/>
    <x v="0"/>
    <x v="751"/>
    <x v="0"/>
    <x v="0"/>
    <x v="0"/>
    <x v="3"/>
  </r>
  <r>
    <x v="824"/>
    <x v="0"/>
    <x v="2"/>
    <x v="2"/>
    <x v="69"/>
    <x v="2"/>
    <x v="0"/>
    <x v="0"/>
    <x v="0"/>
    <x v="0"/>
    <x v="0"/>
    <x v="0"/>
    <x v="0"/>
    <x v="33"/>
    <x v="825"/>
    <x v="9"/>
    <x v="20"/>
    <x v="0"/>
    <x v="825"/>
    <x v="825"/>
    <x v="53"/>
    <x v="229"/>
    <x v="193"/>
    <x v="1"/>
    <x v="598"/>
    <x v="0"/>
    <x v="348"/>
    <x v="1"/>
    <x v="699"/>
    <x v="747"/>
    <x v="639"/>
    <x v="710"/>
    <x v="752"/>
    <x v="193"/>
    <x v="752"/>
    <x v="0"/>
    <x v="1"/>
    <x v="0"/>
    <x v="752"/>
    <x v="0"/>
    <x v="476"/>
    <x v="0"/>
    <x v="3"/>
  </r>
  <r>
    <x v="825"/>
    <x v="2"/>
    <x v="2"/>
    <x v="0"/>
    <x v="1"/>
    <x v="148"/>
    <x v="1"/>
    <x v="0"/>
    <x v="0"/>
    <x v="0"/>
    <x v="0"/>
    <x v="0"/>
    <x v="0"/>
    <x v="22"/>
    <x v="826"/>
    <x v="2"/>
    <x v="2"/>
    <x v="0"/>
    <x v="826"/>
    <x v="826"/>
    <x v="0"/>
    <x v="0"/>
    <x v="0"/>
    <x v="1"/>
    <x v="550"/>
    <x v="0"/>
    <x v="0"/>
    <x v="1"/>
    <x v="643"/>
    <x v="748"/>
    <x v="1"/>
    <x v="651"/>
    <x v="753"/>
    <x v="0"/>
    <x v="753"/>
    <x v="0"/>
    <x v="1"/>
    <x v="0"/>
    <x v="753"/>
    <x v="1"/>
    <x v="0"/>
    <x v="0"/>
    <x v="3"/>
  </r>
  <r>
    <x v="826"/>
    <x v="0"/>
    <x v="0"/>
    <x v="0"/>
    <x v="1"/>
    <x v="149"/>
    <x v="0"/>
    <x v="0"/>
    <x v="0"/>
    <x v="0"/>
    <x v="0"/>
    <x v="0"/>
    <x v="0"/>
    <x v="12"/>
    <x v="827"/>
    <x v="7"/>
    <x v="16"/>
    <x v="2"/>
    <x v="827"/>
    <x v="827"/>
    <x v="97"/>
    <x v="138"/>
    <x v="150"/>
    <x v="462"/>
    <x v="597"/>
    <x v="267"/>
    <x v="249"/>
    <x v="550"/>
    <x v="702"/>
    <x v="749"/>
    <x v="640"/>
    <x v="711"/>
    <x v="754"/>
    <x v="150"/>
    <x v="754"/>
    <x v="0"/>
    <x v="1"/>
    <x v="0"/>
    <x v="754"/>
    <x v="0"/>
    <x v="477"/>
    <x v="0"/>
    <x v="3"/>
  </r>
  <r>
    <x v="827"/>
    <x v="1"/>
    <x v="2"/>
    <x v="1"/>
    <x v="1"/>
    <x v="2"/>
    <x v="0"/>
    <x v="0"/>
    <x v="0"/>
    <x v="0"/>
    <x v="0"/>
    <x v="0"/>
    <x v="0"/>
    <x v="11"/>
    <x v="828"/>
    <x v="15"/>
    <x v="45"/>
    <x v="0"/>
    <x v="828"/>
    <x v="828"/>
    <x v="179"/>
    <x v="129"/>
    <x v="236"/>
    <x v="1"/>
    <x v="71"/>
    <x v="268"/>
    <x v="390"/>
    <x v="567"/>
    <x v="703"/>
    <x v="750"/>
    <x v="638"/>
    <x v="712"/>
    <x v="755"/>
    <x v="236"/>
    <x v="755"/>
    <x v="0"/>
    <x v="1"/>
    <x v="0"/>
    <x v="755"/>
    <x v="0"/>
    <x v="478"/>
    <x v="0"/>
    <x v="3"/>
  </r>
  <r>
    <x v="828"/>
    <x v="2"/>
    <x v="2"/>
    <x v="0"/>
    <x v="1"/>
    <x v="150"/>
    <x v="1"/>
    <x v="0"/>
    <x v="0"/>
    <x v="0"/>
    <x v="0"/>
    <x v="0"/>
    <x v="0"/>
    <x v="35"/>
    <x v="829"/>
    <x v="12"/>
    <x v="76"/>
    <x v="0"/>
    <x v="829"/>
    <x v="829"/>
    <x v="0"/>
    <x v="0"/>
    <x v="0"/>
    <x v="463"/>
    <x v="599"/>
    <x v="0"/>
    <x v="0"/>
    <x v="565"/>
    <x v="703"/>
    <x v="751"/>
    <x v="641"/>
    <x v="713"/>
    <x v="755"/>
    <x v="0"/>
    <x v="755"/>
    <x v="0"/>
    <x v="1"/>
    <x v="0"/>
    <x v="755"/>
    <x v="0"/>
    <x v="0"/>
    <x v="0"/>
    <x v="3"/>
  </r>
  <r>
    <x v="829"/>
    <x v="0"/>
    <x v="2"/>
    <x v="0"/>
    <x v="1"/>
    <x v="2"/>
    <x v="0"/>
    <x v="0"/>
    <x v="0"/>
    <x v="0"/>
    <x v="0"/>
    <x v="0"/>
    <x v="0"/>
    <x v="15"/>
    <x v="830"/>
    <x v="0"/>
    <x v="18"/>
    <x v="1"/>
    <x v="830"/>
    <x v="830"/>
    <x v="0"/>
    <x v="0"/>
    <x v="0"/>
    <x v="419"/>
    <x v="600"/>
    <x v="0"/>
    <x v="0"/>
    <x v="512"/>
    <x v="702"/>
    <x v="744"/>
    <x v="642"/>
    <x v="714"/>
    <x v="756"/>
    <x v="0"/>
    <x v="756"/>
    <x v="0"/>
    <x v="1"/>
    <x v="0"/>
    <x v="756"/>
    <x v="0"/>
    <x v="0"/>
    <x v="2"/>
    <x v="4"/>
  </r>
  <r>
    <x v="830"/>
    <x v="0"/>
    <x v="2"/>
    <x v="0"/>
    <x v="1"/>
    <x v="2"/>
    <x v="0"/>
    <x v="0"/>
    <x v="0"/>
    <x v="0"/>
    <x v="0"/>
    <x v="0"/>
    <x v="0"/>
    <x v="10"/>
    <x v="831"/>
    <x v="9"/>
    <x v="57"/>
    <x v="0"/>
    <x v="831"/>
    <x v="831"/>
    <x v="241"/>
    <x v="75"/>
    <x v="273"/>
    <x v="1"/>
    <x v="601"/>
    <x v="0"/>
    <x v="387"/>
    <x v="1"/>
    <x v="702"/>
    <x v="752"/>
    <x v="643"/>
    <x v="715"/>
    <x v="757"/>
    <x v="273"/>
    <x v="757"/>
    <x v="0"/>
    <x v="1"/>
    <x v="0"/>
    <x v="757"/>
    <x v="0"/>
    <x v="479"/>
    <x v="2"/>
    <x v="4"/>
  </r>
  <r>
    <x v="831"/>
    <x v="0"/>
    <x v="2"/>
    <x v="0"/>
    <x v="1"/>
    <x v="2"/>
    <x v="0"/>
    <x v="0"/>
    <x v="0"/>
    <x v="0"/>
    <x v="0"/>
    <x v="0"/>
    <x v="0"/>
    <x v="12"/>
    <x v="832"/>
    <x v="7"/>
    <x v="16"/>
    <x v="2"/>
    <x v="832"/>
    <x v="832"/>
    <x v="205"/>
    <x v="100"/>
    <x v="144"/>
    <x v="464"/>
    <x v="602"/>
    <x v="269"/>
    <x v="340"/>
    <x v="568"/>
    <x v="704"/>
    <x v="746"/>
    <x v="644"/>
    <x v="716"/>
    <x v="757"/>
    <x v="144"/>
    <x v="757"/>
    <x v="0"/>
    <x v="1"/>
    <x v="0"/>
    <x v="757"/>
    <x v="0"/>
    <x v="480"/>
    <x v="2"/>
    <x v="4"/>
  </r>
  <r>
    <x v="832"/>
    <x v="2"/>
    <x v="2"/>
    <x v="0"/>
    <x v="1"/>
    <x v="2"/>
    <x v="1"/>
    <x v="0"/>
    <x v="0"/>
    <x v="0"/>
    <x v="0"/>
    <x v="0"/>
    <x v="0"/>
    <x v="22"/>
    <x v="833"/>
    <x v="2"/>
    <x v="2"/>
    <x v="0"/>
    <x v="833"/>
    <x v="833"/>
    <x v="0"/>
    <x v="0"/>
    <x v="0"/>
    <x v="425"/>
    <x v="579"/>
    <x v="0"/>
    <x v="0"/>
    <x v="482"/>
    <x v="680"/>
    <x v="753"/>
    <x v="637"/>
    <x v="687"/>
    <x v="757"/>
    <x v="0"/>
    <x v="757"/>
    <x v="0"/>
    <x v="1"/>
    <x v="0"/>
    <x v="757"/>
    <x v="0"/>
    <x v="0"/>
    <x v="2"/>
    <x v="4"/>
  </r>
  <r>
    <x v="833"/>
    <x v="1"/>
    <x v="2"/>
    <x v="1"/>
    <x v="1"/>
    <x v="2"/>
    <x v="0"/>
    <x v="0"/>
    <x v="0"/>
    <x v="0"/>
    <x v="0"/>
    <x v="0"/>
    <x v="0"/>
    <x v="22"/>
    <x v="834"/>
    <x v="9"/>
    <x v="22"/>
    <x v="0"/>
    <x v="834"/>
    <x v="834"/>
    <x v="0"/>
    <x v="0"/>
    <x v="0"/>
    <x v="463"/>
    <x v="603"/>
    <x v="0"/>
    <x v="0"/>
    <x v="565"/>
    <x v="705"/>
    <x v="753"/>
    <x v="641"/>
    <x v="717"/>
    <x v="757"/>
    <x v="0"/>
    <x v="757"/>
    <x v="0"/>
    <x v="1"/>
    <x v="0"/>
    <x v="757"/>
    <x v="0"/>
    <x v="0"/>
    <x v="2"/>
    <x v="4"/>
  </r>
  <r>
    <x v="834"/>
    <x v="1"/>
    <x v="2"/>
    <x v="1"/>
    <x v="1"/>
    <x v="2"/>
    <x v="0"/>
    <x v="0"/>
    <x v="0"/>
    <x v="0"/>
    <x v="0"/>
    <x v="0"/>
    <x v="0"/>
    <x v="9"/>
    <x v="835"/>
    <x v="1"/>
    <x v="10"/>
    <x v="0"/>
    <x v="835"/>
    <x v="835"/>
    <x v="0"/>
    <x v="0"/>
    <x v="0"/>
    <x v="1"/>
    <x v="574"/>
    <x v="0"/>
    <x v="0"/>
    <x v="1"/>
    <x v="669"/>
    <x v="741"/>
    <x v="1"/>
    <x v="678"/>
    <x v="758"/>
    <x v="0"/>
    <x v="758"/>
    <x v="0"/>
    <x v="1"/>
    <x v="0"/>
    <x v="758"/>
    <x v="1"/>
    <x v="0"/>
    <x v="2"/>
    <x v="4"/>
  </r>
  <r>
    <x v="835"/>
    <x v="0"/>
    <x v="2"/>
    <x v="0"/>
    <x v="1"/>
    <x v="2"/>
    <x v="1"/>
    <x v="0"/>
    <x v="0"/>
    <x v="0"/>
    <x v="0"/>
    <x v="0"/>
    <x v="0"/>
    <x v="18"/>
    <x v="836"/>
    <x v="2"/>
    <x v="2"/>
    <x v="0"/>
    <x v="836"/>
    <x v="836"/>
    <x v="155"/>
    <x v="0"/>
    <x v="150"/>
    <x v="1"/>
    <x v="435"/>
    <x v="0"/>
    <x v="248"/>
    <x v="1"/>
    <x v="706"/>
    <x v="754"/>
    <x v="448"/>
    <x v="718"/>
    <x v="759"/>
    <x v="150"/>
    <x v="759"/>
    <x v="0"/>
    <x v="1"/>
    <x v="0"/>
    <x v="759"/>
    <x v="1"/>
    <x v="415"/>
    <x v="2"/>
    <x v="4"/>
  </r>
  <r>
    <x v="836"/>
    <x v="1"/>
    <x v="2"/>
    <x v="1"/>
    <x v="1"/>
    <x v="2"/>
    <x v="0"/>
    <x v="0"/>
    <x v="0"/>
    <x v="0"/>
    <x v="0"/>
    <x v="0"/>
    <x v="0"/>
    <x v="4"/>
    <x v="837"/>
    <x v="10"/>
    <x v="39"/>
    <x v="0"/>
    <x v="837"/>
    <x v="837"/>
    <x v="0"/>
    <x v="0"/>
    <x v="0"/>
    <x v="1"/>
    <x v="546"/>
    <x v="0"/>
    <x v="0"/>
    <x v="1"/>
    <x v="659"/>
    <x v="718"/>
    <x v="1"/>
    <x v="665"/>
    <x v="760"/>
    <x v="0"/>
    <x v="760"/>
    <x v="0"/>
    <x v="1"/>
    <x v="0"/>
    <x v="760"/>
    <x v="1"/>
    <x v="0"/>
    <x v="2"/>
    <x v="4"/>
  </r>
  <r>
    <x v="837"/>
    <x v="1"/>
    <x v="2"/>
    <x v="1"/>
    <x v="1"/>
    <x v="2"/>
    <x v="0"/>
    <x v="0"/>
    <x v="0"/>
    <x v="0"/>
    <x v="0"/>
    <x v="0"/>
    <x v="0"/>
    <x v="7"/>
    <x v="838"/>
    <x v="6"/>
    <x v="29"/>
    <x v="0"/>
    <x v="838"/>
    <x v="838"/>
    <x v="104"/>
    <x v="0"/>
    <x v="212"/>
    <x v="465"/>
    <x v="238"/>
    <x v="0"/>
    <x v="0"/>
    <x v="550"/>
    <x v="664"/>
    <x v="755"/>
    <x v="631"/>
    <x v="716"/>
    <x v="761"/>
    <x v="212"/>
    <x v="761"/>
    <x v="0"/>
    <x v="1"/>
    <x v="0"/>
    <x v="761"/>
    <x v="0"/>
    <x v="481"/>
    <x v="2"/>
    <x v="4"/>
  </r>
  <r>
    <x v="838"/>
    <x v="1"/>
    <x v="2"/>
    <x v="1"/>
    <x v="1"/>
    <x v="2"/>
    <x v="0"/>
    <x v="0"/>
    <x v="0"/>
    <x v="0"/>
    <x v="0"/>
    <x v="0"/>
    <x v="0"/>
    <x v="1"/>
    <x v="839"/>
    <x v="1"/>
    <x v="47"/>
    <x v="1"/>
    <x v="839"/>
    <x v="839"/>
    <x v="104"/>
    <x v="145"/>
    <x v="192"/>
    <x v="1"/>
    <x v="71"/>
    <x v="265"/>
    <x v="144"/>
    <x v="569"/>
    <x v="707"/>
    <x v="750"/>
    <x v="481"/>
    <x v="708"/>
    <x v="762"/>
    <x v="192"/>
    <x v="762"/>
    <x v="0"/>
    <x v="1"/>
    <x v="0"/>
    <x v="762"/>
    <x v="0"/>
    <x v="482"/>
    <x v="2"/>
    <x v="4"/>
  </r>
  <r>
    <x v="839"/>
    <x v="0"/>
    <x v="2"/>
    <x v="0"/>
    <x v="1"/>
    <x v="2"/>
    <x v="0"/>
    <x v="0"/>
    <x v="0"/>
    <x v="0"/>
    <x v="0"/>
    <x v="0"/>
    <x v="0"/>
    <x v="17"/>
    <x v="840"/>
    <x v="9"/>
    <x v="22"/>
    <x v="0"/>
    <x v="840"/>
    <x v="840"/>
    <x v="0"/>
    <x v="0"/>
    <x v="0"/>
    <x v="345"/>
    <x v="595"/>
    <x v="270"/>
    <x v="315"/>
    <x v="519"/>
    <x v="708"/>
    <x v="756"/>
    <x v="569"/>
    <x v="719"/>
    <x v="762"/>
    <x v="0"/>
    <x v="762"/>
    <x v="0"/>
    <x v="1"/>
    <x v="0"/>
    <x v="762"/>
    <x v="0"/>
    <x v="0"/>
    <x v="2"/>
    <x v="4"/>
  </r>
  <r>
    <x v="840"/>
    <x v="2"/>
    <x v="2"/>
    <x v="0"/>
    <x v="1"/>
    <x v="2"/>
    <x v="1"/>
    <x v="0"/>
    <x v="0"/>
    <x v="0"/>
    <x v="0"/>
    <x v="0"/>
    <x v="0"/>
    <x v="12"/>
    <x v="841"/>
    <x v="2"/>
    <x v="2"/>
    <x v="0"/>
    <x v="841"/>
    <x v="841"/>
    <x v="0"/>
    <x v="0"/>
    <x v="0"/>
    <x v="466"/>
    <x v="540"/>
    <x v="0"/>
    <x v="0"/>
    <x v="570"/>
    <x v="678"/>
    <x v="756"/>
    <x v="640"/>
    <x v="686"/>
    <x v="762"/>
    <x v="0"/>
    <x v="762"/>
    <x v="0"/>
    <x v="1"/>
    <x v="0"/>
    <x v="762"/>
    <x v="0"/>
    <x v="0"/>
    <x v="2"/>
    <x v="4"/>
  </r>
  <r>
    <x v="841"/>
    <x v="1"/>
    <x v="2"/>
    <x v="1"/>
    <x v="1"/>
    <x v="151"/>
    <x v="0"/>
    <x v="0"/>
    <x v="0"/>
    <x v="0"/>
    <x v="0"/>
    <x v="0"/>
    <x v="0"/>
    <x v="6"/>
    <x v="842"/>
    <x v="5"/>
    <x v="58"/>
    <x v="0"/>
    <x v="842"/>
    <x v="842"/>
    <x v="0"/>
    <x v="0"/>
    <x v="0"/>
    <x v="460"/>
    <x v="243"/>
    <x v="0"/>
    <x v="0"/>
    <x v="564"/>
    <x v="709"/>
    <x v="757"/>
    <x v="636"/>
    <x v="720"/>
    <x v="763"/>
    <x v="0"/>
    <x v="763"/>
    <x v="0"/>
    <x v="1"/>
    <x v="0"/>
    <x v="763"/>
    <x v="0"/>
    <x v="0"/>
    <x v="2"/>
    <x v="4"/>
  </r>
  <r>
    <x v="842"/>
    <x v="0"/>
    <x v="0"/>
    <x v="0"/>
    <x v="1"/>
    <x v="152"/>
    <x v="0"/>
    <x v="0"/>
    <x v="0"/>
    <x v="0"/>
    <x v="0"/>
    <x v="0"/>
    <x v="0"/>
    <x v="22"/>
    <x v="843"/>
    <x v="7"/>
    <x v="16"/>
    <x v="0"/>
    <x v="843"/>
    <x v="843"/>
    <x v="0"/>
    <x v="0"/>
    <x v="0"/>
    <x v="460"/>
    <x v="243"/>
    <x v="0"/>
    <x v="0"/>
    <x v="564"/>
    <x v="709"/>
    <x v="757"/>
    <x v="636"/>
    <x v="720"/>
    <x v="763"/>
    <x v="0"/>
    <x v="763"/>
    <x v="0"/>
    <x v="1"/>
    <x v="0"/>
    <x v="763"/>
    <x v="0"/>
    <x v="0"/>
    <x v="2"/>
    <x v="4"/>
  </r>
  <r>
    <x v="843"/>
    <x v="1"/>
    <x v="2"/>
    <x v="1"/>
    <x v="1"/>
    <x v="153"/>
    <x v="0"/>
    <x v="0"/>
    <x v="0"/>
    <x v="0"/>
    <x v="0"/>
    <x v="0"/>
    <x v="0"/>
    <x v="18"/>
    <x v="844"/>
    <x v="5"/>
    <x v="58"/>
    <x v="0"/>
    <x v="844"/>
    <x v="844"/>
    <x v="114"/>
    <x v="152"/>
    <x v="157"/>
    <x v="1"/>
    <x v="554"/>
    <x v="0"/>
    <x v="331"/>
    <x v="1"/>
    <x v="682"/>
    <x v="758"/>
    <x v="472"/>
    <x v="650"/>
    <x v="764"/>
    <x v="157"/>
    <x v="764"/>
    <x v="0"/>
    <x v="1"/>
    <x v="0"/>
    <x v="764"/>
    <x v="1"/>
    <x v="483"/>
    <x v="2"/>
    <x v="4"/>
  </r>
  <r>
    <x v="844"/>
    <x v="0"/>
    <x v="1"/>
    <x v="0"/>
    <x v="70"/>
    <x v="154"/>
    <x v="0"/>
    <x v="1"/>
    <x v="0"/>
    <x v="0"/>
    <x v="0"/>
    <x v="0"/>
    <x v="0"/>
    <x v="17"/>
    <x v="845"/>
    <x v="2"/>
    <x v="6"/>
    <x v="0"/>
    <x v="845"/>
    <x v="845"/>
    <x v="0"/>
    <x v="138"/>
    <x v="98"/>
    <x v="1"/>
    <x v="169"/>
    <x v="0"/>
    <x v="391"/>
    <x v="1"/>
    <x v="651"/>
    <x v="755"/>
    <x v="1"/>
    <x v="721"/>
    <x v="765"/>
    <x v="98"/>
    <x v="765"/>
    <x v="0"/>
    <x v="1"/>
    <x v="0"/>
    <x v="765"/>
    <x v="1"/>
    <x v="484"/>
    <x v="2"/>
    <x v="4"/>
  </r>
  <r>
    <x v="845"/>
    <x v="1"/>
    <x v="2"/>
    <x v="1"/>
    <x v="1"/>
    <x v="155"/>
    <x v="0"/>
    <x v="0"/>
    <x v="0"/>
    <x v="0"/>
    <x v="0"/>
    <x v="0"/>
    <x v="0"/>
    <x v="6"/>
    <x v="846"/>
    <x v="5"/>
    <x v="75"/>
    <x v="0"/>
    <x v="846"/>
    <x v="846"/>
    <x v="0"/>
    <x v="0"/>
    <x v="0"/>
    <x v="467"/>
    <x v="182"/>
    <x v="0"/>
    <x v="0"/>
    <x v="546"/>
    <x v="710"/>
    <x v="759"/>
    <x v="645"/>
    <x v="722"/>
    <x v="765"/>
    <x v="0"/>
    <x v="765"/>
    <x v="0"/>
    <x v="1"/>
    <x v="0"/>
    <x v="765"/>
    <x v="0"/>
    <x v="0"/>
    <x v="2"/>
    <x v="4"/>
  </r>
  <r>
    <x v="846"/>
    <x v="0"/>
    <x v="2"/>
    <x v="0"/>
    <x v="1"/>
    <x v="2"/>
    <x v="0"/>
    <x v="0"/>
    <x v="0"/>
    <x v="0"/>
    <x v="0"/>
    <x v="0"/>
    <x v="0"/>
    <x v="37"/>
    <x v="847"/>
    <x v="7"/>
    <x v="27"/>
    <x v="0"/>
    <x v="847"/>
    <x v="847"/>
    <x v="0"/>
    <x v="152"/>
    <x v="150"/>
    <x v="1"/>
    <x v="329"/>
    <x v="0"/>
    <x v="372"/>
    <x v="1"/>
    <x v="667"/>
    <x v="760"/>
    <x v="1"/>
    <x v="657"/>
    <x v="766"/>
    <x v="150"/>
    <x v="766"/>
    <x v="0"/>
    <x v="1"/>
    <x v="0"/>
    <x v="766"/>
    <x v="1"/>
    <x v="485"/>
    <x v="2"/>
    <x v="4"/>
  </r>
  <r>
    <x v="847"/>
    <x v="0"/>
    <x v="0"/>
    <x v="0"/>
    <x v="1"/>
    <x v="156"/>
    <x v="0"/>
    <x v="0"/>
    <x v="0"/>
    <x v="0"/>
    <x v="0"/>
    <x v="0"/>
    <x v="0"/>
    <x v="33"/>
    <x v="848"/>
    <x v="9"/>
    <x v="20"/>
    <x v="0"/>
    <x v="848"/>
    <x v="848"/>
    <x v="0"/>
    <x v="0"/>
    <x v="0"/>
    <x v="1"/>
    <x v="481"/>
    <x v="0"/>
    <x v="0"/>
    <x v="1"/>
    <x v="642"/>
    <x v="761"/>
    <x v="1"/>
    <x v="650"/>
    <x v="767"/>
    <x v="0"/>
    <x v="767"/>
    <x v="0"/>
    <x v="1"/>
    <x v="0"/>
    <x v="767"/>
    <x v="1"/>
    <x v="0"/>
    <x v="2"/>
    <x v="4"/>
  </r>
  <r>
    <x v="848"/>
    <x v="0"/>
    <x v="0"/>
    <x v="0"/>
    <x v="1"/>
    <x v="17"/>
    <x v="0"/>
    <x v="0"/>
    <x v="0"/>
    <x v="0"/>
    <x v="0"/>
    <x v="0"/>
    <x v="0"/>
    <x v="9"/>
    <x v="849"/>
    <x v="0"/>
    <x v="40"/>
    <x v="1"/>
    <x v="849"/>
    <x v="849"/>
    <x v="0"/>
    <x v="0"/>
    <x v="0"/>
    <x v="309"/>
    <x v="595"/>
    <x v="0"/>
    <x v="0"/>
    <x v="571"/>
    <x v="711"/>
    <x v="761"/>
    <x v="646"/>
    <x v="723"/>
    <x v="767"/>
    <x v="0"/>
    <x v="767"/>
    <x v="0"/>
    <x v="1"/>
    <x v="0"/>
    <x v="767"/>
    <x v="0"/>
    <x v="0"/>
    <x v="2"/>
    <x v="4"/>
  </r>
  <r>
    <x v="849"/>
    <x v="0"/>
    <x v="2"/>
    <x v="0"/>
    <x v="1"/>
    <x v="2"/>
    <x v="0"/>
    <x v="0"/>
    <x v="0"/>
    <x v="0"/>
    <x v="0"/>
    <x v="0"/>
    <x v="0"/>
    <x v="18"/>
    <x v="850"/>
    <x v="2"/>
    <x v="2"/>
    <x v="0"/>
    <x v="850"/>
    <x v="850"/>
    <x v="114"/>
    <x v="63"/>
    <x v="135"/>
    <x v="1"/>
    <x v="604"/>
    <x v="0"/>
    <x v="179"/>
    <x v="1"/>
    <x v="712"/>
    <x v="762"/>
    <x v="472"/>
    <x v="680"/>
    <x v="768"/>
    <x v="135"/>
    <x v="768"/>
    <x v="0"/>
    <x v="1"/>
    <x v="0"/>
    <x v="768"/>
    <x v="1"/>
    <x v="486"/>
    <x v="2"/>
    <x v="4"/>
  </r>
  <r>
    <x v="850"/>
    <x v="0"/>
    <x v="2"/>
    <x v="0"/>
    <x v="1"/>
    <x v="2"/>
    <x v="0"/>
    <x v="0"/>
    <x v="0"/>
    <x v="0"/>
    <x v="0"/>
    <x v="0"/>
    <x v="0"/>
    <x v="11"/>
    <x v="851"/>
    <x v="8"/>
    <x v="14"/>
    <x v="0"/>
    <x v="851"/>
    <x v="851"/>
    <x v="155"/>
    <x v="143"/>
    <x v="135"/>
    <x v="1"/>
    <x v="605"/>
    <x v="0"/>
    <x v="340"/>
    <x v="1"/>
    <x v="713"/>
    <x v="763"/>
    <x v="448"/>
    <x v="680"/>
    <x v="769"/>
    <x v="135"/>
    <x v="769"/>
    <x v="0"/>
    <x v="1"/>
    <x v="0"/>
    <x v="769"/>
    <x v="1"/>
    <x v="487"/>
    <x v="2"/>
    <x v="4"/>
  </r>
  <r>
    <x v="851"/>
    <x v="1"/>
    <x v="2"/>
    <x v="1"/>
    <x v="1"/>
    <x v="2"/>
    <x v="0"/>
    <x v="0"/>
    <x v="0"/>
    <x v="0"/>
    <x v="0"/>
    <x v="0"/>
    <x v="0"/>
    <x v="14"/>
    <x v="852"/>
    <x v="6"/>
    <x v="8"/>
    <x v="0"/>
    <x v="852"/>
    <x v="852"/>
    <x v="77"/>
    <x v="107"/>
    <x v="265"/>
    <x v="1"/>
    <x v="71"/>
    <x v="0"/>
    <x v="392"/>
    <x v="1"/>
    <x v="714"/>
    <x v="764"/>
    <x v="647"/>
    <x v="695"/>
    <x v="770"/>
    <x v="265"/>
    <x v="770"/>
    <x v="0"/>
    <x v="1"/>
    <x v="0"/>
    <x v="770"/>
    <x v="0"/>
    <x v="488"/>
    <x v="2"/>
    <x v="4"/>
  </r>
  <r>
    <x v="852"/>
    <x v="0"/>
    <x v="2"/>
    <x v="3"/>
    <x v="71"/>
    <x v="2"/>
    <x v="0"/>
    <x v="0"/>
    <x v="0"/>
    <x v="0"/>
    <x v="0"/>
    <x v="0"/>
    <x v="0"/>
    <x v="32"/>
    <x v="853"/>
    <x v="7"/>
    <x v="16"/>
    <x v="0"/>
    <x v="853"/>
    <x v="853"/>
    <x v="173"/>
    <x v="230"/>
    <x v="77"/>
    <x v="1"/>
    <x v="71"/>
    <x v="271"/>
    <x v="248"/>
    <x v="572"/>
    <x v="715"/>
    <x v="765"/>
    <x v="648"/>
    <x v="686"/>
    <x v="770"/>
    <x v="77"/>
    <x v="770"/>
    <x v="0"/>
    <x v="1"/>
    <x v="0"/>
    <x v="770"/>
    <x v="0"/>
    <x v="489"/>
    <x v="2"/>
    <x v="4"/>
  </r>
  <r>
    <x v="853"/>
    <x v="0"/>
    <x v="0"/>
    <x v="0"/>
    <x v="1"/>
    <x v="157"/>
    <x v="0"/>
    <x v="0"/>
    <x v="0"/>
    <x v="0"/>
    <x v="0"/>
    <x v="0"/>
    <x v="0"/>
    <x v="21"/>
    <x v="854"/>
    <x v="11"/>
    <x v="55"/>
    <x v="0"/>
    <x v="854"/>
    <x v="854"/>
    <x v="0"/>
    <x v="0"/>
    <x v="0"/>
    <x v="1"/>
    <x v="71"/>
    <x v="272"/>
    <x v="383"/>
    <x v="573"/>
    <x v="716"/>
    <x v="766"/>
    <x v="649"/>
    <x v="724"/>
    <x v="771"/>
    <x v="0"/>
    <x v="771"/>
    <x v="0"/>
    <x v="1"/>
    <x v="0"/>
    <x v="771"/>
    <x v="0"/>
    <x v="0"/>
    <x v="2"/>
    <x v="4"/>
  </r>
  <r>
    <x v="854"/>
    <x v="1"/>
    <x v="2"/>
    <x v="1"/>
    <x v="1"/>
    <x v="9"/>
    <x v="0"/>
    <x v="0"/>
    <x v="0"/>
    <x v="0"/>
    <x v="0"/>
    <x v="0"/>
    <x v="0"/>
    <x v="6"/>
    <x v="855"/>
    <x v="5"/>
    <x v="58"/>
    <x v="0"/>
    <x v="855"/>
    <x v="855"/>
    <x v="0"/>
    <x v="0"/>
    <x v="0"/>
    <x v="435"/>
    <x v="606"/>
    <x v="0"/>
    <x v="0"/>
    <x v="574"/>
    <x v="717"/>
    <x v="762"/>
    <x v="650"/>
    <x v="725"/>
    <x v="772"/>
    <x v="0"/>
    <x v="772"/>
    <x v="0"/>
    <x v="1"/>
    <x v="0"/>
    <x v="772"/>
    <x v="0"/>
    <x v="0"/>
    <x v="2"/>
    <x v="4"/>
  </r>
  <r>
    <x v="855"/>
    <x v="0"/>
    <x v="0"/>
    <x v="0"/>
    <x v="1"/>
    <x v="158"/>
    <x v="0"/>
    <x v="0"/>
    <x v="0"/>
    <x v="0"/>
    <x v="0"/>
    <x v="0"/>
    <x v="0"/>
    <x v="37"/>
    <x v="856"/>
    <x v="7"/>
    <x v="27"/>
    <x v="0"/>
    <x v="856"/>
    <x v="856"/>
    <x v="170"/>
    <x v="145"/>
    <x v="116"/>
    <x v="1"/>
    <x v="71"/>
    <x v="273"/>
    <x v="393"/>
    <x v="575"/>
    <x v="699"/>
    <x v="767"/>
    <x v="647"/>
    <x v="723"/>
    <x v="773"/>
    <x v="116"/>
    <x v="773"/>
    <x v="0"/>
    <x v="1"/>
    <x v="0"/>
    <x v="773"/>
    <x v="0"/>
    <x v="490"/>
    <x v="2"/>
    <x v="4"/>
  </r>
  <r>
    <x v="856"/>
    <x v="1"/>
    <x v="2"/>
    <x v="1"/>
    <x v="1"/>
    <x v="151"/>
    <x v="0"/>
    <x v="0"/>
    <x v="0"/>
    <x v="0"/>
    <x v="0"/>
    <x v="0"/>
    <x v="0"/>
    <x v="14"/>
    <x v="857"/>
    <x v="6"/>
    <x v="29"/>
    <x v="0"/>
    <x v="857"/>
    <x v="857"/>
    <x v="0"/>
    <x v="0"/>
    <x v="0"/>
    <x v="1"/>
    <x v="457"/>
    <x v="0"/>
    <x v="0"/>
    <x v="1"/>
    <x v="718"/>
    <x v="768"/>
    <x v="1"/>
    <x v="726"/>
    <x v="773"/>
    <x v="0"/>
    <x v="773"/>
    <x v="0"/>
    <x v="1"/>
    <x v="0"/>
    <x v="773"/>
    <x v="1"/>
    <x v="0"/>
    <x v="2"/>
    <x v="4"/>
  </r>
  <r>
    <x v="857"/>
    <x v="2"/>
    <x v="2"/>
    <x v="0"/>
    <x v="1"/>
    <x v="150"/>
    <x v="1"/>
    <x v="0"/>
    <x v="0"/>
    <x v="0"/>
    <x v="0"/>
    <x v="0"/>
    <x v="0"/>
    <x v="55"/>
    <x v="858"/>
    <x v="12"/>
    <x v="32"/>
    <x v="0"/>
    <x v="858"/>
    <x v="858"/>
    <x v="0"/>
    <x v="0"/>
    <x v="0"/>
    <x v="1"/>
    <x v="607"/>
    <x v="0"/>
    <x v="0"/>
    <x v="1"/>
    <x v="662"/>
    <x v="769"/>
    <x v="1"/>
    <x v="671"/>
    <x v="774"/>
    <x v="0"/>
    <x v="774"/>
    <x v="0"/>
    <x v="1"/>
    <x v="0"/>
    <x v="774"/>
    <x v="1"/>
    <x v="0"/>
    <x v="2"/>
    <x v="4"/>
  </r>
  <r>
    <x v="858"/>
    <x v="1"/>
    <x v="2"/>
    <x v="1"/>
    <x v="1"/>
    <x v="2"/>
    <x v="0"/>
    <x v="0"/>
    <x v="0"/>
    <x v="0"/>
    <x v="0"/>
    <x v="0"/>
    <x v="0"/>
    <x v="7"/>
    <x v="859"/>
    <x v="6"/>
    <x v="26"/>
    <x v="0"/>
    <x v="859"/>
    <x v="859"/>
    <x v="179"/>
    <x v="100"/>
    <x v="155"/>
    <x v="1"/>
    <x v="483"/>
    <x v="0"/>
    <x v="0"/>
    <x v="1"/>
    <x v="626"/>
    <x v="770"/>
    <x v="573"/>
    <x v="727"/>
    <x v="775"/>
    <x v="155"/>
    <x v="775"/>
    <x v="0"/>
    <x v="1"/>
    <x v="0"/>
    <x v="775"/>
    <x v="1"/>
    <x v="491"/>
    <x v="2"/>
    <x v="4"/>
  </r>
  <r>
    <x v="859"/>
    <x v="1"/>
    <x v="2"/>
    <x v="1"/>
    <x v="1"/>
    <x v="2"/>
    <x v="0"/>
    <x v="0"/>
    <x v="0"/>
    <x v="0"/>
    <x v="0"/>
    <x v="0"/>
    <x v="0"/>
    <x v="18"/>
    <x v="860"/>
    <x v="1"/>
    <x v="10"/>
    <x v="0"/>
    <x v="860"/>
    <x v="860"/>
    <x v="0"/>
    <x v="0"/>
    <x v="0"/>
    <x v="1"/>
    <x v="71"/>
    <x v="262"/>
    <x v="347"/>
    <x v="576"/>
    <x v="717"/>
    <x v="746"/>
    <x v="499"/>
    <x v="725"/>
    <x v="775"/>
    <x v="0"/>
    <x v="775"/>
    <x v="0"/>
    <x v="1"/>
    <x v="0"/>
    <x v="775"/>
    <x v="0"/>
    <x v="0"/>
    <x v="2"/>
    <x v="4"/>
  </r>
  <r>
    <x v="860"/>
    <x v="2"/>
    <x v="0"/>
    <x v="3"/>
    <x v="1"/>
    <x v="57"/>
    <x v="1"/>
    <x v="0"/>
    <x v="0"/>
    <x v="0"/>
    <x v="0"/>
    <x v="0"/>
    <x v="0"/>
    <x v="24"/>
    <x v="861"/>
    <x v="12"/>
    <x v="59"/>
    <x v="0"/>
    <x v="861"/>
    <x v="861"/>
    <x v="0"/>
    <x v="0"/>
    <x v="0"/>
    <x v="1"/>
    <x v="479"/>
    <x v="0"/>
    <x v="0"/>
    <x v="1"/>
    <x v="663"/>
    <x v="771"/>
    <x v="1"/>
    <x v="672"/>
    <x v="776"/>
    <x v="0"/>
    <x v="776"/>
    <x v="0"/>
    <x v="1"/>
    <x v="0"/>
    <x v="776"/>
    <x v="1"/>
    <x v="0"/>
    <x v="2"/>
    <x v="4"/>
  </r>
  <r>
    <x v="861"/>
    <x v="1"/>
    <x v="2"/>
    <x v="1"/>
    <x v="1"/>
    <x v="2"/>
    <x v="0"/>
    <x v="0"/>
    <x v="0"/>
    <x v="0"/>
    <x v="0"/>
    <x v="0"/>
    <x v="0"/>
    <x v="8"/>
    <x v="862"/>
    <x v="15"/>
    <x v="45"/>
    <x v="0"/>
    <x v="862"/>
    <x v="862"/>
    <x v="0"/>
    <x v="0"/>
    <x v="0"/>
    <x v="1"/>
    <x v="71"/>
    <x v="273"/>
    <x v="370"/>
    <x v="575"/>
    <x v="719"/>
    <x v="771"/>
    <x v="456"/>
    <x v="728"/>
    <x v="776"/>
    <x v="0"/>
    <x v="776"/>
    <x v="0"/>
    <x v="1"/>
    <x v="0"/>
    <x v="776"/>
    <x v="0"/>
    <x v="0"/>
    <x v="2"/>
    <x v="4"/>
  </r>
  <r>
    <x v="862"/>
    <x v="1"/>
    <x v="2"/>
    <x v="1"/>
    <x v="1"/>
    <x v="155"/>
    <x v="0"/>
    <x v="0"/>
    <x v="0"/>
    <x v="0"/>
    <x v="0"/>
    <x v="0"/>
    <x v="0"/>
    <x v="6"/>
    <x v="863"/>
    <x v="5"/>
    <x v="12"/>
    <x v="0"/>
    <x v="863"/>
    <x v="863"/>
    <x v="0"/>
    <x v="0"/>
    <x v="0"/>
    <x v="445"/>
    <x v="570"/>
    <x v="0"/>
    <x v="0"/>
    <x v="543"/>
    <x v="707"/>
    <x v="772"/>
    <x v="619"/>
    <x v="711"/>
    <x v="777"/>
    <x v="0"/>
    <x v="777"/>
    <x v="0"/>
    <x v="1"/>
    <x v="0"/>
    <x v="777"/>
    <x v="0"/>
    <x v="0"/>
    <x v="2"/>
    <x v="4"/>
  </r>
  <r>
    <x v="863"/>
    <x v="1"/>
    <x v="2"/>
    <x v="1"/>
    <x v="1"/>
    <x v="159"/>
    <x v="0"/>
    <x v="0"/>
    <x v="0"/>
    <x v="0"/>
    <x v="0"/>
    <x v="0"/>
    <x v="0"/>
    <x v="4"/>
    <x v="864"/>
    <x v="10"/>
    <x v="39"/>
    <x v="0"/>
    <x v="864"/>
    <x v="864"/>
    <x v="0"/>
    <x v="63"/>
    <x v="154"/>
    <x v="1"/>
    <x v="608"/>
    <x v="0"/>
    <x v="206"/>
    <x v="1"/>
    <x v="720"/>
    <x v="773"/>
    <x v="1"/>
    <x v="729"/>
    <x v="778"/>
    <x v="154"/>
    <x v="778"/>
    <x v="0"/>
    <x v="1"/>
    <x v="0"/>
    <x v="778"/>
    <x v="1"/>
    <x v="492"/>
    <x v="2"/>
    <x v="4"/>
  </r>
  <r>
    <x v="864"/>
    <x v="0"/>
    <x v="1"/>
    <x v="0"/>
    <x v="72"/>
    <x v="160"/>
    <x v="0"/>
    <x v="0"/>
    <x v="0"/>
    <x v="0"/>
    <x v="0"/>
    <x v="0"/>
    <x v="0"/>
    <x v="52"/>
    <x v="865"/>
    <x v="8"/>
    <x v="78"/>
    <x v="0"/>
    <x v="865"/>
    <x v="865"/>
    <x v="154"/>
    <x v="42"/>
    <x v="280"/>
    <x v="1"/>
    <x v="71"/>
    <x v="0"/>
    <x v="0"/>
    <x v="1"/>
    <x v="362"/>
    <x v="774"/>
    <x v="325"/>
    <x v="730"/>
    <x v="779"/>
    <x v="280"/>
    <x v="779"/>
    <x v="0"/>
    <x v="1"/>
    <x v="0"/>
    <x v="779"/>
    <x v="0"/>
    <x v="129"/>
    <x v="2"/>
    <x v="4"/>
  </r>
  <r>
    <x v="865"/>
    <x v="1"/>
    <x v="2"/>
    <x v="1"/>
    <x v="1"/>
    <x v="161"/>
    <x v="0"/>
    <x v="0"/>
    <x v="0"/>
    <x v="0"/>
    <x v="0"/>
    <x v="0"/>
    <x v="0"/>
    <x v="7"/>
    <x v="866"/>
    <x v="10"/>
    <x v="21"/>
    <x v="0"/>
    <x v="866"/>
    <x v="866"/>
    <x v="0"/>
    <x v="152"/>
    <x v="150"/>
    <x v="1"/>
    <x v="609"/>
    <x v="233"/>
    <x v="365"/>
    <x v="577"/>
    <x v="678"/>
    <x v="770"/>
    <x v="450"/>
    <x v="731"/>
    <x v="779"/>
    <x v="150"/>
    <x v="779"/>
    <x v="0"/>
    <x v="1"/>
    <x v="0"/>
    <x v="779"/>
    <x v="0"/>
    <x v="493"/>
    <x v="2"/>
    <x v="4"/>
  </r>
  <r>
    <x v="866"/>
    <x v="0"/>
    <x v="2"/>
    <x v="0"/>
    <x v="1"/>
    <x v="2"/>
    <x v="0"/>
    <x v="0"/>
    <x v="0"/>
    <x v="0"/>
    <x v="0"/>
    <x v="0"/>
    <x v="0"/>
    <x v="28"/>
    <x v="867"/>
    <x v="7"/>
    <x v="27"/>
    <x v="0"/>
    <x v="867"/>
    <x v="867"/>
    <x v="170"/>
    <x v="143"/>
    <x v="105"/>
    <x v="1"/>
    <x v="610"/>
    <x v="0"/>
    <x v="394"/>
    <x v="1"/>
    <x v="697"/>
    <x v="739"/>
    <x v="565"/>
    <x v="722"/>
    <x v="780"/>
    <x v="105"/>
    <x v="780"/>
    <x v="0"/>
    <x v="1"/>
    <x v="0"/>
    <x v="780"/>
    <x v="0"/>
    <x v="494"/>
    <x v="2"/>
    <x v="4"/>
  </r>
  <r>
    <x v="867"/>
    <x v="1"/>
    <x v="0"/>
    <x v="1"/>
    <x v="1"/>
    <x v="162"/>
    <x v="2"/>
    <x v="0"/>
    <x v="0"/>
    <x v="0"/>
    <x v="0"/>
    <x v="0"/>
    <x v="0"/>
    <x v="6"/>
    <x v="868"/>
    <x v="5"/>
    <x v="7"/>
    <x v="0"/>
    <x v="868"/>
    <x v="868"/>
    <x v="104"/>
    <x v="143"/>
    <x v="116"/>
    <x v="1"/>
    <x v="611"/>
    <x v="0"/>
    <x v="284"/>
    <x v="1"/>
    <x v="692"/>
    <x v="775"/>
    <x v="557"/>
    <x v="732"/>
    <x v="780"/>
    <x v="116"/>
    <x v="780"/>
    <x v="0"/>
    <x v="1"/>
    <x v="0"/>
    <x v="780"/>
    <x v="1"/>
    <x v="495"/>
    <x v="2"/>
    <x v="4"/>
  </r>
  <r>
    <x v="868"/>
    <x v="1"/>
    <x v="2"/>
    <x v="1"/>
    <x v="1"/>
    <x v="2"/>
    <x v="0"/>
    <x v="0"/>
    <x v="0"/>
    <x v="0"/>
    <x v="0"/>
    <x v="0"/>
    <x v="0"/>
    <x v="18"/>
    <x v="869"/>
    <x v="5"/>
    <x v="58"/>
    <x v="0"/>
    <x v="869"/>
    <x v="869"/>
    <x v="0"/>
    <x v="0"/>
    <x v="0"/>
    <x v="1"/>
    <x v="594"/>
    <x v="0"/>
    <x v="248"/>
    <x v="1"/>
    <x v="720"/>
    <x v="773"/>
    <x v="1"/>
    <x v="709"/>
    <x v="780"/>
    <x v="0"/>
    <x v="780"/>
    <x v="0"/>
    <x v="1"/>
    <x v="0"/>
    <x v="780"/>
    <x v="1"/>
    <x v="0"/>
    <x v="2"/>
    <x v="4"/>
  </r>
  <r>
    <x v="869"/>
    <x v="1"/>
    <x v="2"/>
    <x v="1"/>
    <x v="1"/>
    <x v="2"/>
    <x v="0"/>
    <x v="0"/>
    <x v="0"/>
    <x v="0"/>
    <x v="0"/>
    <x v="0"/>
    <x v="0"/>
    <x v="42"/>
    <x v="870"/>
    <x v="15"/>
    <x v="45"/>
    <x v="0"/>
    <x v="870"/>
    <x v="870"/>
    <x v="0"/>
    <x v="0"/>
    <x v="0"/>
    <x v="1"/>
    <x v="71"/>
    <x v="274"/>
    <x v="395"/>
    <x v="578"/>
    <x v="721"/>
    <x v="776"/>
    <x v="360"/>
    <x v="733"/>
    <x v="781"/>
    <x v="0"/>
    <x v="781"/>
    <x v="0"/>
    <x v="1"/>
    <x v="0"/>
    <x v="781"/>
    <x v="0"/>
    <x v="0"/>
    <x v="2"/>
    <x v="4"/>
  </r>
  <r>
    <x v="870"/>
    <x v="0"/>
    <x v="2"/>
    <x v="0"/>
    <x v="1"/>
    <x v="2"/>
    <x v="0"/>
    <x v="0"/>
    <x v="0"/>
    <x v="0"/>
    <x v="0"/>
    <x v="0"/>
    <x v="0"/>
    <x v="51"/>
    <x v="871"/>
    <x v="0"/>
    <x v="0"/>
    <x v="0"/>
    <x v="871"/>
    <x v="871"/>
    <x v="0"/>
    <x v="0"/>
    <x v="0"/>
    <x v="1"/>
    <x v="169"/>
    <x v="0"/>
    <x v="0"/>
    <x v="1"/>
    <x v="673"/>
    <x v="776"/>
    <x v="1"/>
    <x v="734"/>
    <x v="781"/>
    <x v="0"/>
    <x v="781"/>
    <x v="0"/>
    <x v="1"/>
    <x v="0"/>
    <x v="781"/>
    <x v="1"/>
    <x v="0"/>
    <x v="2"/>
    <x v="4"/>
  </r>
  <r>
    <x v="871"/>
    <x v="0"/>
    <x v="2"/>
    <x v="0"/>
    <x v="1"/>
    <x v="2"/>
    <x v="0"/>
    <x v="0"/>
    <x v="0"/>
    <x v="0"/>
    <x v="0"/>
    <x v="0"/>
    <x v="0"/>
    <x v="2"/>
    <x v="872"/>
    <x v="2"/>
    <x v="46"/>
    <x v="0"/>
    <x v="872"/>
    <x v="872"/>
    <x v="0"/>
    <x v="0"/>
    <x v="0"/>
    <x v="467"/>
    <x v="612"/>
    <x v="0"/>
    <x v="0"/>
    <x v="546"/>
    <x v="722"/>
    <x v="776"/>
    <x v="645"/>
    <x v="735"/>
    <x v="781"/>
    <x v="0"/>
    <x v="781"/>
    <x v="0"/>
    <x v="1"/>
    <x v="0"/>
    <x v="781"/>
    <x v="0"/>
    <x v="0"/>
    <x v="2"/>
    <x v="4"/>
  </r>
  <r>
    <x v="872"/>
    <x v="1"/>
    <x v="2"/>
    <x v="1"/>
    <x v="1"/>
    <x v="163"/>
    <x v="0"/>
    <x v="0"/>
    <x v="0"/>
    <x v="0"/>
    <x v="0"/>
    <x v="0"/>
    <x v="0"/>
    <x v="17"/>
    <x v="873"/>
    <x v="9"/>
    <x v="22"/>
    <x v="0"/>
    <x v="873"/>
    <x v="873"/>
    <x v="97"/>
    <x v="0"/>
    <x v="98"/>
    <x v="1"/>
    <x v="404"/>
    <x v="0"/>
    <x v="271"/>
    <x v="1"/>
    <x v="609"/>
    <x v="777"/>
    <x v="628"/>
    <x v="615"/>
    <x v="782"/>
    <x v="98"/>
    <x v="782"/>
    <x v="0"/>
    <x v="1"/>
    <x v="0"/>
    <x v="782"/>
    <x v="1"/>
    <x v="496"/>
    <x v="2"/>
    <x v="4"/>
  </r>
  <r>
    <x v="873"/>
    <x v="2"/>
    <x v="0"/>
    <x v="0"/>
    <x v="1"/>
    <x v="164"/>
    <x v="1"/>
    <x v="0"/>
    <x v="0"/>
    <x v="0"/>
    <x v="0"/>
    <x v="0"/>
    <x v="0"/>
    <x v="49"/>
    <x v="874"/>
    <x v="12"/>
    <x v="72"/>
    <x v="0"/>
    <x v="874"/>
    <x v="874"/>
    <x v="0"/>
    <x v="0"/>
    <x v="0"/>
    <x v="1"/>
    <x v="128"/>
    <x v="0"/>
    <x v="0"/>
    <x v="1"/>
    <x v="609"/>
    <x v="777"/>
    <x v="1"/>
    <x v="615"/>
    <x v="783"/>
    <x v="0"/>
    <x v="783"/>
    <x v="0"/>
    <x v="1"/>
    <x v="0"/>
    <x v="783"/>
    <x v="1"/>
    <x v="0"/>
    <x v="2"/>
    <x v="4"/>
  </r>
  <r>
    <x v="874"/>
    <x v="0"/>
    <x v="2"/>
    <x v="0"/>
    <x v="1"/>
    <x v="2"/>
    <x v="0"/>
    <x v="0"/>
    <x v="0"/>
    <x v="0"/>
    <x v="0"/>
    <x v="0"/>
    <x v="0"/>
    <x v="37"/>
    <x v="875"/>
    <x v="7"/>
    <x v="27"/>
    <x v="0"/>
    <x v="875"/>
    <x v="875"/>
    <x v="97"/>
    <x v="133"/>
    <x v="116"/>
    <x v="1"/>
    <x v="603"/>
    <x v="0"/>
    <x v="180"/>
    <x v="1"/>
    <x v="696"/>
    <x v="778"/>
    <x v="628"/>
    <x v="706"/>
    <x v="784"/>
    <x v="116"/>
    <x v="784"/>
    <x v="0"/>
    <x v="1"/>
    <x v="0"/>
    <x v="784"/>
    <x v="1"/>
    <x v="497"/>
    <x v="2"/>
    <x v="4"/>
  </r>
  <r>
    <x v="875"/>
    <x v="0"/>
    <x v="0"/>
    <x v="0"/>
    <x v="1"/>
    <x v="165"/>
    <x v="0"/>
    <x v="0"/>
    <x v="0"/>
    <x v="0"/>
    <x v="0"/>
    <x v="0"/>
    <x v="0"/>
    <x v="22"/>
    <x v="876"/>
    <x v="9"/>
    <x v="22"/>
    <x v="0"/>
    <x v="876"/>
    <x v="876"/>
    <x v="0"/>
    <x v="0"/>
    <x v="0"/>
    <x v="1"/>
    <x v="424"/>
    <x v="0"/>
    <x v="0"/>
    <x v="1"/>
    <x v="698"/>
    <x v="779"/>
    <x v="1"/>
    <x v="732"/>
    <x v="784"/>
    <x v="0"/>
    <x v="784"/>
    <x v="0"/>
    <x v="1"/>
    <x v="0"/>
    <x v="784"/>
    <x v="1"/>
    <x v="0"/>
    <x v="2"/>
    <x v="4"/>
  </r>
  <r>
    <x v="876"/>
    <x v="1"/>
    <x v="2"/>
    <x v="1"/>
    <x v="1"/>
    <x v="2"/>
    <x v="0"/>
    <x v="0"/>
    <x v="0"/>
    <x v="0"/>
    <x v="0"/>
    <x v="0"/>
    <x v="0"/>
    <x v="4"/>
    <x v="877"/>
    <x v="10"/>
    <x v="39"/>
    <x v="0"/>
    <x v="877"/>
    <x v="877"/>
    <x v="126"/>
    <x v="177"/>
    <x v="281"/>
    <x v="1"/>
    <x v="613"/>
    <x v="0"/>
    <x v="366"/>
    <x v="1"/>
    <x v="699"/>
    <x v="747"/>
    <x v="209"/>
    <x v="687"/>
    <x v="785"/>
    <x v="281"/>
    <x v="785"/>
    <x v="0"/>
    <x v="1"/>
    <x v="0"/>
    <x v="785"/>
    <x v="0"/>
    <x v="498"/>
    <x v="2"/>
    <x v="4"/>
  </r>
  <r>
    <x v="877"/>
    <x v="1"/>
    <x v="2"/>
    <x v="1"/>
    <x v="1"/>
    <x v="2"/>
    <x v="0"/>
    <x v="0"/>
    <x v="0"/>
    <x v="0"/>
    <x v="0"/>
    <x v="0"/>
    <x v="0"/>
    <x v="6"/>
    <x v="878"/>
    <x v="5"/>
    <x v="7"/>
    <x v="0"/>
    <x v="878"/>
    <x v="878"/>
    <x v="0"/>
    <x v="0"/>
    <x v="0"/>
    <x v="340"/>
    <x v="243"/>
    <x v="0"/>
    <x v="0"/>
    <x v="579"/>
    <x v="709"/>
    <x v="780"/>
    <x v="491"/>
    <x v="720"/>
    <x v="786"/>
    <x v="0"/>
    <x v="786"/>
    <x v="0"/>
    <x v="1"/>
    <x v="0"/>
    <x v="786"/>
    <x v="0"/>
    <x v="0"/>
    <x v="2"/>
    <x v="4"/>
  </r>
  <r>
    <x v="878"/>
    <x v="0"/>
    <x v="1"/>
    <x v="2"/>
    <x v="73"/>
    <x v="166"/>
    <x v="0"/>
    <x v="0"/>
    <x v="0"/>
    <x v="0"/>
    <x v="0"/>
    <x v="0"/>
    <x v="0"/>
    <x v="4"/>
    <x v="879"/>
    <x v="2"/>
    <x v="2"/>
    <x v="0"/>
    <x v="879"/>
    <x v="879"/>
    <x v="77"/>
    <x v="225"/>
    <x v="268"/>
    <x v="1"/>
    <x v="598"/>
    <x v="0"/>
    <x v="359"/>
    <x v="1"/>
    <x v="723"/>
    <x v="781"/>
    <x v="647"/>
    <x v="725"/>
    <x v="787"/>
    <x v="268"/>
    <x v="787"/>
    <x v="0"/>
    <x v="1"/>
    <x v="0"/>
    <x v="787"/>
    <x v="0"/>
    <x v="499"/>
    <x v="2"/>
    <x v="4"/>
  </r>
  <r>
    <x v="879"/>
    <x v="1"/>
    <x v="2"/>
    <x v="1"/>
    <x v="1"/>
    <x v="2"/>
    <x v="0"/>
    <x v="0"/>
    <x v="0"/>
    <x v="0"/>
    <x v="0"/>
    <x v="0"/>
    <x v="0"/>
    <x v="1"/>
    <x v="880"/>
    <x v="1"/>
    <x v="25"/>
    <x v="0"/>
    <x v="880"/>
    <x v="880"/>
    <x v="0"/>
    <x v="0"/>
    <x v="0"/>
    <x v="1"/>
    <x v="604"/>
    <x v="0"/>
    <x v="0"/>
    <x v="1"/>
    <x v="721"/>
    <x v="782"/>
    <x v="1"/>
    <x v="733"/>
    <x v="787"/>
    <x v="0"/>
    <x v="787"/>
    <x v="0"/>
    <x v="1"/>
    <x v="0"/>
    <x v="787"/>
    <x v="1"/>
    <x v="0"/>
    <x v="2"/>
    <x v="4"/>
  </r>
  <r>
    <x v="880"/>
    <x v="0"/>
    <x v="0"/>
    <x v="0"/>
    <x v="1"/>
    <x v="167"/>
    <x v="0"/>
    <x v="0"/>
    <x v="0"/>
    <x v="0"/>
    <x v="0"/>
    <x v="0"/>
    <x v="0"/>
    <x v="22"/>
    <x v="881"/>
    <x v="9"/>
    <x v="20"/>
    <x v="0"/>
    <x v="881"/>
    <x v="881"/>
    <x v="0"/>
    <x v="0"/>
    <x v="0"/>
    <x v="444"/>
    <x v="614"/>
    <x v="0"/>
    <x v="0"/>
    <x v="580"/>
    <x v="724"/>
    <x v="782"/>
    <x v="615"/>
    <x v="736"/>
    <x v="787"/>
    <x v="0"/>
    <x v="787"/>
    <x v="0"/>
    <x v="1"/>
    <x v="0"/>
    <x v="787"/>
    <x v="0"/>
    <x v="0"/>
    <x v="2"/>
    <x v="4"/>
  </r>
  <r>
    <x v="881"/>
    <x v="2"/>
    <x v="2"/>
    <x v="0"/>
    <x v="1"/>
    <x v="148"/>
    <x v="1"/>
    <x v="0"/>
    <x v="0"/>
    <x v="0"/>
    <x v="0"/>
    <x v="0"/>
    <x v="0"/>
    <x v="18"/>
    <x v="882"/>
    <x v="2"/>
    <x v="2"/>
    <x v="0"/>
    <x v="882"/>
    <x v="882"/>
    <x v="0"/>
    <x v="0"/>
    <x v="0"/>
    <x v="1"/>
    <x v="609"/>
    <x v="0"/>
    <x v="386"/>
    <x v="1"/>
    <x v="725"/>
    <x v="783"/>
    <x v="1"/>
    <x v="707"/>
    <x v="788"/>
    <x v="0"/>
    <x v="788"/>
    <x v="0"/>
    <x v="1"/>
    <x v="0"/>
    <x v="788"/>
    <x v="1"/>
    <x v="0"/>
    <x v="2"/>
    <x v="4"/>
  </r>
  <r>
    <x v="882"/>
    <x v="1"/>
    <x v="2"/>
    <x v="1"/>
    <x v="1"/>
    <x v="168"/>
    <x v="0"/>
    <x v="0"/>
    <x v="0"/>
    <x v="0"/>
    <x v="0"/>
    <x v="0"/>
    <x v="0"/>
    <x v="17"/>
    <x v="883"/>
    <x v="5"/>
    <x v="81"/>
    <x v="0"/>
    <x v="883"/>
    <x v="883"/>
    <x v="0"/>
    <x v="0"/>
    <x v="0"/>
    <x v="1"/>
    <x v="615"/>
    <x v="0"/>
    <x v="0"/>
    <x v="1"/>
    <x v="725"/>
    <x v="783"/>
    <x v="1"/>
    <x v="707"/>
    <x v="788"/>
    <x v="0"/>
    <x v="788"/>
    <x v="0"/>
    <x v="1"/>
    <x v="0"/>
    <x v="788"/>
    <x v="1"/>
    <x v="0"/>
    <x v="2"/>
    <x v="4"/>
  </r>
  <r>
    <x v="883"/>
    <x v="0"/>
    <x v="0"/>
    <x v="0"/>
    <x v="1"/>
    <x v="169"/>
    <x v="0"/>
    <x v="0"/>
    <x v="0"/>
    <x v="0"/>
    <x v="0"/>
    <x v="0"/>
    <x v="0"/>
    <x v="37"/>
    <x v="884"/>
    <x v="2"/>
    <x v="6"/>
    <x v="1"/>
    <x v="884"/>
    <x v="884"/>
    <x v="0"/>
    <x v="0"/>
    <x v="0"/>
    <x v="239"/>
    <x v="524"/>
    <x v="0"/>
    <x v="0"/>
    <x v="581"/>
    <x v="726"/>
    <x v="783"/>
    <x v="651"/>
    <x v="737"/>
    <x v="788"/>
    <x v="0"/>
    <x v="788"/>
    <x v="0"/>
    <x v="1"/>
    <x v="0"/>
    <x v="788"/>
    <x v="0"/>
    <x v="0"/>
    <x v="2"/>
    <x v="4"/>
  </r>
  <r>
    <x v="884"/>
    <x v="0"/>
    <x v="0"/>
    <x v="0"/>
    <x v="74"/>
    <x v="170"/>
    <x v="0"/>
    <x v="0"/>
    <x v="0"/>
    <x v="0"/>
    <x v="0"/>
    <x v="0"/>
    <x v="0"/>
    <x v="17"/>
    <x v="885"/>
    <x v="9"/>
    <x v="82"/>
    <x v="0"/>
    <x v="885"/>
    <x v="885"/>
    <x v="104"/>
    <x v="63"/>
    <x v="163"/>
    <x v="1"/>
    <x v="71"/>
    <x v="0"/>
    <x v="393"/>
    <x v="1"/>
    <x v="699"/>
    <x v="747"/>
    <x v="557"/>
    <x v="719"/>
    <x v="789"/>
    <x v="163"/>
    <x v="789"/>
    <x v="0"/>
    <x v="1"/>
    <x v="0"/>
    <x v="789"/>
    <x v="0"/>
    <x v="500"/>
    <x v="2"/>
    <x v="4"/>
  </r>
  <r>
    <x v="885"/>
    <x v="0"/>
    <x v="2"/>
    <x v="0"/>
    <x v="1"/>
    <x v="2"/>
    <x v="0"/>
    <x v="0"/>
    <x v="0"/>
    <x v="0"/>
    <x v="0"/>
    <x v="0"/>
    <x v="0"/>
    <x v="18"/>
    <x v="886"/>
    <x v="2"/>
    <x v="6"/>
    <x v="0"/>
    <x v="886"/>
    <x v="886"/>
    <x v="97"/>
    <x v="0"/>
    <x v="98"/>
    <x v="1"/>
    <x v="243"/>
    <x v="0"/>
    <x v="271"/>
    <x v="1"/>
    <x v="680"/>
    <x v="784"/>
    <x v="628"/>
    <x v="687"/>
    <x v="789"/>
    <x v="98"/>
    <x v="789"/>
    <x v="0"/>
    <x v="1"/>
    <x v="0"/>
    <x v="789"/>
    <x v="1"/>
    <x v="501"/>
    <x v="2"/>
    <x v="4"/>
  </r>
  <r>
    <x v="886"/>
    <x v="0"/>
    <x v="2"/>
    <x v="0"/>
    <x v="1"/>
    <x v="2"/>
    <x v="0"/>
    <x v="0"/>
    <x v="0"/>
    <x v="0"/>
    <x v="0"/>
    <x v="0"/>
    <x v="0"/>
    <x v="37"/>
    <x v="887"/>
    <x v="7"/>
    <x v="27"/>
    <x v="0"/>
    <x v="887"/>
    <x v="887"/>
    <x v="0"/>
    <x v="0"/>
    <x v="0"/>
    <x v="1"/>
    <x v="452"/>
    <x v="0"/>
    <x v="0"/>
    <x v="1"/>
    <x v="693"/>
    <x v="785"/>
    <x v="1"/>
    <x v="703"/>
    <x v="790"/>
    <x v="0"/>
    <x v="790"/>
    <x v="0"/>
    <x v="1"/>
    <x v="0"/>
    <x v="790"/>
    <x v="1"/>
    <x v="0"/>
    <x v="2"/>
    <x v="4"/>
  </r>
  <r>
    <x v="887"/>
    <x v="1"/>
    <x v="2"/>
    <x v="1"/>
    <x v="1"/>
    <x v="2"/>
    <x v="0"/>
    <x v="0"/>
    <x v="0"/>
    <x v="0"/>
    <x v="0"/>
    <x v="0"/>
    <x v="0"/>
    <x v="46"/>
    <x v="888"/>
    <x v="5"/>
    <x v="65"/>
    <x v="0"/>
    <x v="888"/>
    <x v="888"/>
    <x v="0"/>
    <x v="0"/>
    <x v="0"/>
    <x v="453"/>
    <x v="241"/>
    <x v="0"/>
    <x v="0"/>
    <x v="553"/>
    <x v="687"/>
    <x v="785"/>
    <x v="512"/>
    <x v="697"/>
    <x v="790"/>
    <x v="0"/>
    <x v="790"/>
    <x v="0"/>
    <x v="1"/>
    <x v="0"/>
    <x v="790"/>
    <x v="0"/>
    <x v="0"/>
    <x v="2"/>
    <x v="4"/>
  </r>
  <r>
    <x v="888"/>
    <x v="0"/>
    <x v="4"/>
    <x v="0"/>
    <x v="1"/>
    <x v="171"/>
    <x v="0"/>
    <x v="0"/>
    <x v="0"/>
    <x v="0"/>
    <x v="0"/>
    <x v="0"/>
    <x v="0"/>
    <x v="17"/>
    <x v="889"/>
    <x v="7"/>
    <x v="38"/>
    <x v="0"/>
    <x v="889"/>
    <x v="889"/>
    <x v="0"/>
    <x v="0"/>
    <x v="0"/>
    <x v="1"/>
    <x v="559"/>
    <x v="275"/>
    <x v="372"/>
    <x v="582"/>
    <x v="709"/>
    <x v="765"/>
    <x v="652"/>
    <x v="720"/>
    <x v="791"/>
    <x v="0"/>
    <x v="791"/>
    <x v="0"/>
    <x v="1"/>
    <x v="0"/>
    <x v="791"/>
    <x v="0"/>
    <x v="0"/>
    <x v="2"/>
    <x v="4"/>
  </r>
  <r>
    <x v="889"/>
    <x v="0"/>
    <x v="2"/>
    <x v="0"/>
    <x v="1"/>
    <x v="172"/>
    <x v="1"/>
    <x v="0"/>
    <x v="0"/>
    <x v="0"/>
    <x v="0"/>
    <x v="0"/>
    <x v="1"/>
    <x v="21"/>
    <x v="890"/>
    <x v="11"/>
    <x v="33"/>
    <x v="0"/>
    <x v="890"/>
    <x v="890"/>
    <x v="0"/>
    <x v="0"/>
    <x v="0"/>
    <x v="1"/>
    <x v="565"/>
    <x v="0"/>
    <x v="0"/>
    <x v="1"/>
    <x v="719"/>
    <x v="765"/>
    <x v="1"/>
    <x v="728"/>
    <x v="791"/>
    <x v="0"/>
    <x v="791"/>
    <x v="0"/>
    <x v="1"/>
    <x v="0"/>
    <x v="791"/>
    <x v="1"/>
    <x v="0"/>
    <x v="2"/>
    <x v="4"/>
  </r>
  <r>
    <x v="890"/>
    <x v="1"/>
    <x v="2"/>
    <x v="1"/>
    <x v="1"/>
    <x v="2"/>
    <x v="0"/>
    <x v="0"/>
    <x v="0"/>
    <x v="0"/>
    <x v="0"/>
    <x v="0"/>
    <x v="0"/>
    <x v="20"/>
    <x v="891"/>
    <x v="15"/>
    <x v="45"/>
    <x v="0"/>
    <x v="891"/>
    <x v="891"/>
    <x v="0"/>
    <x v="0"/>
    <x v="0"/>
    <x v="1"/>
    <x v="71"/>
    <x v="276"/>
    <x v="396"/>
    <x v="583"/>
    <x v="700"/>
    <x v="786"/>
    <x v="209"/>
    <x v="738"/>
    <x v="792"/>
    <x v="0"/>
    <x v="792"/>
    <x v="0"/>
    <x v="1"/>
    <x v="0"/>
    <x v="792"/>
    <x v="0"/>
    <x v="0"/>
    <x v="2"/>
    <x v="4"/>
  </r>
  <r>
    <x v="891"/>
    <x v="1"/>
    <x v="2"/>
    <x v="1"/>
    <x v="1"/>
    <x v="2"/>
    <x v="0"/>
    <x v="0"/>
    <x v="0"/>
    <x v="0"/>
    <x v="0"/>
    <x v="0"/>
    <x v="0"/>
    <x v="0"/>
    <x v="892"/>
    <x v="15"/>
    <x v="45"/>
    <x v="0"/>
    <x v="892"/>
    <x v="892"/>
    <x v="0"/>
    <x v="0"/>
    <x v="0"/>
    <x v="1"/>
    <x v="71"/>
    <x v="277"/>
    <x v="397"/>
    <x v="584"/>
    <x v="727"/>
    <x v="786"/>
    <x v="653"/>
    <x v="739"/>
    <x v="792"/>
    <x v="0"/>
    <x v="792"/>
    <x v="0"/>
    <x v="1"/>
    <x v="0"/>
    <x v="792"/>
    <x v="0"/>
    <x v="0"/>
    <x v="2"/>
    <x v="4"/>
  </r>
  <r>
    <x v="892"/>
    <x v="2"/>
    <x v="2"/>
    <x v="0"/>
    <x v="1"/>
    <x v="148"/>
    <x v="1"/>
    <x v="0"/>
    <x v="0"/>
    <x v="0"/>
    <x v="0"/>
    <x v="0"/>
    <x v="0"/>
    <x v="18"/>
    <x v="893"/>
    <x v="2"/>
    <x v="2"/>
    <x v="0"/>
    <x v="893"/>
    <x v="893"/>
    <x v="0"/>
    <x v="0"/>
    <x v="0"/>
    <x v="1"/>
    <x v="595"/>
    <x v="0"/>
    <x v="0"/>
    <x v="1"/>
    <x v="711"/>
    <x v="787"/>
    <x v="1"/>
    <x v="723"/>
    <x v="793"/>
    <x v="0"/>
    <x v="793"/>
    <x v="0"/>
    <x v="1"/>
    <x v="0"/>
    <x v="793"/>
    <x v="1"/>
    <x v="0"/>
    <x v="2"/>
    <x v="4"/>
  </r>
  <r>
    <x v="893"/>
    <x v="2"/>
    <x v="2"/>
    <x v="1"/>
    <x v="1"/>
    <x v="148"/>
    <x v="1"/>
    <x v="0"/>
    <x v="0"/>
    <x v="0"/>
    <x v="0"/>
    <x v="0"/>
    <x v="0"/>
    <x v="50"/>
    <x v="894"/>
    <x v="2"/>
    <x v="2"/>
    <x v="0"/>
    <x v="894"/>
    <x v="894"/>
    <x v="0"/>
    <x v="0"/>
    <x v="0"/>
    <x v="1"/>
    <x v="403"/>
    <x v="0"/>
    <x v="0"/>
    <x v="1"/>
    <x v="668"/>
    <x v="788"/>
    <x v="1"/>
    <x v="677"/>
    <x v="794"/>
    <x v="0"/>
    <x v="794"/>
    <x v="0"/>
    <x v="1"/>
    <x v="0"/>
    <x v="794"/>
    <x v="1"/>
    <x v="0"/>
    <x v="2"/>
    <x v="4"/>
  </r>
  <r>
    <x v="894"/>
    <x v="0"/>
    <x v="0"/>
    <x v="0"/>
    <x v="1"/>
    <x v="173"/>
    <x v="0"/>
    <x v="0"/>
    <x v="0"/>
    <x v="0"/>
    <x v="0"/>
    <x v="0"/>
    <x v="0"/>
    <x v="17"/>
    <x v="895"/>
    <x v="9"/>
    <x v="22"/>
    <x v="0"/>
    <x v="895"/>
    <x v="895"/>
    <x v="0"/>
    <x v="138"/>
    <x v="98"/>
    <x v="1"/>
    <x v="447"/>
    <x v="0"/>
    <x v="396"/>
    <x v="1"/>
    <x v="699"/>
    <x v="747"/>
    <x v="1"/>
    <x v="740"/>
    <x v="795"/>
    <x v="98"/>
    <x v="795"/>
    <x v="0"/>
    <x v="1"/>
    <x v="0"/>
    <x v="795"/>
    <x v="1"/>
    <x v="502"/>
    <x v="2"/>
    <x v="4"/>
  </r>
  <r>
    <x v="895"/>
    <x v="1"/>
    <x v="2"/>
    <x v="1"/>
    <x v="1"/>
    <x v="174"/>
    <x v="0"/>
    <x v="0"/>
    <x v="0"/>
    <x v="0"/>
    <x v="0"/>
    <x v="0"/>
    <x v="0"/>
    <x v="6"/>
    <x v="896"/>
    <x v="5"/>
    <x v="58"/>
    <x v="0"/>
    <x v="896"/>
    <x v="896"/>
    <x v="0"/>
    <x v="0"/>
    <x v="0"/>
    <x v="340"/>
    <x v="355"/>
    <x v="0"/>
    <x v="0"/>
    <x v="579"/>
    <x v="728"/>
    <x v="789"/>
    <x v="491"/>
    <x v="741"/>
    <x v="795"/>
    <x v="0"/>
    <x v="795"/>
    <x v="0"/>
    <x v="1"/>
    <x v="0"/>
    <x v="795"/>
    <x v="0"/>
    <x v="0"/>
    <x v="2"/>
    <x v="4"/>
  </r>
  <r>
    <x v="896"/>
    <x v="0"/>
    <x v="2"/>
    <x v="0"/>
    <x v="1"/>
    <x v="2"/>
    <x v="1"/>
    <x v="0"/>
    <x v="0"/>
    <x v="0"/>
    <x v="0"/>
    <x v="0"/>
    <x v="0"/>
    <x v="18"/>
    <x v="897"/>
    <x v="2"/>
    <x v="2"/>
    <x v="0"/>
    <x v="897"/>
    <x v="897"/>
    <x v="131"/>
    <x v="4"/>
    <x v="141"/>
    <x v="1"/>
    <x v="598"/>
    <x v="0"/>
    <x v="179"/>
    <x v="1"/>
    <x v="729"/>
    <x v="790"/>
    <x v="635"/>
    <x v="735"/>
    <x v="796"/>
    <x v="141"/>
    <x v="796"/>
    <x v="0"/>
    <x v="1"/>
    <x v="0"/>
    <x v="796"/>
    <x v="0"/>
    <x v="503"/>
    <x v="2"/>
    <x v="4"/>
  </r>
  <r>
    <x v="897"/>
    <x v="1"/>
    <x v="2"/>
    <x v="1"/>
    <x v="1"/>
    <x v="2"/>
    <x v="0"/>
    <x v="0"/>
    <x v="0"/>
    <x v="0"/>
    <x v="0"/>
    <x v="0"/>
    <x v="0"/>
    <x v="22"/>
    <x v="898"/>
    <x v="9"/>
    <x v="22"/>
    <x v="0"/>
    <x v="898"/>
    <x v="898"/>
    <x v="0"/>
    <x v="0"/>
    <x v="0"/>
    <x v="468"/>
    <x v="48"/>
    <x v="0"/>
    <x v="0"/>
    <x v="585"/>
    <x v="730"/>
    <x v="661"/>
    <x v="647"/>
    <x v="742"/>
    <x v="797"/>
    <x v="0"/>
    <x v="797"/>
    <x v="0"/>
    <x v="1"/>
    <x v="0"/>
    <x v="797"/>
    <x v="0"/>
    <x v="0"/>
    <x v="2"/>
    <x v="4"/>
  </r>
  <r>
    <x v="898"/>
    <x v="0"/>
    <x v="2"/>
    <x v="0"/>
    <x v="1"/>
    <x v="2"/>
    <x v="0"/>
    <x v="0"/>
    <x v="0"/>
    <x v="0"/>
    <x v="0"/>
    <x v="0"/>
    <x v="0"/>
    <x v="17"/>
    <x v="899"/>
    <x v="9"/>
    <x v="22"/>
    <x v="0"/>
    <x v="899"/>
    <x v="899"/>
    <x v="97"/>
    <x v="138"/>
    <x v="150"/>
    <x v="1"/>
    <x v="453"/>
    <x v="0"/>
    <x v="398"/>
    <x v="1"/>
    <x v="702"/>
    <x v="752"/>
    <x v="628"/>
    <x v="711"/>
    <x v="798"/>
    <x v="150"/>
    <x v="798"/>
    <x v="0"/>
    <x v="1"/>
    <x v="0"/>
    <x v="798"/>
    <x v="1"/>
    <x v="504"/>
    <x v="2"/>
    <x v="4"/>
  </r>
  <r>
    <x v="899"/>
    <x v="0"/>
    <x v="2"/>
    <x v="0"/>
    <x v="1"/>
    <x v="2"/>
    <x v="0"/>
    <x v="0"/>
    <x v="0"/>
    <x v="0"/>
    <x v="0"/>
    <x v="0"/>
    <x v="0"/>
    <x v="33"/>
    <x v="900"/>
    <x v="9"/>
    <x v="20"/>
    <x v="0"/>
    <x v="900"/>
    <x v="900"/>
    <x v="0"/>
    <x v="0"/>
    <x v="0"/>
    <x v="1"/>
    <x v="599"/>
    <x v="0"/>
    <x v="0"/>
    <x v="1"/>
    <x v="703"/>
    <x v="791"/>
    <x v="1"/>
    <x v="713"/>
    <x v="798"/>
    <x v="0"/>
    <x v="798"/>
    <x v="0"/>
    <x v="1"/>
    <x v="0"/>
    <x v="798"/>
    <x v="1"/>
    <x v="0"/>
    <x v="2"/>
    <x v="4"/>
  </r>
  <r>
    <x v="900"/>
    <x v="0"/>
    <x v="2"/>
    <x v="0"/>
    <x v="1"/>
    <x v="175"/>
    <x v="2"/>
    <x v="0"/>
    <x v="0"/>
    <x v="0"/>
    <x v="0"/>
    <x v="0"/>
    <x v="0"/>
    <x v="48"/>
    <x v="901"/>
    <x v="7"/>
    <x v="80"/>
    <x v="0"/>
    <x v="901"/>
    <x v="901"/>
    <x v="228"/>
    <x v="145"/>
    <x v="49"/>
    <x v="1"/>
    <x v="616"/>
    <x v="0"/>
    <x v="394"/>
    <x v="1"/>
    <x v="730"/>
    <x v="792"/>
    <x v="512"/>
    <x v="743"/>
    <x v="799"/>
    <x v="49"/>
    <x v="799"/>
    <x v="0"/>
    <x v="1"/>
    <x v="0"/>
    <x v="799"/>
    <x v="0"/>
    <x v="505"/>
    <x v="2"/>
    <x v="4"/>
  </r>
  <r>
    <x v="901"/>
    <x v="1"/>
    <x v="2"/>
    <x v="1"/>
    <x v="1"/>
    <x v="176"/>
    <x v="0"/>
    <x v="0"/>
    <x v="0"/>
    <x v="0"/>
    <x v="0"/>
    <x v="0"/>
    <x v="0"/>
    <x v="4"/>
    <x v="902"/>
    <x v="10"/>
    <x v="39"/>
    <x v="0"/>
    <x v="902"/>
    <x v="902"/>
    <x v="0"/>
    <x v="0"/>
    <x v="0"/>
    <x v="1"/>
    <x v="600"/>
    <x v="0"/>
    <x v="0"/>
    <x v="1"/>
    <x v="702"/>
    <x v="752"/>
    <x v="1"/>
    <x v="714"/>
    <x v="799"/>
    <x v="0"/>
    <x v="799"/>
    <x v="0"/>
    <x v="1"/>
    <x v="0"/>
    <x v="799"/>
    <x v="1"/>
    <x v="0"/>
    <x v="2"/>
    <x v="4"/>
  </r>
  <r>
    <x v="902"/>
    <x v="1"/>
    <x v="2"/>
    <x v="1"/>
    <x v="1"/>
    <x v="2"/>
    <x v="0"/>
    <x v="0"/>
    <x v="0"/>
    <x v="0"/>
    <x v="0"/>
    <x v="0"/>
    <x v="0"/>
    <x v="18"/>
    <x v="903"/>
    <x v="5"/>
    <x v="58"/>
    <x v="0"/>
    <x v="903"/>
    <x v="903"/>
    <x v="0"/>
    <x v="0"/>
    <x v="0"/>
    <x v="1"/>
    <x v="601"/>
    <x v="0"/>
    <x v="387"/>
    <x v="1"/>
    <x v="702"/>
    <x v="752"/>
    <x v="1"/>
    <x v="714"/>
    <x v="799"/>
    <x v="0"/>
    <x v="799"/>
    <x v="0"/>
    <x v="1"/>
    <x v="0"/>
    <x v="799"/>
    <x v="1"/>
    <x v="0"/>
    <x v="2"/>
    <x v="4"/>
  </r>
  <r>
    <x v="903"/>
    <x v="0"/>
    <x v="2"/>
    <x v="0"/>
    <x v="1"/>
    <x v="2"/>
    <x v="0"/>
    <x v="0"/>
    <x v="0"/>
    <x v="0"/>
    <x v="0"/>
    <x v="0"/>
    <x v="0"/>
    <x v="33"/>
    <x v="904"/>
    <x v="9"/>
    <x v="20"/>
    <x v="0"/>
    <x v="904"/>
    <x v="904"/>
    <x v="0"/>
    <x v="0"/>
    <x v="0"/>
    <x v="239"/>
    <x v="617"/>
    <x v="0"/>
    <x v="0"/>
    <x v="581"/>
    <x v="716"/>
    <x v="752"/>
    <x v="651"/>
    <x v="724"/>
    <x v="799"/>
    <x v="0"/>
    <x v="799"/>
    <x v="0"/>
    <x v="1"/>
    <x v="0"/>
    <x v="799"/>
    <x v="0"/>
    <x v="0"/>
    <x v="2"/>
    <x v="4"/>
  </r>
  <r>
    <x v="904"/>
    <x v="0"/>
    <x v="2"/>
    <x v="0"/>
    <x v="1"/>
    <x v="2"/>
    <x v="0"/>
    <x v="0"/>
    <x v="0"/>
    <x v="0"/>
    <x v="0"/>
    <x v="0"/>
    <x v="0"/>
    <x v="18"/>
    <x v="905"/>
    <x v="2"/>
    <x v="2"/>
    <x v="0"/>
    <x v="905"/>
    <x v="905"/>
    <x v="179"/>
    <x v="143"/>
    <x v="163"/>
    <x v="1"/>
    <x v="614"/>
    <x v="0"/>
    <x v="385"/>
    <x v="1"/>
    <x v="731"/>
    <x v="793"/>
    <x v="573"/>
    <x v="720"/>
    <x v="800"/>
    <x v="163"/>
    <x v="800"/>
    <x v="0"/>
    <x v="1"/>
    <x v="0"/>
    <x v="800"/>
    <x v="0"/>
    <x v="506"/>
    <x v="2"/>
    <x v="4"/>
  </r>
  <r>
    <x v="905"/>
    <x v="0"/>
    <x v="0"/>
    <x v="0"/>
    <x v="1"/>
    <x v="177"/>
    <x v="0"/>
    <x v="0"/>
    <x v="0"/>
    <x v="0"/>
    <x v="0"/>
    <x v="0"/>
    <x v="0"/>
    <x v="0"/>
    <x v="906"/>
    <x v="0"/>
    <x v="0"/>
    <x v="0"/>
    <x v="906"/>
    <x v="906"/>
    <x v="0"/>
    <x v="0"/>
    <x v="0"/>
    <x v="1"/>
    <x v="618"/>
    <x v="0"/>
    <x v="0"/>
    <x v="1"/>
    <x v="700"/>
    <x v="794"/>
    <x v="1"/>
    <x v="738"/>
    <x v="800"/>
    <x v="0"/>
    <x v="800"/>
    <x v="0"/>
    <x v="1"/>
    <x v="0"/>
    <x v="800"/>
    <x v="1"/>
    <x v="0"/>
    <x v="2"/>
    <x v="4"/>
  </r>
  <r>
    <x v="906"/>
    <x v="1"/>
    <x v="2"/>
    <x v="1"/>
    <x v="1"/>
    <x v="2"/>
    <x v="0"/>
    <x v="0"/>
    <x v="0"/>
    <x v="0"/>
    <x v="0"/>
    <x v="0"/>
    <x v="0"/>
    <x v="6"/>
    <x v="907"/>
    <x v="5"/>
    <x v="19"/>
    <x v="0"/>
    <x v="907"/>
    <x v="907"/>
    <x v="0"/>
    <x v="0"/>
    <x v="0"/>
    <x v="340"/>
    <x v="571"/>
    <x v="0"/>
    <x v="0"/>
    <x v="579"/>
    <x v="732"/>
    <x v="794"/>
    <x v="491"/>
    <x v="699"/>
    <x v="800"/>
    <x v="0"/>
    <x v="800"/>
    <x v="0"/>
    <x v="1"/>
    <x v="0"/>
    <x v="800"/>
    <x v="0"/>
    <x v="0"/>
    <x v="2"/>
    <x v="4"/>
  </r>
  <r>
    <x v="907"/>
    <x v="1"/>
    <x v="2"/>
    <x v="1"/>
    <x v="1"/>
    <x v="2"/>
    <x v="0"/>
    <x v="0"/>
    <x v="0"/>
    <x v="0"/>
    <x v="0"/>
    <x v="0"/>
    <x v="0"/>
    <x v="18"/>
    <x v="908"/>
    <x v="15"/>
    <x v="45"/>
    <x v="0"/>
    <x v="908"/>
    <x v="908"/>
    <x v="0"/>
    <x v="0"/>
    <x v="0"/>
    <x v="1"/>
    <x v="71"/>
    <x v="278"/>
    <x v="302"/>
    <x v="586"/>
    <x v="733"/>
    <x v="795"/>
    <x v="635"/>
    <x v="744"/>
    <x v="801"/>
    <x v="0"/>
    <x v="801"/>
    <x v="0"/>
    <x v="1"/>
    <x v="0"/>
    <x v="801"/>
    <x v="0"/>
    <x v="0"/>
    <x v="2"/>
    <x v="4"/>
  </r>
  <r>
    <x v="908"/>
    <x v="1"/>
    <x v="2"/>
    <x v="1"/>
    <x v="1"/>
    <x v="2"/>
    <x v="0"/>
    <x v="0"/>
    <x v="0"/>
    <x v="0"/>
    <x v="0"/>
    <x v="0"/>
    <x v="0"/>
    <x v="6"/>
    <x v="909"/>
    <x v="15"/>
    <x v="45"/>
    <x v="0"/>
    <x v="909"/>
    <x v="909"/>
    <x v="0"/>
    <x v="138"/>
    <x v="98"/>
    <x v="1"/>
    <x v="71"/>
    <x v="279"/>
    <x v="326"/>
    <x v="587"/>
    <x v="678"/>
    <x v="764"/>
    <x v="557"/>
    <x v="735"/>
    <x v="802"/>
    <x v="98"/>
    <x v="802"/>
    <x v="0"/>
    <x v="1"/>
    <x v="0"/>
    <x v="802"/>
    <x v="0"/>
    <x v="507"/>
    <x v="2"/>
    <x v="4"/>
  </r>
  <r>
    <x v="909"/>
    <x v="1"/>
    <x v="2"/>
    <x v="1"/>
    <x v="1"/>
    <x v="2"/>
    <x v="0"/>
    <x v="0"/>
    <x v="0"/>
    <x v="0"/>
    <x v="0"/>
    <x v="0"/>
    <x v="0"/>
    <x v="6"/>
    <x v="910"/>
    <x v="5"/>
    <x v="58"/>
    <x v="2"/>
    <x v="910"/>
    <x v="910"/>
    <x v="0"/>
    <x v="0"/>
    <x v="0"/>
    <x v="469"/>
    <x v="609"/>
    <x v="0"/>
    <x v="0"/>
    <x v="588"/>
    <x v="727"/>
    <x v="796"/>
    <x v="591"/>
    <x v="739"/>
    <x v="802"/>
    <x v="0"/>
    <x v="802"/>
    <x v="0"/>
    <x v="1"/>
    <x v="0"/>
    <x v="802"/>
    <x v="0"/>
    <x v="0"/>
    <x v="2"/>
    <x v="4"/>
  </r>
  <r>
    <x v="910"/>
    <x v="1"/>
    <x v="2"/>
    <x v="1"/>
    <x v="1"/>
    <x v="178"/>
    <x v="0"/>
    <x v="0"/>
    <x v="0"/>
    <x v="0"/>
    <x v="0"/>
    <x v="0"/>
    <x v="0"/>
    <x v="18"/>
    <x v="911"/>
    <x v="5"/>
    <x v="58"/>
    <x v="0"/>
    <x v="911"/>
    <x v="911"/>
    <x v="155"/>
    <x v="138"/>
    <x v="164"/>
    <x v="1"/>
    <x v="476"/>
    <x v="0"/>
    <x v="399"/>
    <x v="1"/>
    <x v="584"/>
    <x v="596"/>
    <x v="448"/>
    <x v="720"/>
    <x v="803"/>
    <x v="164"/>
    <x v="803"/>
    <x v="0"/>
    <x v="1"/>
    <x v="0"/>
    <x v="803"/>
    <x v="1"/>
    <x v="508"/>
    <x v="2"/>
    <x v="4"/>
  </r>
  <r>
    <x v="911"/>
    <x v="2"/>
    <x v="1"/>
    <x v="0"/>
    <x v="1"/>
    <x v="179"/>
    <x v="1"/>
    <x v="0"/>
    <x v="0"/>
    <x v="0"/>
    <x v="0"/>
    <x v="0"/>
    <x v="0"/>
    <x v="49"/>
    <x v="912"/>
    <x v="12"/>
    <x v="77"/>
    <x v="0"/>
    <x v="912"/>
    <x v="912"/>
    <x v="0"/>
    <x v="0"/>
    <x v="0"/>
    <x v="1"/>
    <x v="610"/>
    <x v="0"/>
    <x v="0"/>
    <x v="1"/>
    <x v="714"/>
    <x v="764"/>
    <x v="1"/>
    <x v="745"/>
    <x v="803"/>
    <x v="0"/>
    <x v="803"/>
    <x v="0"/>
    <x v="1"/>
    <x v="0"/>
    <x v="803"/>
    <x v="1"/>
    <x v="0"/>
    <x v="2"/>
    <x v="4"/>
  </r>
  <r>
    <x v="912"/>
    <x v="0"/>
    <x v="2"/>
    <x v="0"/>
    <x v="1"/>
    <x v="2"/>
    <x v="0"/>
    <x v="0"/>
    <x v="0"/>
    <x v="0"/>
    <x v="0"/>
    <x v="0"/>
    <x v="0"/>
    <x v="18"/>
    <x v="913"/>
    <x v="2"/>
    <x v="2"/>
    <x v="0"/>
    <x v="913"/>
    <x v="913"/>
    <x v="97"/>
    <x v="138"/>
    <x v="150"/>
    <x v="1"/>
    <x v="617"/>
    <x v="0"/>
    <x v="372"/>
    <x v="1"/>
    <x v="584"/>
    <x v="596"/>
    <x v="628"/>
    <x v="720"/>
    <x v="804"/>
    <x v="150"/>
    <x v="804"/>
    <x v="0"/>
    <x v="1"/>
    <x v="0"/>
    <x v="804"/>
    <x v="1"/>
    <x v="509"/>
    <x v="2"/>
    <x v="4"/>
  </r>
  <r>
    <x v="913"/>
    <x v="0"/>
    <x v="2"/>
    <x v="0"/>
    <x v="1"/>
    <x v="2"/>
    <x v="0"/>
    <x v="0"/>
    <x v="0"/>
    <x v="0"/>
    <x v="0"/>
    <x v="0"/>
    <x v="0"/>
    <x v="42"/>
    <x v="914"/>
    <x v="0"/>
    <x v="60"/>
    <x v="0"/>
    <x v="914"/>
    <x v="914"/>
    <x v="162"/>
    <x v="138"/>
    <x v="157"/>
    <x v="1"/>
    <x v="566"/>
    <x v="0"/>
    <x v="281"/>
    <x v="1"/>
    <x v="731"/>
    <x v="793"/>
    <x v="524"/>
    <x v="686"/>
    <x v="805"/>
    <x v="157"/>
    <x v="805"/>
    <x v="0"/>
    <x v="1"/>
    <x v="0"/>
    <x v="805"/>
    <x v="1"/>
    <x v="510"/>
    <x v="2"/>
    <x v="4"/>
  </r>
  <r>
    <x v="914"/>
    <x v="1"/>
    <x v="2"/>
    <x v="1"/>
    <x v="1"/>
    <x v="2"/>
    <x v="0"/>
    <x v="0"/>
    <x v="0"/>
    <x v="0"/>
    <x v="0"/>
    <x v="0"/>
    <x v="0"/>
    <x v="29"/>
    <x v="915"/>
    <x v="15"/>
    <x v="45"/>
    <x v="0"/>
    <x v="915"/>
    <x v="915"/>
    <x v="97"/>
    <x v="138"/>
    <x v="150"/>
    <x v="1"/>
    <x v="71"/>
    <x v="0"/>
    <x v="386"/>
    <x v="1"/>
    <x v="734"/>
    <x v="797"/>
    <x v="628"/>
    <x v="746"/>
    <x v="805"/>
    <x v="150"/>
    <x v="805"/>
    <x v="0"/>
    <x v="1"/>
    <x v="0"/>
    <x v="805"/>
    <x v="1"/>
    <x v="511"/>
    <x v="2"/>
    <x v="4"/>
  </r>
  <r>
    <x v="915"/>
    <x v="1"/>
    <x v="2"/>
    <x v="1"/>
    <x v="1"/>
    <x v="2"/>
    <x v="0"/>
    <x v="0"/>
    <x v="0"/>
    <x v="0"/>
    <x v="0"/>
    <x v="0"/>
    <x v="0"/>
    <x v="18"/>
    <x v="916"/>
    <x v="5"/>
    <x v="58"/>
    <x v="0"/>
    <x v="916"/>
    <x v="916"/>
    <x v="0"/>
    <x v="0"/>
    <x v="0"/>
    <x v="1"/>
    <x v="243"/>
    <x v="0"/>
    <x v="0"/>
    <x v="1"/>
    <x v="709"/>
    <x v="798"/>
    <x v="1"/>
    <x v="720"/>
    <x v="805"/>
    <x v="0"/>
    <x v="805"/>
    <x v="0"/>
    <x v="1"/>
    <x v="0"/>
    <x v="805"/>
    <x v="1"/>
    <x v="0"/>
    <x v="2"/>
    <x v="4"/>
  </r>
  <r>
    <x v="916"/>
    <x v="1"/>
    <x v="2"/>
    <x v="1"/>
    <x v="1"/>
    <x v="2"/>
    <x v="0"/>
    <x v="0"/>
    <x v="0"/>
    <x v="0"/>
    <x v="0"/>
    <x v="0"/>
    <x v="0"/>
    <x v="33"/>
    <x v="917"/>
    <x v="15"/>
    <x v="45"/>
    <x v="0"/>
    <x v="917"/>
    <x v="917"/>
    <x v="97"/>
    <x v="0"/>
    <x v="98"/>
    <x v="1"/>
    <x v="71"/>
    <x v="274"/>
    <x v="302"/>
    <x v="578"/>
    <x v="733"/>
    <x v="797"/>
    <x v="565"/>
    <x v="744"/>
    <x v="806"/>
    <x v="98"/>
    <x v="806"/>
    <x v="0"/>
    <x v="1"/>
    <x v="0"/>
    <x v="806"/>
    <x v="0"/>
    <x v="512"/>
    <x v="2"/>
    <x v="4"/>
  </r>
  <r>
    <x v="917"/>
    <x v="0"/>
    <x v="2"/>
    <x v="0"/>
    <x v="1"/>
    <x v="2"/>
    <x v="0"/>
    <x v="0"/>
    <x v="0"/>
    <x v="0"/>
    <x v="0"/>
    <x v="0"/>
    <x v="0"/>
    <x v="10"/>
    <x v="918"/>
    <x v="7"/>
    <x v="11"/>
    <x v="0"/>
    <x v="918"/>
    <x v="918"/>
    <x v="0"/>
    <x v="0"/>
    <x v="0"/>
    <x v="1"/>
    <x v="619"/>
    <x v="0"/>
    <x v="0"/>
    <x v="1"/>
    <x v="584"/>
    <x v="596"/>
    <x v="1"/>
    <x v="746"/>
    <x v="806"/>
    <x v="0"/>
    <x v="806"/>
    <x v="0"/>
    <x v="1"/>
    <x v="0"/>
    <x v="806"/>
    <x v="1"/>
    <x v="0"/>
    <x v="2"/>
    <x v="4"/>
  </r>
  <r>
    <x v="918"/>
    <x v="1"/>
    <x v="2"/>
    <x v="1"/>
    <x v="1"/>
    <x v="2"/>
    <x v="0"/>
    <x v="0"/>
    <x v="0"/>
    <x v="0"/>
    <x v="0"/>
    <x v="0"/>
    <x v="0"/>
    <x v="18"/>
    <x v="919"/>
    <x v="5"/>
    <x v="58"/>
    <x v="0"/>
    <x v="919"/>
    <x v="919"/>
    <x v="97"/>
    <x v="0"/>
    <x v="98"/>
    <x v="1"/>
    <x v="293"/>
    <x v="0"/>
    <x v="211"/>
    <x v="1"/>
    <x v="678"/>
    <x v="799"/>
    <x v="628"/>
    <x v="686"/>
    <x v="807"/>
    <x v="98"/>
    <x v="807"/>
    <x v="0"/>
    <x v="1"/>
    <x v="0"/>
    <x v="807"/>
    <x v="1"/>
    <x v="513"/>
    <x v="2"/>
    <x v="4"/>
  </r>
  <r>
    <x v="919"/>
    <x v="0"/>
    <x v="2"/>
    <x v="0"/>
    <x v="1"/>
    <x v="2"/>
    <x v="0"/>
    <x v="0"/>
    <x v="0"/>
    <x v="0"/>
    <x v="0"/>
    <x v="0"/>
    <x v="0"/>
    <x v="6"/>
    <x v="920"/>
    <x v="2"/>
    <x v="6"/>
    <x v="0"/>
    <x v="920"/>
    <x v="920"/>
    <x v="0"/>
    <x v="0"/>
    <x v="0"/>
    <x v="39"/>
    <x v="351"/>
    <x v="0"/>
    <x v="0"/>
    <x v="544"/>
    <x v="735"/>
    <x v="800"/>
    <x v="654"/>
    <x v="743"/>
    <x v="807"/>
    <x v="0"/>
    <x v="807"/>
    <x v="0"/>
    <x v="1"/>
    <x v="0"/>
    <x v="807"/>
    <x v="0"/>
    <x v="0"/>
    <x v="2"/>
    <x v="4"/>
  </r>
  <r>
    <x v="920"/>
    <x v="1"/>
    <x v="2"/>
    <x v="1"/>
    <x v="1"/>
    <x v="2"/>
    <x v="0"/>
    <x v="0"/>
    <x v="0"/>
    <x v="0"/>
    <x v="0"/>
    <x v="0"/>
    <x v="0"/>
    <x v="37"/>
    <x v="921"/>
    <x v="15"/>
    <x v="45"/>
    <x v="0"/>
    <x v="921"/>
    <x v="921"/>
    <x v="155"/>
    <x v="138"/>
    <x v="164"/>
    <x v="1"/>
    <x v="71"/>
    <x v="276"/>
    <x v="331"/>
    <x v="583"/>
    <x v="736"/>
    <x v="695"/>
    <x v="483"/>
    <x v="741"/>
    <x v="808"/>
    <x v="164"/>
    <x v="808"/>
    <x v="0"/>
    <x v="1"/>
    <x v="0"/>
    <x v="808"/>
    <x v="0"/>
    <x v="514"/>
    <x v="2"/>
    <x v="4"/>
  </r>
  <r>
    <x v="921"/>
    <x v="0"/>
    <x v="2"/>
    <x v="0"/>
    <x v="1"/>
    <x v="2"/>
    <x v="0"/>
    <x v="0"/>
    <x v="0"/>
    <x v="0"/>
    <x v="0"/>
    <x v="0"/>
    <x v="0"/>
    <x v="18"/>
    <x v="922"/>
    <x v="2"/>
    <x v="2"/>
    <x v="0"/>
    <x v="922"/>
    <x v="922"/>
    <x v="114"/>
    <x v="138"/>
    <x v="154"/>
    <x v="1"/>
    <x v="597"/>
    <x v="0"/>
    <x v="397"/>
    <x v="1"/>
    <x v="733"/>
    <x v="801"/>
    <x v="472"/>
    <x v="737"/>
    <x v="809"/>
    <x v="154"/>
    <x v="809"/>
    <x v="0"/>
    <x v="1"/>
    <x v="0"/>
    <x v="809"/>
    <x v="1"/>
    <x v="515"/>
    <x v="2"/>
    <x v="4"/>
  </r>
  <r>
    <x v="922"/>
    <x v="0"/>
    <x v="0"/>
    <x v="0"/>
    <x v="1"/>
    <x v="180"/>
    <x v="0"/>
    <x v="0"/>
    <x v="0"/>
    <x v="0"/>
    <x v="0"/>
    <x v="0"/>
    <x v="0"/>
    <x v="17"/>
    <x v="923"/>
    <x v="7"/>
    <x v="38"/>
    <x v="0"/>
    <x v="923"/>
    <x v="923"/>
    <x v="97"/>
    <x v="138"/>
    <x v="150"/>
    <x v="1"/>
    <x v="608"/>
    <x v="280"/>
    <x v="398"/>
    <x v="589"/>
    <x v="724"/>
    <x v="695"/>
    <x v="568"/>
    <x v="747"/>
    <x v="809"/>
    <x v="150"/>
    <x v="809"/>
    <x v="0"/>
    <x v="1"/>
    <x v="0"/>
    <x v="809"/>
    <x v="0"/>
    <x v="516"/>
    <x v="2"/>
    <x v="4"/>
  </r>
  <r>
    <x v="923"/>
    <x v="2"/>
    <x v="2"/>
    <x v="3"/>
    <x v="1"/>
    <x v="181"/>
    <x v="1"/>
    <x v="0"/>
    <x v="0"/>
    <x v="0"/>
    <x v="0"/>
    <x v="0"/>
    <x v="0"/>
    <x v="12"/>
    <x v="924"/>
    <x v="2"/>
    <x v="2"/>
    <x v="1"/>
    <x v="924"/>
    <x v="924"/>
    <x v="0"/>
    <x v="0"/>
    <x v="0"/>
    <x v="1"/>
    <x v="453"/>
    <x v="0"/>
    <x v="0"/>
    <x v="1"/>
    <x v="731"/>
    <x v="793"/>
    <x v="1"/>
    <x v="748"/>
    <x v="809"/>
    <x v="0"/>
    <x v="809"/>
    <x v="0"/>
    <x v="1"/>
    <x v="0"/>
    <x v="809"/>
    <x v="1"/>
    <x v="0"/>
    <x v="2"/>
    <x v="4"/>
  </r>
  <r>
    <x v="924"/>
    <x v="1"/>
    <x v="2"/>
    <x v="1"/>
    <x v="1"/>
    <x v="2"/>
    <x v="0"/>
    <x v="0"/>
    <x v="0"/>
    <x v="0"/>
    <x v="0"/>
    <x v="0"/>
    <x v="0"/>
    <x v="4"/>
    <x v="925"/>
    <x v="10"/>
    <x v="39"/>
    <x v="0"/>
    <x v="925"/>
    <x v="925"/>
    <x v="179"/>
    <x v="85"/>
    <x v="105"/>
    <x v="1"/>
    <x v="602"/>
    <x v="0"/>
    <x v="391"/>
    <x v="1"/>
    <x v="729"/>
    <x v="790"/>
    <x v="573"/>
    <x v="725"/>
    <x v="810"/>
    <x v="105"/>
    <x v="810"/>
    <x v="0"/>
    <x v="1"/>
    <x v="0"/>
    <x v="810"/>
    <x v="0"/>
    <x v="517"/>
    <x v="2"/>
    <x v="4"/>
  </r>
  <r>
    <x v="925"/>
    <x v="1"/>
    <x v="2"/>
    <x v="1"/>
    <x v="1"/>
    <x v="182"/>
    <x v="0"/>
    <x v="0"/>
    <x v="0"/>
    <x v="0"/>
    <x v="0"/>
    <x v="0"/>
    <x v="0"/>
    <x v="7"/>
    <x v="926"/>
    <x v="6"/>
    <x v="29"/>
    <x v="0"/>
    <x v="926"/>
    <x v="926"/>
    <x v="0"/>
    <x v="138"/>
    <x v="98"/>
    <x v="1"/>
    <x v="238"/>
    <x v="0"/>
    <x v="0"/>
    <x v="1"/>
    <x v="664"/>
    <x v="695"/>
    <x v="1"/>
    <x v="749"/>
    <x v="810"/>
    <x v="98"/>
    <x v="810"/>
    <x v="0"/>
    <x v="1"/>
    <x v="0"/>
    <x v="810"/>
    <x v="1"/>
    <x v="518"/>
    <x v="2"/>
    <x v="4"/>
  </r>
  <r>
    <x v="926"/>
    <x v="2"/>
    <x v="2"/>
    <x v="0"/>
    <x v="1"/>
    <x v="148"/>
    <x v="1"/>
    <x v="0"/>
    <x v="0"/>
    <x v="0"/>
    <x v="0"/>
    <x v="0"/>
    <x v="0"/>
    <x v="12"/>
    <x v="927"/>
    <x v="2"/>
    <x v="2"/>
    <x v="0"/>
    <x v="927"/>
    <x v="927"/>
    <x v="0"/>
    <x v="0"/>
    <x v="0"/>
    <x v="1"/>
    <x v="476"/>
    <x v="0"/>
    <x v="0"/>
    <x v="1"/>
    <x v="737"/>
    <x v="802"/>
    <x v="1"/>
    <x v="749"/>
    <x v="810"/>
    <x v="0"/>
    <x v="810"/>
    <x v="0"/>
    <x v="1"/>
    <x v="0"/>
    <x v="810"/>
    <x v="1"/>
    <x v="0"/>
    <x v="2"/>
    <x v="4"/>
  </r>
  <r>
    <x v="927"/>
    <x v="2"/>
    <x v="0"/>
    <x v="2"/>
    <x v="29"/>
    <x v="46"/>
    <x v="1"/>
    <x v="0"/>
    <x v="0"/>
    <x v="0"/>
    <x v="0"/>
    <x v="0"/>
    <x v="0"/>
    <x v="24"/>
    <x v="928"/>
    <x v="12"/>
    <x v="59"/>
    <x v="0"/>
    <x v="928"/>
    <x v="928"/>
    <x v="0"/>
    <x v="0"/>
    <x v="0"/>
    <x v="1"/>
    <x v="524"/>
    <x v="0"/>
    <x v="0"/>
    <x v="1"/>
    <x v="726"/>
    <x v="803"/>
    <x v="1"/>
    <x v="737"/>
    <x v="811"/>
    <x v="0"/>
    <x v="811"/>
    <x v="0"/>
    <x v="1"/>
    <x v="0"/>
    <x v="811"/>
    <x v="1"/>
    <x v="0"/>
    <x v="2"/>
    <x v="4"/>
  </r>
  <r>
    <x v="928"/>
    <x v="2"/>
    <x v="0"/>
    <x v="0"/>
    <x v="1"/>
    <x v="132"/>
    <x v="1"/>
    <x v="0"/>
    <x v="0"/>
    <x v="0"/>
    <x v="0"/>
    <x v="0"/>
    <x v="0"/>
    <x v="49"/>
    <x v="929"/>
    <x v="12"/>
    <x v="72"/>
    <x v="0"/>
    <x v="929"/>
    <x v="929"/>
    <x v="0"/>
    <x v="0"/>
    <x v="0"/>
    <x v="1"/>
    <x v="524"/>
    <x v="0"/>
    <x v="0"/>
    <x v="1"/>
    <x v="726"/>
    <x v="803"/>
    <x v="1"/>
    <x v="737"/>
    <x v="811"/>
    <x v="0"/>
    <x v="811"/>
    <x v="0"/>
    <x v="1"/>
    <x v="0"/>
    <x v="811"/>
    <x v="1"/>
    <x v="0"/>
    <x v="2"/>
    <x v="4"/>
  </r>
  <r>
    <x v="929"/>
    <x v="0"/>
    <x v="2"/>
    <x v="0"/>
    <x v="1"/>
    <x v="183"/>
    <x v="0"/>
    <x v="0"/>
    <x v="0"/>
    <x v="0"/>
    <x v="0"/>
    <x v="0"/>
    <x v="0"/>
    <x v="21"/>
    <x v="930"/>
    <x v="11"/>
    <x v="33"/>
    <x v="0"/>
    <x v="930"/>
    <x v="930"/>
    <x v="0"/>
    <x v="145"/>
    <x v="164"/>
    <x v="1"/>
    <x v="71"/>
    <x v="0"/>
    <x v="249"/>
    <x v="1"/>
    <x v="687"/>
    <x v="804"/>
    <x v="1"/>
    <x v="750"/>
    <x v="812"/>
    <x v="164"/>
    <x v="812"/>
    <x v="0"/>
    <x v="1"/>
    <x v="0"/>
    <x v="812"/>
    <x v="1"/>
    <x v="519"/>
    <x v="2"/>
    <x v="4"/>
  </r>
  <r>
    <x v="930"/>
    <x v="1"/>
    <x v="2"/>
    <x v="1"/>
    <x v="1"/>
    <x v="2"/>
    <x v="0"/>
    <x v="0"/>
    <x v="0"/>
    <x v="0"/>
    <x v="0"/>
    <x v="0"/>
    <x v="0"/>
    <x v="9"/>
    <x v="931"/>
    <x v="15"/>
    <x v="45"/>
    <x v="0"/>
    <x v="931"/>
    <x v="931"/>
    <x v="0"/>
    <x v="138"/>
    <x v="98"/>
    <x v="1"/>
    <x v="71"/>
    <x v="281"/>
    <x v="329"/>
    <x v="590"/>
    <x v="738"/>
    <x v="805"/>
    <x v="565"/>
    <x v="751"/>
    <x v="813"/>
    <x v="98"/>
    <x v="813"/>
    <x v="0"/>
    <x v="1"/>
    <x v="0"/>
    <x v="813"/>
    <x v="0"/>
    <x v="520"/>
    <x v="2"/>
    <x v="4"/>
  </r>
  <r>
    <x v="931"/>
    <x v="0"/>
    <x v="2"/>
    <x v="0"/>
    <x v="1"/>
    <x v="2"/>
    <x v="0"/>
    <x v="0"/>
    <x v="0"/>
    <x v="0"/>
    <x v="0"/>
    <x v="0"/>
    <x v="0"/>
    <x v="56"/>
    <x v="932"/>
    <x v="7"/>
    <x v="38"/>
    <x v="0"/>
    <x v="932"/>
    <x v="932"/>
    <x v="0"/>
    <x v="0"/>
    <x v="0"/>
    <x v="1"/>
    <x v="606"/>
    <x v="0"/>
    <x v="0"/>
    <x v="1"/>
    <x v="717"/>
    <x v="806"/>
    <x v="1"/>
    <x v="725"/>
    <x v="813"/>
    <x v="0"/>
    <x v="813"/>
    <x v="0"/>
    <x v="1"/>
    <x v="0"/>
    <x v="813"/>
    <x v="1"/>
    <x v="0"/>
    <x v="2"/>
    <x v="4"/>
  </r>
  <r>
    <x v="932"/>
    <x v="0"/>
    <x v="2"/>
    <x v="0"/>
    <x v="1"/>
    <x v="2"/>
    <x v="0"/>
    <x v="0"/>
    <x v="0"/>
    <x v="0"/>
    <x v="0"/>
    <x v="0"/>
    <x v="0"/>
    <x v="50"/>
    <x v="933"/>
    <x v="2"/>
    <x v="53"/>
    <x v="0"/>
    <x v="933"/>
    <x v="933"/>
    <x v="0"/>
    <x v="0"/>
    <x v="0"/>
    <x v="1"/>
    <x v="606"/>
    <x v="0"/>
    <x v="0"/>
    <x v="1"/>
    <x v="717"/>
    <x v="806"/>
    <x v="1"/>
    <x v="725"/>
    <x v="813"/>
    <x v="0"/>
    <x v="813"/>
    <x v="0"/>
    <x v="1"/>
    <x v="0"/>
    <x v="813"/>
    <x v="1"/>
    <x v="0"/>
    <x v="2"/>
    <x v="4"/>
  </r>
  <r>
    <x v="933"/>
    <x v="2"/>
    <x v="2"/>
    <x v="0"/>
    <x v="1"/>
    <x v="148"/>
    <x v="1"/>
    <x v="0"/>
    <x v="0"/>
    <x v="0"/>
    <x v="0"/>
    <x v="0"/>
    <x v="0"/>
    <x v="22"/>
    <x v="934"/>
    <x v="2"/>
    <x v="2"/>
    <x v="0"/>
    <x v="934"/>
    <x v="934"/>
    <x v="0"/>
    <x v="0"/>
    <x v="0"/>
    <x v="1"/>
    <x v="566"/>
    <x v="0"/>
    <x v="0"/>
    <x v="1"/>
    <x v="739"/>
    <x v="805"/>
    <x v="1"/>
    <x v="752"/>
    <x v="814"/>
    <x v="0"/>
    <x v="814"/>
    <x v="0"/>
    <x v="1"/>
    <x v="0"/>
    <x v="814"/>
    <x v="1"/>
    <x v="0"/>
    <x v="2"/>
    <x v="4"/>
  </r>
  <r>
    <x v="934"/>
    <x v="0"/>
    <x v="2"/>
    <x v="0"/>
    <x v="1"/>
    <x v="2"/>
    <x v="0"/>
    <x v="0"/>
    <x v="0"/>
    <x v="0"/>
    <x v="0"/>
    <x v="0"/>
    <x v="0"/>
    <x v="27"/>
    <x v="935"/>
    <x v="12"/>
    <x v="70"/>
    <x v="0"/>
    <x v="935"/>
    <x v="935"/>
    <x v="0"/>
    <x v="138"/>
    <x v="98"/>
    <x v="1"/>
    <x v="390"/>
    <x v="0"/>
    <x v="0"/>
    <x v="1"/>
    <x v="704"/>
    <x v="807"/>
    <x v="1"/>
    <x v="697"/>
    <x v="815"/>
    <x v="98"/>
    <x v="815"/>
    <x v="0"/>
    <x v="1"/>
    <x v="0"/>
    <x v="815"/>
    <x v="1"/>
    <x v="521"/>
    <x v="2"/>
    <x v="4"/>
  </r>
  <r>
    <x v="935"/>
    <x v="1"/>
    <x v="2"/>
    <x v="1"/>
    <x v="1"/>
    <x v="151"/>
    <x v="0"/>
    <x v="0"/>
    <x v="0"/>
    <x v="0"/>
    <x v="0"/>
    <x v="0"/>
    <x v="0"/>
    <x v="16"/>
    <x v="936"/>
    <x v="10"/>
    <x v="37"/>
    <x v="0"/>
    <x v="936"/>
    <x v="936"/>
    <x v="205"/>
    <x v="142"/>
    <x v="133"/>
    <x v="1"/>
    <x v="71"/>
    <x v="0"/>
    <x v="0"/>
    <x v="1"/>
    <x v="362"/>
    <x v="774"/>
    <x v="626"/>
    <x v="753"/>
    <x v="816"/>
    <x v="133"/>
    <x v="816"/>
    <x v="0"/>
    <x v="1"/>
    <x v="0"/>
    <x v="816"/>
    <x v="0"/>
    <x v="129"/>
    <x v="2"/>
    <x v="4"/>
  </r>
  <r>
    <x v="936"/>
    <x v="1"/>
    <x v="2"/>
    <x v="1"/>
    <x v="1"/>
    <x v="2"/>
    <x v="0"/>
    <x v="0"/>
    <x v="0"/>
    <x v="0"/>
    <x v="0"/>
    <x v="0"/>
    <x v="0"/>
    <x v="16"/>
    <x v="937"/>
    <x v="10"/>
    <x v="21"/>
    <x v="2"/>
    <x v="937"/>
    <x v="937"/>
    <x v="0"/>
    <x v="138"/>
    <x v="98"/>
    <x v="1"/>
    <x v="71"/>
    <x v="0"/>
    <x v="400"/>
    <x v="1"/>
    <x v="728"/>
    <x v="808"/>
    <x v="1"/>
    <x v="754"/>
    <x v="816"/>
    <x v="98"/>
    <x v="816"/>
    <x v="0"/>
    <x v="1"/>
    <x v="0"/>
    <x v="816"/>
    <x v="1"/>
    <x v="522"/>
    <x v="2"/>
    <x v="4"/>
  </r>
  <r>
    <x v="937"/>
    <x v="1"/>
    <x v="2"/>
    <x v="1"/>
    <x v="1"/>
    <x v="2"/>
    <x v="0"/>
    <x v="0"/>
    <x v="0"/>
    <x v="0"/>
    <x v="0"/>
    <x v="0"/>
    <x v="0"/>
    <x v="13"/>
    <x v="938"/>
    <x v="15"/>
    <x v="45"/>
    <x v="0"/>
    <x v="938"/>
    <x v="938"/>
    <x v="0"/>
    <x v="0"/>
    <x v="0"/>
    <x v="1"/>
    <x v="71"/>
    <x v="0"/>
    <x v="388"/>
    <x v="1"/>
    <x v="704"/>
    <x v="807"/>
    <x v="1"/>
    <x v="754"/>
    <x v="816"/>
    <x v="0"/>
    <x v="816"/>
    <x v="0"/>
    <x v="1"/>
    <x v="0"/>
    <x v="816"/>
    <x v="1"/>
    <x v="0"/>
    <x v="2"/>
    <x v="4"/>
  </r>
  <r>
    <x v="938"/>
    <x v="1"/>
    <x v="4"/>
    <x v="1"/>
    <x v="1"/>
    <x v="184"/>
    <x v="1"/>
    <x v="1"/>
    <x v="0"/>
    <x v="0"/>
    <x v="0"/>
    <x v="0"/>
    <x v="0"/>
    <x v="6"/>
    <x v="939"/>
    <x v="5"/>
    <x v="31"/>
    <x v="0"/>
    <x v="939"/>
    <x v="939"/>
    <x v="131"/>
    <x v="143"/>
    <x v="281"/>
    <x v="1"/>
    <x v="71"/>
    <x v="0"/>
    <x v="355"/>
    <x v="1"/>
    <x v="740"/>
    <x v="809"/>
    <x v="635"/>
    <x v="739"/>
    <x v="817"/>
    <x v="281"/>
    <x v="817"/>
    <x v="0"/>
    <x v="1"/>
    <x v="0"/>
    <x v="817"/>
    <x v="0"/>
    <x v="523"/>
    <x v="2"/>
    <x v="4"/>
  </r>
  <r>
    <x v="939"/>
    <x v="2"/>
    <x v="2"/>
    <x v="0"/>
    <x v="1"/>
    <x v="148"/>
    <x v="1"/>
    <x v="0"/>
    <x v="0"/>
    <x v="0"/>
    <x v="0"/>
    <x v="0"/>
    <x v="0"/>
    <x v="18"/>
    <x v="940"/>
    <x v="2"/>
    <x v="2"/>
    <x v="0"/>
    <x v="940"/>
    <x v="940"/>
    <x v="0"/>
    <x v="0"/>
    <x v="0"/>
    <x v="1"/>
    <x v="411"/>
    <x v="0"/>
    <x v="297"/>
    <x v="1"/>
    <x v="728"/>
    <x v="808"/>
    <x v="1"/>
    <x v="741"/>
    <x v="817"/>
    <x v="0"/>
    <x v="817"/>
    <x v="0"/>
    <x v="1"/>
    <x v="0"/>
    <x v="817"/>
    <x v="1"/>
    <x v="0"/>
    <x v="2"/>
    <x v="4"/>
  </r>
  <r>
    <x v="940"/>
    <x v="2"/>
    <x v="2"/>
    <x v="0"/>
    <x v="1"/>
    <x v="2"/>
    <x v="1"/>
    <x v="0"/>
    <x v="0"/>
    <x v="0"/>
    <x v="0"/>
    <x v="0"/>
    <x v="0"/>
    <x v="18"/>
    <x v="941"/>
    <x v="2"/>
    <x v="2"/>
    <x v="0"/>
    <x v="941"/>
    <x v="941"/>
    <x v="0"/>
    <x v="0"/>
    <x v="0"/>
    <x v="1"/>
    <x v="611"/>
    <x v="0"/>
    <x v="365"/>
    <x v="1"/>
    <x v="728"/>
    <x v="808"/>
    <x v="1"/>
    <x v="741"/>
    <x v="817"/>
    <x v="0"/>
    <x v="817"/>
    <x v="0"/>
    <x v="1"/>
    <x v="0"/>
    <x v="817"/>
    <x v="1"/>
    <x v="0"/>
    <x v="2"/>
    <x v="4"/>
  </r>
  <r>
    <x v="941"/>
    <x v="1"/>
    <x v="2"/>
    <x v="1"/>
    <x v="1"/>
    <x v="2"/>
    <x v="0"/>
    <x v="0"/>
    <x v="0"/>
    <x v="0"/>
    <x v="0"/>
    <x v="0"/>
    <x v="0"/>
    <x v="5"/>
    <x v="942"/>
    <x v="15"/>
    <x v="45"/>
    <x v="0"/>
    <x v="942"/>
    <x v="942"/>
    <x v="0"/>
    <x v="0"/>
    <x v="0"/>
    <x v="1"/>
    <x v="71"/>
    <x v="282"/>
    <x v="384"/>
    <x v="591"/>
    <x v="729"/>
    <x v="810"/>
    <x v="472"/>
    <x v="751"/>
    <x v="818"/>
    <x v="0"/>
    <x v="818"/>
    <x v="0"/>
    <x v="1"/>
    <x v="0"/>
    <x v="818"/>
    <x v="0"/>
    <x v="0"/>
    <x v="2"/>
    <x v="4"/>
  </r>
  <r>
    <x v="942"/>
    <x v="0"/>
    <x v="2"/>
    <x v="0"/>
    <x v="1"/>
    <x v="185"/>
    <x v="0"/>
    <x v="0"/>
    <x v="0"/>
    <x v="0"/>
    <x v="0"/>
    <x v="0"/>
    <x v="0"/>
    <x v="28"/>
    <x v="943"/>
    <x v="7"/>
    <x v="27"/>
    <x v="0"/>
    <x v="943"/>
    <x v="943"/>
    <x v="0"/>
    <x v="0"/>
    <x v="0"/>
    <x v="1"/>
    <x v="593"/>
    <x v="0"/>
    <x v="0"/>
    <x v="1"/>
    <x v="741"/>
    <x v="811"/>
    <x v="1"/>
    <x v="747"/>
    <x v="819"/>
    <x v="0"/>
    <x v="819"/>
    <x v="0"/>
    <x v="1"/>
    <x v="0"/>
    <x v="819"/>
    <x v="1"/>
    <x v="0"/>
    <x v="2"/>
    <x v="4"/>
  </r>
  <r>
    <x v="943"/>
    <x v="2"/>
    <x v="2"/>
    <x v="0"/>
    <x v="1"/>
    <x v="148"/>
    <x v="1"/>
    <x v="0"/>
    <x v="0"/>
    <x v="0"/>
    <x v="0"/>
    <x v="0"/>
    <x v="0"/>
    <x v="27"/>
    <x v="944"/>
    <x v="12"/>
    <x v="70"/>
    <x v="0"/>
    <x v="944"/>
    <x v="944"/>
    <x v="0"/>
    <x v="0"/>
    <x v="0"/>
    <x v="1"/>
    <x v="593"/>
    <x v="0"/>
    <x v="0"/>
    <x v="1"/>
    <x v="741"/>
    <x v="811"/>
    <x v="1"/>
    <x v="747"/>
    <x v="819"/>
    <x v="0"/>
    <x v="819"/>
    <x v="0"/>
    <x v="1"/>
    <x v="0"/>
    <x v="819"/>
    <x v="1"/>
    <x v="0"/>
    <x v="2"/>
    <x v="4"/>
  </r>
  <r>
    <x v="944"/>
    <x v="1"/>
    <x v="2"/>
    <x v="1"/>
    <x v="1"/>
    <x v="2"/>
    <x v="0"/>
    <x v="0"/>
    <x v="0"/>
    <x v="0"/>
    <x v="0"/>
    <x v="0"/>
    <x v="0"/>
    <x v="41"/>
    <x v="945"/>
    <x v="15"/>
    <x v="45"/>
    <x v="0"/>
    <x v="945"/>
    <x v="945"/>
    <x v="0"/>
    <x v="0"/>
    <x v="0"/>
    <x v="1"/>
    <x v="71"/>
    <x v="274"/>
    <x v="369"/>
    <x v="578"/>
    <x v="735"/>
    <x v="811"/>
    <x v="360"/>
    <x v="743"/>
    <x v="819"/>
    <x v="0"/>
    <x v="819"/>
    <x v="0"/>
    <x v="1"/>
    <x v="0"/>
    <x v="819"/>
    <x v="0"/>
    <x v="0"/>
    <x v="2"/>
    <x v="4"/>
  </r>
  <r>
    <x v="945"/>
    <x v="1"/>
    <x v="2"/>
    <x v="1"/>
    <x v="1"/>
    <x v="2"/>
    <x v="0"/>
    <x v="0"/>
    <x v="0"/>
    <x v="0"/>
    <x v="0"/>
    <x v="0"/>
    <x v="0"/>
    <x v="43"/>
    <x v="946"/>
    <x v="15"/>
    <x v="45"/>
    <x v="0"/>
    <x v="946"/>
    <x v="946"/>
    <x v="0"/>
    <x v="0"/>
    <x v="0"/>
    <x v="1"/>
    <x v="71"/>
    <x v="282"/>
    <x v="401"/>
    <x v="591"/>
    <x v="732"/>
    <x v="812"/>
    <x v="472"/>
    <x v="699"/>
    <x v="820"/>
    <x v="0"/>
    <x v="820"/>
    <x v="0"/>
    <x v="1"/>
    <x v="0"/>
    <x v="820"/>
    <x v="0"/>
    <x v="0"/>
    <x v="2"/>
    <x v="4"/>
  </r>
  <r>
    <x v="946"/>
    <x v="1"/>
    <x v="2"/>
    <x v="1"/>
    <x v="1"/>
    <x v="2"/>
    <x v="0"/>
    <x v="0"/>
    <x v="0"/>
    <x v="0"/>
    <x v="0"/>
    <x v="0"/>
    <x v="0"/>
    <x v="55"/>
    <x v="947"/>
    <x v="15"/>
    <x v="45"/>
    <x v="0"/>
    <x v="947"/>
    <x v="947"/>
    <x v="0"/>
    <x v="0"/>
    <x v="0"/>
    <x v="1"/>
    <x v="71"/>
    <x v="270"/>
    <x v="384"/>
    <x v="417"/>
    <x v="729"/>
    <x v="812"/>
    <x v="628"/>
    <x v="751"/>
    <x v="820"/>
    <x v="0"/>
    <x v="820"/>
    <x v="0"/>
    <x v="1"/>
    <x v="0"/>
    <x v="820"/>
    <x v="1"/>
    <x v="0"/>
    <x v="2"/>
    <x v="4"/>
  </r>
  <r>
    <x v="947"/>
    <x v="1"/>
    <x v="2"/>
    <x v="1"/>
    <x v="1"/>
    <x v="2"/>
    <x v="0"/>
    <x v="0"/>
    <x v="0"/>
    <x v="0"/>
    <x v="0"/>
    <x v="0"/>
    <x v="0"/>
    <x v="50"/>
    <x v="948"/>
    <x v="9"/>
    <x v="22"/>
    <x v="0"/>
    <x v="948"/>
    <x v="948"/>
    <x v="0"/>
    <x v="0"/>
    <x v="0"/>
    <x v="1"/>
    <x v="620"/>
    <x v="0"/>
    <x v="0"/>
    <x v="1"/>
    <x v="729"/>
    <x v="790"/>
    <x v="1"/>
    <x v="751"/>
    <x v="821"/>
    <x v="0"/>
    <x v="821"/>
    <x v="0"/>
    <x v="1"/>
    <x v="0"/>
    <x v="821"/>
    <x v="1"/>
    <x v="0"/>
    <x v="2"/>
    <x v="4"/>
  </r>
  <r>
    <x v="948"/>
    <x v="1"/>
    <x v="2"/>
    <x v="1"/>
    <x v="1"/>
    <x v="2"/>
    <x v="0"/>
    <x v="0"/>
    <x v="0"/>
    <x v="0"/>
    <x v="0"/>
    <x v="0"/>
    <x v="0"/>
    <x v="46"/>
    <x v="949"/>
    <x v="15"/>
    <x v="45"/>
    <x v="0"/>
    <x v="949"/>
    <x v="949"/>
    <x v="0"/>
    <x v="0"/>
    <x v="0"/>
    <x v="1"/>
    <x v="71"/>
    <x v="282"/>
    <x v="391"/>
    <x v="591"/>
    <x v="742"/>
    <x v="790"/>
    <x v="472"/>
    <x v="755"/>
    <x v="821"/>
    <x v="0"/>
    <x v="821"/>
    <x v="0"/>
    <x v="1"/>
    <x v="0"/>
    <x v="821"/>
    <x v="0"/>
    <x v="0"/>
    <x v="2"/>
    <x v="4"/>
  </r>
  <r>
    <x v="949"/>
    <x v="0"/>
    <x v="2"/>
    <x v="0"/>
    <x v="1"/>
    <x v="2"/>
    <x v="0"/>
    <x v="0"/>
    <x v="0"/>
    <x v="0"/>
    <x v="0"/>
    <x v="0"/>
    <x v="0"/>
    <x v="37"/>
    <x v="950"/>
    <x v="7"/>
    <x v="27"/>
    <x v="0"/>
    <x v="950"/>
    <x v="950"/>
    <x v="0"/>
    <x v="138"/>
    <x v="98"/>
    <x v="357"/>
    <x v="621"/>
    <x v="0"/>
    <x v="237"/>
    <x v="417"/>
    <x v="735"/>
    <x v="813"/>
    <x v="628"/>
    <x v="724"/>
    <x v="822"/>
    <x v="98"/>
    <x v="822"/>
    <x v="0"/>
    <x v="1"/>
    <x v="0"/>
    <x v="822"/>
    <x v="1"/>
    <x v="524"/>
    <x v="2"/>
    <x v="4"/>
  </r>
  <r>
    <x v="950"/>
    <x v="1"/>
    <x v="2"/>
    <x v="1"/>
    <x v="1"/>
    <x v="2"/>
    <x v="0"/>
    <x v="0"/>
    <x v="0"/>
    <x v="0"/>
    <x v="0"/>
    <x v="0"/>
    <x v="0"/>
    <x v="35"/>
    <x v="951"/>
    <x v="15"/>
    <x v="45"/>
    <x v="0"/>
    <x v="951"/>
    <x v="951"/>
    <x v="0"/>
    <x v="0"/>
    <x v="0"/>
    <x v="1"/>
    <x v="71"/>
    <x v="0"/>
    <x v="391"/>
    <x v="1"/>
    <x v="742"/>
    <x v="814"/>
    <x v="1"/>
    <x v="755"/>
    <x v="822"/>
    <x v="0"/>
    <x v="822"/>
    <x v="0"/>
    <x v="1"/>
    <x v="0"/>
    <x v="822"/>
    <x v="1"/>
    <x v="0"/>
    <x v="2"/>
    <x v="4"/>
  </r>
  <r>
    <x v="951"/>
    <x v="1"/>
    <x v="2"/>
    <x v="1"/>
    <x v="1"/>
    <x v="2"/>
    <x v="0"/>
    <x v="0"/>
    <x v="0"/>
    <x v="0"/>
    <x v="0"/>
    <x v="0"/>
    <x v="0"/>
    <x v="22"/>
    <x v="952"/>
    <x v="15"/>
    <x v="45"/>
    <x v="0"/>
    <x v="952"/>
    <x v="952"/>
    <x v="97"/>
    <x v="0"/>
    <x v="98"/>
    <x v="1"/>
    <x v="71"/>
    <x v="276"/>
    <x v="355"/>
    <x v="583"/>
    <x v="740"/>
    <x v="815"/>
    <x v="580"/>
    <x v="756"/>
    <x v="823"/>
    <x v="98"/>
    <x v="823"/>
    <x v="0"/>
    <x v="1"/>
    <x v="0"/>
    <x v="823"/>
    <x v="0"/>
    <x v="525"/>
    <x v="2"/>
    <x v="4"/>
  </r>
  <r>
    <x v="952"/>
    <x v="0"/>
    <x v="2"/>
    <x v="0"/>
    <x v="1"/>
    <x v="2"/>
    <x v="2"/>
    <x v="0"/>
    <x v="0"/>
    <x v="0"/>
    <x v="0"/>
    <x v="0"/>
    <x v="0"/>
    <x v="17"/>
    <x v="953"/>
    <x v="11"/>
    <x v="61"/>
    <x v="0"/>
    <x v="953"/>
    <x v="953"/>
    <x v="0"/>
    <x v="0"/>
    <x v="0"/>
    <x v="1"/>
    <x v="617"/>
    <x v="0"/>
    <x v="0"/>
    <x v="1"/>
    <x v="716"/>
    <x v="813"/>
    <x v="1"/>
    <x v="724"/>
    <x v="823"/>
    <x v="0"/>
    <x v="823"/>
    <x v="0"/>
    <x v="1"/>
    <x v="0"/>
    <x v="823"/>
    <x v="1"/>
    <x v="0"/>
    <x v="2"/>
    <x v="4"/>
  </r>
  <r>
    <x v="953"/>
    <x v="1"/>
    <x v="2"/>
    <x v="1"/>
    <x v="1"/>
    <x v="186"/>
    <x v="0"/>
    <x v="0"/>
    <x v="0"/>
    <x v="0"/>
    <x v="0"/>
    <x v="0"/>
    <x v="0"/>
    <x v="7"/>
    <x v="954"/>
    <x v="6"/>
    <x v="8"/>
    <x v="0"/>
    <x v="954"/>
    <x v="954"/>
    <x v="179"/>
    <x v="145"/>
    <x v="165"/>
    <x v="1"/>
    <x v="409"/>
    <x v="0"/>
    <x v="399"/>
    <x v="1"/>
    <x v="743"/>
    <x v="816"/>
    <x v="573"/>
    <x v="757"/>
    <x v="824"/>
    <x v="165"/>
    <x v="824"/>
    <x v="0"/>
    <x v="1"/>
    <x v="0"/>
    <x v="824"/>
    <x v="0"/>
    <x v="526"/>
    <x v="2"/>
    <x v="4"/>
  </r>
  <r>
    <x v="954"/>
    <x v="0"/>
    <x v="2"/>
    <x v="0"/>
    <x v="1"/>
    <x v="2"/>
    <x v="0"/>
    <x v="0"/>
    <x v="0"/>
    <x v="0"/>
    <x v="0"/>
    <x v="0"/>
    <x v="0"/>
    <x v="33"/>
    <x v="955"/>
    <x v="9"/>
    <x v="20"/>
    <x v="0"/>
    <x v="955"/>
    <x v="955"/>
    <x v="0"/>
    <x v="145"/>
    <x v="164"/>
    <x v="1"/>
    <x v="616"/>
    <x v="0"/>
    <x v="394"/>
    <x v="1"/>
    <x v="730"/>
    <x v="792"/>
    <x v="1"/>
    <x v="743"/>
    <x v="824"/>
    <x v="164"/>
    <x v="824"/>
    <x v="0"/>
    <x v="1"/>
    <x v="0"/>
    <x v="824"/>
    <x v="1"/>
    <x v="527"/>
    <x v="2"/>
    <x v="4"/>
  </r>
  <r>
    <x v="955"/>
    <x v="0"/>
    <x v="2"/>
    <x v="0"/>
    <x v="1"/>
    <x v="2"/>
    <x v="0"/>
    <x v="0"/>
    <x v="0"/>
    <x v="0"/>
    <x v="0"/>
    <x v="0"/>
    <x v="0"/>
    <x v="37"/>
    <x v="956"/>
    <x v="7"/>
    <x v="27"/>
    <x v="0"/>
    <x v="956"/>
    <x v="956"/>
    <x v="0"/>
    <x v="0"/>
    <x v="0"/>
    <x v="1"/>
    <x v="351"/>
    <x v="0"/>
    <x v="0"/>
    <x v="1"/>
    <x v="735"/>
    <x v="815"/>
    <x v="1"/>
    <x v="743"/>
    <x v="824"/>
    <x v="0"/>
    <x v="824"/>
    <x v="0"/>
    <x v="1"/>
    <x v="0"/>
    <x v="824"/>
    <x v="1"/>
    <x v="0"/>
    <x v="2"/>
    <x v="4"/>
  </r>
  <r>
    <x v="956"/>
    <x v="1"/>
    <x v="2"/>
    <x v="1"/>
    <x v="1"/>
    <x v="2"/>
    <x v="0"/>
    <x v="0"/>
    <x v="0"/>
    <x v="0"/>
    <x v="0"/>
    <x v="0"/>
    <x v="0"/>
    <x v="50"/>
    <x v="957"/>
    <x v="15"/>
    <x v="45"/>
    <x v="0"/>
    <x v="957"/>
    <x v="957"/>
    <x v="0"/>
    <x v="0"/>
    <x v="0"/>
    <x v="1"/>
    <x v="71"/>
    <x v="279"/>
    <x v="211"/>
    <x v="587"/>
    <x v="744"/>
    <x v="815"/>
    <x v="557"/>
    <x v="758"/>
    <x v="824"/>
    <x v="0"/>
    <x v="824"/>
    <x v="0"/>
    <x v="1"/>
    <x v="0"/>
    <x v="824"/>
    <x v="0"/>
    <x v="0"/>
    <x v="2"/>
    <x v="4"/>
  </r>
  <r>
    <x v="957"/>
    <x v="0"/>
    <x v="2"/>
    <x v="0"/>
    <x v="1"/>
    <x v="2"/>
    <x v="0"/>
    <x v="0"/>
    <x v="0"/>
    <x v="0"/>
    <x v="0"/>
    <x v="0"/>
    <x v="0"/>
    <x v="18"/>
    <x v="958"/>
    <x v="2"/>
    <x v="6"/>
    <x v="0"/>
    <x v="958"/>
    <x v="958"/>
    <x v="0"/>
    <x v="0"/>
    <x v="0"/>
    <x v="1"/>
    <x v="293"/>
    <x v="0"/>
    <x v="0"/>
    <x v="1"/>
    <x v="745"/>
    <x v="817"/>
    <x v="1"/>
    <x v="759"/>
    <x v="825"/>
    <x v="0"/>
    <x v="825"/>
    <x v="0"/>
    <x v="1"/>
    <x v="0"/>
    <x v="825"/>
    <x v="1"/>
    <x v="0"/>
    <x v="2"/>
    <x v="4"/>
  </r>
  <r>
    <x v="958"/>
    <x v="2"/>
    <x v="0"/>
    <x v="0"/>
    <x v="1"/>
    <x v="139"/>
    <x v="1"/>
    <x v="0"/>
    <x v="0"/>
    <x v="0"/>
    <x v="0"/>
    <x v="0"/>
    <x v="0"/>
    <x v="24"/>
    <x v="959"/>
    <x v="12"/>
    <x v="59"/>
    <x v="0"/>
    <x v="959"/>
    <x v="959"/>
    <x v="0"/>
    <x v="0"/>
    <x v="0"/>
    <x v="1"/>
    <x v="293"/>
    <x v="0"/>
    <x v="0"/>
    <x v="1"/>
    <x v="745"/>
    <x v="817"/>
    <x v="1"/>
    <x v="759"/>
    <x v="825"/>
    <x v="0"/>
    <x v="825"/>
    <x v="0"/>
    <x v="1"/>
    <x v="0"/>
    <x v="825"/>
    <x v="1"/>
    <x v="0"/>
    <x v="2"/>
    <x v="4"/>
  </r>
  <r>
    <x v="959"/>
    <x v="1"/>
    <x v="2"/>
    <x v="1"/>
    <x v="1"/>
    <x v="2"/>
    <x v="0"/>
    <x v="0"/>
    <x v="0"/>
    <x v="0"/>
    <x v="0"/>
    <x v="0"/>
    <x v="0"/>
    <x v="1"/>
    <x v="960"/>
    <x v="15"/>
    <x v="45"/>
    <x v="0"/>
    <x v="960"/>
    <x v="960"/>
    <x v="0"/>
    <x v="0"/>
    <x v="0"/>
    <x v="1"/>
    <x v="71"/>
    <x v="274"/>
    <x v="271"/>
    <x v="578"/>
    <x v="743"/>
    <x v="817"/>
    <x v="360"/>
    <x v="753"/>
    <x v="825"/>
    <x v="0"/>
    <x v="825"/>
    <x v="0"/>
    <x v="1"/>
    <x v="0"/>
    <x v="825"/>
    <x v="0"/>
    <x v="0"/>
    <x v="2"/>
    <x v="4"/>
  </r>
  <r>
    <x v="960"/>
    <x v="0"/>
    <x v="2"/>
    <x v="0"/>
    <x v="1"/>
    <x v="2"/>
    <x v="0"/>
    <x v="0"/>
    <x v="0"/>
    <x v="0"/>
    <x v="0"/>
    <x v="0"/>
    <x v="0"/>
    <x v="22"/>
    <x v="961"/>
    <x v="2"/>
    <x v="53"/>
    <x v="0"/>
    <x v="961"/>
    <x v="961"/>
    <x v="0"/>
    <x v="0"/>
    <x v="0"/>
    <x v="1"/>
    <x v="490"/>
    <x v="0"/>
    <x v="0"/>
    <x v="1"/>
    <x v="715"/>
    <x v="818"/>
    <x v="1"/>
    <x v="760"/>
    <x v="826"/>
    <x v="0"/>
    <x v="826"/>
    <x v="0"/>
    <x v="1"/>
    <x v="0"/>
    <x v="826"/>
    <x v="1"/>
    <x v="0"/>
    <x v="2"/>
    <x v="4"/>
  </r>
  <r>
    <x v="961"/>
    <x v="1"/>
    <x v="2"/>
    <x v="1"/>
    <x v="1"/>
    <x v="2"/>
    <x v="0"/>
    <x v="0"/>
    <x v="0"/>
    <x v="0"/>
    <x v="0"/>
    <x v="0"/>
    <x v="0"/>
    <x v="12"/>
    <x v="962"/>
    <x v="15"/>
    <x v="45"/>
    <x v="0"/>
    <x v="962"/>
    <x v="962"/>
    <x v="0"/>
    <x v="0"/>
    <x v="0"/>
    <x v="1"/>
    <x v="71"/>
    <x v="281"/>
    <x v="368"/>
    <x v="590"/>
    <x v="746"/>
    <x v="818"/>
    <x v="565"/>
    <x v="761"/>
    <x v="826"/>
    <x v="0"/>
    <x v="826"/>
    <x v="0"/>
    <x v="1"/>
    <x v="0"/>
    <x v="826"/>
    <x v="0"/>
    <x v="0"/>
    <x v="2"/>
    <x v="4"/>
  </r>
  <r>
    <x v="962"/>
    <x v="0"/>
    <x v="2"/>
    <x v="0"/>
    <x v="1"/>
    <x v="2"/>
    <x v="0"/>
    <x v="0"/>
    <x v="0"/>
    <x v="0"/>
    <x v="0"/>
    <x v="0"/>
    <x v="0"/>
    <x v="49"/>
    <x v="963"/>
    <x v="12"/>
    <x v="77"/>
    <x v="0"/>
    <x v="963"/>
    <x v="963"/>
    <x v="162"/>
    <x v="0"/>
    <x v="154"/>
    <x v="1"/>
    <x v="616"/>
    <x v="0"/>
    <x v="297"/>
    <x v="1"/>
    <x v="747"/>
    <x v="819"/>
    <x v="524"/>
    <x v="762"/>
    <x v="827"/>
    <x v="154"/>
    <x v="827"/>
    <x v="0"/>
    <x v="1"/>
    <x v="0"/>
    <x v="827"/>
    <x v="0"/>
    <x v="528"/>
    <x v="2"/>
    <x v="4"/>
  </r>
  <r>
    <x v="963"/>
    <x v="2"/>
    <x v="2"/>
    <x v="0"/>
    <x v="1"/>
    <x v="148"/>
    <x v="1"/>
    <x v="0"/>
    <x v="0"/>
    <x v="0"/>
    <x v="0"/>
    <x v="0"/>
    <x v="0"/>
    <x v="35"/>
    <x v="964"/>
    <x v="12"/>
    <x v="76"/>
    <x v="0"/>
    <x v="964"/>
    <x v="964"/>
    <x v="0"/>
    <x v="0"/>
    <x v="0"/>
    <x v="1"/>
    <x v="71"/>
    <x v="0"/>
    <x v="365"/>
    <x v="1"/>
    <x v="730"/>
    <x v="792"/>
    <x v="1"/>
    <x v="742"/>
    <x v="827"/>
    <x v="0"/>
    <x v="827"/>
    <x v="0"/>
    <x v="1"/>
    <x v="0"/>
    <x v="827"/>
    <x v="1"/>
    <x v="0"/>
    <x v="2"/>
    <x v="4"/>
  </r>
  <r>
    <x v="964"/>
    <x v="1"/>
    <x v="2"/>
    <x v="1"/>
    <x v="1"/>
    <x v="2"/>
    <x v="0"/>
    <x v="0"/>
    <x v="0"/>
    <x v="0"/>
    <x v="0"/>
    <x v="0"/>
    <x v="0"/>
    <x v="48"/>
    <x v="965"/>
    <x v="15"/>
    <x v="45"/>
    <x v="0"/>
    <x v="965"/>
    <x v="965"/>
    <x v="97"/>
    <x v="0"/>
    <x v="98"/>
    <x v="1"/>
    <x v="71"/>
    <x v="0"/>
    <x v="372"/>
    <x v="1"/>
    <x v="748"/>
    <x v="820"/>
    <x v="628"/>
    <x v="757"/>
    <x v="828"/>
    <x v="98"/>
    <x v="828"/>
    <x v="0"/>
    <x v="1"/>
    <x v="0"/>
    <x v="828"/>
    <x v="1"/>
    <x v="516"/>
    <x v="2"/>
    <x v="4"/>
  </r>
  <r>
    <x v="965"/>
    <x v="2"/>
    <x v="0"/>
    <x v="3"/>
    <x v="1"/>
    <x v="57"/>
    <x v="1"/>
    <x v="0"/>
    <x v="0"/>
    <x v="0"/>
    <x v="0"/>
    <x v="0"/>
    <x v="0"/>
    <x v="24"/>
    <x v="966"/>
    <x v="12"/>
    <x v="59"/>
    <x v="0"/>
    <x v="966"/>
    <x v="966"/>
    <x v="0"/>
    <x v="0"/>
    <x v="0"/>
    <x v="1"/>
    <x v="609"/>
    <x v="0"/>
    <x v="0"/>
    <x v="1"/>
    <x v="727"/>
    <x v="821"/>
    <x v="1"/>
    <x v="739"/>
    <x v="828"/>
    <x v="0"/>
    <x v="828"/>
    <x v="0"/>
    <x v="1"/>
    <x v="0"/>
    <x v="828"/>
    <x v="1"/>
    <x v="0"/>
    <x v="2"/>
    <x v="4"/>
  </r>
  <r>
    <x v="966"/>
    <x v="1"/>
    <x v="2"/>
    <x v="1"/>
    <x v="1"/>
    <x v="2"/>
    <x v="0"/>
    <x v="0"/>
    <x v="0"/>
    <x v="0"/>
    <x v="0"/>
    <x v="0"/>
    <x v="0"/>
    <x v="38"/>
    <x v="967"/>
    <x v="5"/>
    <x v="31"/>
    <x v="0"/>
    <x v="967"/>
    <x v="967"/>
    <x v="0"/>
    <x v="0"/>
    <x v="0"/>
    <x v="1"/>
    <x v="609"/>
    <x v="0"/>
    <x v="0"/>
    <x v="1"/>
    <x v="727"/>
    <x v="821"/>
    <x v="1"/>
    <x v="739"/>
    <x v="828"/>
    <x v="0"/>
    <x v="828"/>
    <x v="0"/>
    <x v="1"/>
    <x v="0"/>
    <x v="828"/>
    <x v="1"/>
    <x v="0"/>
    <x v="2"/>
    <x v="4"/>
  </r>
  <r>
    <x v="967"/>
    <x v="1"/>
    <x v="2"/>
    <x v="1"/>
    <x v="1"/>
    <x v="2"/>
    <x v="0"/>
    <x v="0"/>
    <x v="0"/>
    <x v="0"/>
    <x v="0"/>
    <x v="0"/>
    <x v="0"/>
    <x v="18"/>
    <x v="968"/>
    <x v="5"/>
    <x v="58"/>
    <x v="0"/>
    <x v="968"/>
    <x v="968"/>
    <x v="97"/>
    <x v="0"/>
    <x v="98"/>
    <x v="1"/>
    <x v="90"/>
    <x v="0"/>
    <x v="402"/>
    <x v="1"/>
    <x v="747"/>
    <x v="819"/>
    <x v="628"/>
    <x v="762"/>
    <x v="829"/>
    <x v="98"/>
    <x v="829"/>
    <x v="0"/>
    <x v="1"/>
    <x v="0"/>
    <x v="829"/>
    <x v="1"/>
    <x v="529"/>
    <x v="2"/>
    <x v="4"/>
  </r>
  <r>
    <x v="968"/>
    <x v="2"/>
    <x v="2"/>
    <x v="0"/>
    <x v="1"/>
    <x v="187"/>
    <x v="1"/>
    <x v="0"/>
    <x v="0"/>
    <x v="0"/>
    <x v="0"/>
    <x v="0"/>
    <x v="0"/>
    <x v="51"/>
    <x v="969"/>
    <x v="8"/>
    <x v="52"/>
    <x v="0"/>
    <x v="969"/>
    <x v="969"/>
    <x v="0"/>
    <x v="0"/>
    <x v="0"/>
    <x v="1"/>
    <x v="482"/>
    <x v="0"/>
    <x v="0"/>
    <x v="1"/>
    <x v="744"/>
    <x v="822"/>
    <x v="1"/>
    <x v="758"/>
    <x v="829"/>
    <x v="0"/>
    <x v="829"/>
    <x v="0"/>
    <x v="1"/>
    <x v="0"/>
    <x v="829"/>
    <x v="1"/>
    <x v="0"/>
    <x v="2"/>
    <x v="4"/>
  </r>
  <r>
    <x v="969"/>
    <x v="1"/>
    <x v="2"/>
    <x v="1"/>
    <x v="1"/>
    <x v="2"/>
    <x v="0"/>
    <x v="0"/>
    <x v="0"/>
    <x v="0"/>
    <x v="0"/>
    <x v="0"/>
    <x v="0"/>
    <x v="52"/>
    <x v="970"/>
    <x v="15"/>
    <x v="45"/>
    <x v="0"/>
    <x v="970"/>
    <x v="970"/>
    <x v="0"/>
    <x v="0"/>
    <x v="0"/>
    <x v="1"/>
    <x v="71"/>
    <x v="270"/>
    <x v="394"/>
    <x v="417"/>
    <x v="747"/>
    <x v="822"/>
    <x v="628"/>
    <x v="762"/>
    <x v="829"/>
    <x v="0"/>
    <x v="829"/>
    <x v="0"/>
    <x v="1"/>
    <x v="0"/>
    <x v="829"/>
    <x v="1"/>
    <x v="0"/>
    <x v="2"/>
    <x v="4"/>
  </r>
  <r>
    <x v="970"/>
    <x v="1"/>
    <x v="2"/>
    <x v="1"/>
    <x v="1"/>
    <x v="2"/>
    <x v="0"/>
    <x v="0"/>
    <x v="0"/>
    <x v="0"/>
    <x v="0"/>
    <x v="0"/>
    <x v="0"/>
    <x v="53"/>
    <x v="971"/>
    <x v="15"/>
    <x v="45"/>
    <x v="0"/>
    <x v="971"/>
    <x v="971"/>
    <x v="0"/>
    <x v="0"/>
    <x v="0"/>
    <x v="1"/>
    <x v="71"/>
    <x v="282"/>
    <x v="355"/>
    <x v="591"/>
    <x v="740"/>
    <x v="822"/>
    <x v="472"/>
    <x v="756"/>
    <x v="829"/>
    <x v="0"/>
    <x v="829"/>
    <x v="0"/>
    <x v="1"/>
    <x v="0"/>
    <x v="829"/>
    <x v="0"/>
    <x v="0"/>
    <x v="2"/>
    <x v="4"/>
  </r>
  <r>
    <x v="971"/>
    <x v="1"/>
    <x v="2"/>
    <x v="1"/>
    <x v="1"/>
    <x v="2"/>
    <x v="0"/>
    <x v="0"/>
    <x v="0"/>
    <x v="0"/>
    <x v="0"/>
    <x v="0"/>
    <x v="0"/>
    <x v="57"/>
    <x v="972"/>
    <x v="15"/>
    <x v="45"/>
    <x v="0"/>
    <x v="972"/>
    <x v="972"/>
    <x v="0"/>
    <x v="0"/>
    <x v="0"/>
    <x v="1"/>
    <x v="71"/>
    <x v="283"/>
    <x v="271"/>
    <x v="592"/>
    <x v="743"/>
    <x v="822"/>
    <x v="448"/>
    <x v="753"/>
    <x v="829"/>
    <x v="0"/>
    <x v="829"/>
    <x v="0"/>
    <x v="1"/>
    <x v="0"/>
    <x v="829"/>
    <x v="0"/>
    <x v="0"/>
    <x v="2"/>
    <x v="4"/>
  </r>
  <r>
    <x v="972"/>
    <x v="1"/>
    <x v="2"/>
    <x v="1"/>
    <x v="1"/>
    <x v="2"/>
    <x v="0"/>
    <x v="0"/>
    <x v="0"/>
    <x v="0"/>
    <x v="0"/>
    <x v="0"/>
    <x v="0"/>
    <x v="47"/>
    <x v="973"/>
    <x v="15"/>
    <x v="45"/>
    <x v="0"/>
    <x v="973"/>
    <x v="973"/>
    <x v="0"/>
    <x v="0"/>
    <x v="0"/>
    <x v="1"/>
    <x v="71"/>
    <x v="282"/>
    <x v="368"/>
    <x v="591"/>
    <x v="746"/>
    <x v="819"/>
    <x v="472"/>
    <x v="761"/>
    <x v="830"/>
    <x v="0"/>
    <x v="830"/>
    <x v="0"/>
    <x v="1"/>
    <x v="0"/>
    <x v="830"/>
    <x v="0"/>
    <x v="0"/>
    <x v="2"/>
    <x v="4"/>
  </r>
  <r>
    <x v="973"/>
    <x v="1"/>
    <x v="2"/>
    <x v="1"/>
    <x v="1"/>
    <x v="2"/>
    <x v="0"/>
    <x v="0"/>
    <x v="0"/>
    <x v="0"/>
    <x v="0"/>
    <x v="0"/>
    <x v="0"/>
    <x v="41"/>
    <x v="974"/>
    <x v="20"/>
    <x v="83"/>
    <x v="0"/>
    <x v="974"/>
    <x v="974"/>
    <x v="0"/>
    <x v="0"/>
    <x v="0"/>
    <x v="1"/>
    <x v="411"/>
    <x v="0"/>
    <x v="0"/>
    <x v="1"/>
    <x v="747"/>
    <x v="819"/>
    <x v="1"/>
    <x v="762"/>
    <x v="830"/>
    <x v="0"/>
    <x v="830"/>
    <x v="0"/>
    <x v="1"/>
    <x v="0"/>
    <x v="830"/>
    <x v="1"/>
    <x v="0"/>
    <x v="2"/>
    <x v="4"/>
  </r>
  <r>
    <x v="974"/>
    <x v="1"/>
    <x v="2"/>
    <x v="1"/>
    <x v="1"/>
    <x v="2"/>
    <x v="0"/>
    <x v="0"/>
    <x v="0"/>
    <x v="0"/>
    <x v="0"/>
    <x v="0"/>
    <x v="0"/>
    <x v="51"/>
    <x v="975"/>
    <x v="15"/>
    <x v="45"/>
    <x v="0"/>
    <x v="975"/>
    <x v="975"/>
    <x v="0"/>
    <x v="0"/>
    <x v="0"/>
    <x v="1"/>
    <x v="71"/>
    <x v="270"/>
    <x v="355"/>
    <x v="417"/>
    <x v="740"/>
    <x v="816"/>
    <x v="628"/>
    <x v="756"/>
    <x v="831"/>
    <x v="0"/>
    <x v="831"/>
    <x v="0"/>
    <x v="1"/>
    <x v="0"/>
    <x v="831"/>
    <x v="1"/>
    <x v="0"/>
    <x v="2"/>
    <x v="4"/>
  </r>
  <r>
    <x v="975"/>
    <x v="1"/>
    <x v="0"/>
    <x v="1"/>
    <x v="1"/>
    <x v="188"/>
    <x v="0"/>
    <x v="0"/>
    <x v="0"/>
    <x v="0"/>
    <x v="0"/>
    <x v="0"/>
    <x v="0"/>
    <x v="9"/>
    <x v="976"/>
    <x v="6"/>
    <x v="29"/>
    <x v="1"/>
    <x v="976"/>
    <x v="976"/>
    <x v="0"/>
    <x v="0"/>
    <x v="0"/>
    <x v="1"/>
    <x v="621"/>
    <x v="0"/>
    <x v="0"/>
    <x v="1"/>
    <x v="740"/>
    <x v="809"/>
    <x v="1"/>
    <x v="756"/>
    <x v="832"/>
    <x v="0"/>
    <x v="832"/>
    <x v="0"/>
    <x v="1"/>
    <x v="0"/>
    <x v="832"/>
    <x v="1"/>
    <x v="0"/>
    <x v="2"/>
    <x v="4"/>
  </r>
  <r>
    <x v="976"/>
    <x v="1"/>
    <x v="2"/>
    <x v="1"/>
    <x v="1"/>
    <x v="2"/>
    <x v="0"/>
    <x v="0"/>
    <x v="0"/>
    <x v="0"/>
    <x v="0"/>
    <x v="0"/>
    <x v="0"/>
    <x v="14"/>
    <x v="977"/>
    <x v="15"/>
    <x v="45"/>
    <x v="0"/>
    <x v="977"/>
    <x v="977"/>
    <x v="0"/>
    <x v="0"/>
    <x v="0"/>
    <x v="1"/>
    <x v="71"/>
    <x v="270"/>
    <x v="368"/>
    <x v="417"/>
    <x v="746"/>
    <x v="809"/>
    <x v="628"/>
    <x v="761"/>
    <x v="832"/>
    <x v="0"/>
    <x v="832"/>
    <x v="0"/>
    <x v="1"/>
    <x v="0"/>
    <x v="832"/>
    <x v="1"/>
    <x v="0"/>
    <x v="2"/>
    <x v="4"/>
  </r>
  <r>
    <x v="977"/>
    <x v="1"/>
    <x v="2"/>
    <x v="1"/>
    <x v="1"/>
    <x v="2"/>
    <x v="0"/>
    <x v="0"/>
    <x v="0"/>
    <x v="0"/>
    <x v="0"/>
    <x v="0"/>
    <x v="0"/>
    <x v="54"/>
    <x v="978"/>
    <x v="15"/>
    <x v="45"/>
    <x v="0"/>
    <x v="978"/>
    <x v="978"/>
    <x v="0"/>
    <x v="0"/>
    <x v="0"/>
    <x v="1"/>
    <x v="71"/>
    <x v="0"/>
    <x v="355"/>
    <x v="1"/>
    <x v="740"/>
    <x v="809"/>
    <x v="1"/>
    <x v="756"/>
    <x v="832"/>
    <x v="0"/>
    <x v="832"/>
    <x v="0"/>
    <x v="1"/>
    <x v="0"/>
    <x v="832"/>
    <x v="1"/>
    <x v="0"/>
    <x v="2"/>
    <x v="4"/>
  </r>
  <r>
    <x v="978"/>
    <x v="1"/>
    <x v="2"/>
    <x v="1"/>
    <x v="1"/>
    <x v="2"/>
    <x v="0"/>
    <x v="0"/>
    <x v="0"/>
    <x v="0"/>
    <x v="0"/>
    <x v="0"/>
    <x v="0"/>
    <x v="45"/>
    <x v="979"/>
    <x v="15"/>
    <x v="45"/>
    <x v="0"/>
    <x v="979"/>
    <x v="979"/>
    <x v="0"/>
    <x v="0"/>
    <x v="0"/>
    <x v="1"/>
    <x v="71"/>
    <x v="274"/>
    <x v="398"/>
    <x v="578"/>
    <x v="749"/>
    <x v="809"/>
    <x v="360"/>
    <x v="763"/>
    <x v="832"/>
    <x v="0"/>
    <x v="832"/>
    <x v="0"/>
    <x v="1"/>
    <x v="0"/>
    <x v="832"/>
    <x v="0"/>
    <x v="0"/>
    <x v="2"/>
    <x v="4"/>
  </r>
  <r>
    <x v="979"/>
    <x v="0"/>
    <x v="2"/>
    <x v="0"/>
    <x v="1"/>
    <x v="2"/>
    <x v="0"/>
    <x v="0"/>
    <x v="0"/>
    <x v="0"/>
    <x v="0"/>
    <x v="0"/>
    <x v="0"/>
    <x v="37"/>
    <x v="980"/>
    <x v="7"/>
    <x v="16"/>
    <x v="0"/>
    <x v="980"/>
    <x v="980"/>
    <x v="0"/>
    <x v="0"/>
    <x v="0"/>
    <x v="1"/>
    <x v="621"/>
    <x v="0"/>
    <x v="0"/>
    <x v="1"/>
    <x v="740"/>
    <x v="809"/>
    <x v="1"/>
    <x v="756"/>
    <x v="832"/>
    <x v="0"/>
    <x v="832"/>
    <x v="0"/>
    <x v="1"/>
    <x v="0"/>
    <x v="832"/>
    <x v="1"/>
    <x v="0"/>
    <x v="2"/>
    <x v="4"/>
  </r>
  <r>
    <x v="980"/>
    <x v="0"/>
    <x v="0"/>
    <x v="0"/>
    <x v="1"/>
    <x v="189"/>
    <x v="0"/>
    <x v="0"/>
    <x v="0"/>
    <x v="0"/>
    <x v="0"/>
    <x v="0"/>
    <x v="0"/>
    <x v="10"/>
    <x v="981"/>
    <x v="7"/>
    <x v="11"/>
    <x v="0"/>
    <x v="981"/>
    <x v="981"/>
    <x v="0"/>
    <x v="0"/>
    <x v="0"/>
    <x v="1"/>
    <x v="621"/>
    <x v="0"/>
    <x v="0"/>
    <x v="1"/>
    <x v="740"/>
    <x v="809"/>
    <x v="1"/>
    <x v="756"/>
    <x v="832"/>
    <x v="0"/>
    <x v="832"/>
    <x v="0"/>
    <x v="1"/>
    <x v="0"/>
    <x v="832"/>
    <x v="1"/>
    <x v="0"/>
    <x v="2"/>
    <x v="4"/>
  </r>
  <r>
    <x v="981"/>
    <x v="0"/>
    <x v="0"/>
    <x v="0"/>
    <x v="1"/>
    <x v="189"/>
    <x v="0"/>
    <x v="0"/>
    <x v="0"/>
    <x v="0"/>
    <x v="0"/>
    <x v="0"/>
    <x v="0"/>
    <x v="17"/>
    <x v="982"/>
    <x v="9"/>
    <x v="22"/>
    <x v="0"/>
    <x v="982"/>
    <x v="982"/>
    <x v="0"/>
    <x v="0"/>
    <x v="0"/>
    <x v="1"/>
    <x v="90"/>
    <x v="0"/>
    <x v="0"/>
    <x v="1"/>
    <x v="746"/>
    <x v="823"/>
    <x v="1"/>
    <x v="761"/>
    <x v="833"/>
    <x v="0"/>
    <x v="833"/>
    <x v="0"/>
    <x v="1"/>
    <x v="0"/>
    <x v="833"/>
    <x v="1"/>
    <x v="0"/>
    <x v="2"/>
    <x v="4"/>
  </r>
  <r>
    <x v="982"/>
    <x v="2"/>
    <x v="2"/>
    <x v="0"/>
    <x v="1"/>
    <x v="148"/>
    <x v="1"/>
    <x v="0"/>
    <x v="0"/>
    <x v="0"/>
    <x v="0"/>
    <x v="0"/>
    <x v="0"/>
    <x v="49"/>
    <x v="983"/>
    <x v="12"/>
    <x v="77"/>
    <x v="0"/>
    <x v="983"/>
    <x v="983"/>
    <x v="0"/>
    <x v="0"/>
    <x v="0"/>
    <x v="1"/>
    <x v="505"/>
    <x v="0"/>
    <x v="0"/>
    <x v="1"/>
    <x v="723"/>
    <x v="781"/>
    <x v="1"/>
    <x v="764"/>
    <x v="834"/>
    <x v="0"/>
    <x v="834"/>
    <x v="0"/>
    <x v="1"/>
    <x v="0"/>
    <x v="834"/>
    <x v="1"/>
    <x v="0"/>
    <x v="2"/>
    <x v="4"/>
  </r>
  <r>
    <x v="983"/>
    <x v="1"/>
    <x v="2"/>
    <x v="1"/>
    <x v="1"/>
    <x v="2"/>
    <x v="0"/>
    <x v="0"/>
    <x v="0"/>
    <x v="0"/>
    <x v="0"/>
    <x v="0"/>
    <x v="0"/>
    <x v="3"/>
    <x v="984"/>
    <x v="15"/>
    <x v="45"/>
    <x v="0"/>
    <x v="984"/>
    <x v="984"/>
    <x v="0"/>
    <x v="0"/>
    <x v="0"/>
    <x v="1"/>
    <x v="71"/>
    <x v="0"/>
    <x v="297"/>
    <x v="1"/>
    <x v="723"/>
    <x v="781"/>
    <x v="1"/>
    <x v="764"/>
    <x v="834"/>
    <x v="0"/>
    <x v="834"/>
    <x v="0"/>
    <x v="1"/>
    <x v="0"/>
    <x v="834"/>
    <x v="1"/>
    <x v="0"/>
    <x v="2"/>
    <x v="4"/>
  </r>
  <r>
    <x v="984"/>
    <x v="0"/>
    <x v="2"/>
    <x v="0"/>
    <x v="1"/>
    <x v="2"/>
    <x v="0"/>
    <x v="0"/>
    <x v="0"/>
    <x v="0"/>
    <x v="0"/>
    <x v="0"/>
    <x v="0"/>
    <x v="10"/>
    <x v="985"/>
    <x v="7"/>
    <x v="11"/>
    <x v="0"/>
    <x v="985"/>
    <x v="985"/>
    <x v="0"/>
    <x v="0"/>
    <x v="0"/>
    <x v="1"/>
    <x v="505"/>
    <x v="0"/>
    <x v="0"/>
    <x v="1"/>
    <x v="723"/>
    <x v="781"/>
    <x v="1"/>
    <x v="764"/>
    <x v="834"/>
    <x v="0"/>
    <x v="834"/>
    <x v="0"/>
    <x v="1"/>
    <x v="0"/>
    <x v="834"/>
    <x v="1"/>
    <x v="0"/>
    <x v="2"/>
    <x v="4"/>
  </r>
  <r>
    <x v="985"/>
    <x v="2"/>
    <x v="2"/>
    <x v="0"/>
    <x v="1"/>
    <x v="148"/>
    <x v="1"/>
    <x v="0"/>
    <x v="0"/>
    <x v="0"/>
    <x v="0"/>
    <x v="0"/>
    <x v="0"/>
    <x v="10"/>
    <x v="986"/>
    <x v="12"/>
    <x v="32"/>
    <x v="0"/>
    <x v="986"/>
    <x v="986"/>
    <x v="0"/>
    <x v="0"/>
    <x v="0"/>
    <x v="1"/>
    <x v="505"/>
    <x v="0"/>
    <x v="0"/>
    <x v="1"/>
    <x v="723"/>
    <x v="781"/>
    <x v="1"/>
    <x v="764"/>
    <x v="834"/>
    <x v="0"/>
    <x v="834"/>
    <x v="0"/>
    <x v="1"/>
    <x v="0"/>
    <x v="834"/>
    <x v="1"/>
    <x v="0"/>
    <x v="2"/>
    <x v="4"/>
  </r>
  <r>
    <x v="986"/>
    <x v="2"/>
    <x v="0"/>
    <x v="0"/>
    <x v="1"/>
    <x v="139"/>
    <x v="1"/>
    <x v="0"/>
    <x v="0"/>
    <x v="0"/>
    <x v="0"/>
    <x v="0"/>
    <x v="0"/>
    <x v="7"/>
    <x v="987"/>
    <x v="12"/>
    <x v="59"/>
    <x v="0"/>
    <x v="987"/>
    <x v="987"/>
    <x v="0"/>
    <x v="0"/>
    <x v="0"/>
    <x v="1"/>
    <x v="575"/>
    <x v="0"/>
    <x v="254"/>
    <x v="1"/>
    <x v="750"/>
    <x v="824"/>
    <x v="1"/>
    <x v="765"/>
    <x v="835"/>
    <x v="0"/>
    <x v="835"/>
    <x v="0"/>
    <x v="1"/>
    <x v="0"/>
    <x v="835"/>
    <x v="1"/>
    <x v="0"/>
    <x v="2"/>
    <x v="4"/>
  </r>
  <r>
    <x v="987"/>
    <x v="1"/>
    <x v="0"/>
    <x v="1"/>
    <x v="1"/>
    <x v="190"/>
    <x v="0"/>
    <x v="0"/>
    <x v="0"/>
    <x v="0"/>
    <x v="0"/>
    <x v="0"/>
    <x v="0"/>
    <x v="4"/>
    <x v="988"/>
    <x v="10"/>
    <x v="39"/>
    <x v="0"/>
    <x v="988"/>
    <x v="988"/>
    <x v="0"/>
    <x v="0"/>
    <x v="0"/>
    <x v="1"/>
    <x v="71"/>
    <x v="0"/>
    <x v="180"/>
    <x v="1"/>
    <x v="750"/>
    <x v="824"/>
    <x v="1"/>
    <x v="765"/>
    <x v="835"/>
    <x v="0"/>
    <x v="835"/>
    <x v="0"/>
    <x v="1"/>
    <x v="0"/>
    <x v="835"/>
    <x v="1"/>
    <x v="0"/>
    <x v="2"/>
    <x v="4"/>
  </r>
  <r>
    <x v="988"/>
    <x v="2"/>
    <x v="0"/>
    <x v="0"/>
    <x v="1"/>
    <x v="191"/>
    <x v="1"/>
    <x v="0"/>
    <x v="0"/>
    <x v="0"/>
    <x v="0"/>
    <x v="0"/>
    <x v="0"/>
    <x v="35"/>
    <x v="989"/>
    <x v="12"/>
    <x v="76"/>
    <x v="0"/>
    <x v="989"/>
    <x v="989"/>
    <x v="0"/>
    <x v="0"/>
    <x v="0"/>
    <x v="1"/>
    <x v="71"/>
    <x v="0"/>
    <x v="403"/>
    <x v="1"/>
    <x v="751"/>
    <x v="825"/>
    <x v="1"/>
    <x v="766"/>
    <x v="836"/>
    <x v="0"/>
    <x v="836"/>
    <x v="0"/>
    <x v="1"/>
    <x v="0"/>
    <x v="836"/>
    <x v="1"/>
    <x v="0"/>
    <x v="2"/>
    <x v="4"/>
  </r>
  <r>
    <x v="989"/>
    <x v="0"/>
    <x v="2"/>
    <x v="0"/>
    <x v="1"/>
    <x v="2"/>
    <x v="0"/>
    <x v="0"/>
    <x v="0"/>
    <x v="0"/>
    <x v="0"/>
    <x v="0"/>
    <x v="0"/>
    <x v="37"/>
    <x v="990"/>
    <x v="7"/>
    <x v="27"/>
    <x v="0"/>
    <x v="990"/>
    <x v="990"/>
    <x v="0"/>
    <x v="0"/>
    <x v="0"/>
    <x v="1"/>
    <x v="611"/>
    <x v="0"/>
    <x v="0"/>
    <x v="1"/>
    <x v="751"/>
    <x v="825"/>
    <x v="1"/>
    <x v="766"/>
    <x v="836"/>
    <x v="0"/>
    <x v="836"/>
    <x v="0"/>
    <x v="1"/>
    <x v="0"/>
    <x v="836"/>
    <x v="1"/>
    <x v="0"/>
    <x v="2"/>
    <x v="4"/>
  </r>
  <r>
    <x v="990"/>
    <x v="2"/>
    <x v="2"/>
    <x v="0"/>
    <x v="1"/>
    <x v="187"/>
    <x v="1"/>
    <x v="0"/>
    <x v="0"/>
    <x v="0"/>
    <x v="0"/>
    <x v="0"/>
    <x v="0"/>
    <x v="51"/>
    <x v="991"/>
    <x v="8"/>
    <x v="52"/>
    <x v="0"/>
    <x v="991"/>
    <x v="991"/>
    <x v="0"/>
    <x v="0"/>
    <x v="0"/>
    <x v="1"/>
    <x v="611"/>
    <x v="0"/>
    <x v="0"/>
    <x v="1"/>
    <x v="751"/>
    <x v="825"/>
    <x v="1"/>
    <x v="766"/>
    <x v="836"/>
    <x v="0"/>
    <x v="836"/>
    <x v="0"/>
    <x v="1"/>
    <x v="0"/>
    <x v="836"/>
    <x v="1"/>
    <x v="0"/>
    <x v="2"/>
    <x v="4"/>
  </r>
  <r>
    <x v="991"/>
    <x v="1"/>
    <x v="2"/>
    <x v="1"/>
    <x v="1"/>
    <x v="2"/>
    <x v="0"/>
    <x v="0"/>
    <x v="0"/>
    <x v="0"/>
    <x v="0"/>
    <x v="0"/>
    <x v="0"/>
    <x v="18"/>
    <x v="992"/>
    <x v="5"/>
    <x v="58"/>
    <x v="0"/>
    <x v="992"/>
    <x v="992"/>
    <x v="0"/>
    <x v="0"/>
    <x v="0"/>
    <x v="1"/>
    <x v="575"/>
    <x v="0"/>
    <x v="315"/>
    <x v="1"/>
    <x v="749"/>
    <x v="826"/>
    <x v="1"/>
    <x v="763"/>
    <x v="837"/>
    <x v="0"/>
    <x v="837"/>
    <x v="0"/>
    <x v="1"/>
    <x v="0"/>
    <x v="837"/>
    <x v="1"/>
    <x v="0"/>
    <x v="2"/>
    <x v="4"/>
  </r>
  <r>
    <x v="992"/>
    <x v="0"/>
    <x v="2"/>
    <x v="0"/>
    <x v="1"/>
    <x v="2"/>
    <x v="0"/>
    <x v="0"/>
    <x v="0"/>
    <x v="0"/>
    <x v="0"/>
    <x v="0"/>
    <x v="0"/>
    <x v="37"/>
    <x v="993"/>
    <x v="7"/>
    <x v="16"/>
    <x v="0"/>
    <x v="993"/>
    <x v="993"/>
    <x v="0"/>
    <x v="0"/>
    <x v="0"/>
    <x v="1"/>
    <x v="575"/>
    <x v="0"/>
    <x v="0"/>
    <x v="1"/>
    <x v="752"/>
    <x v="827"/>
    <x v="1"/>
    <x v="767"/>
    <x v="838"/>
    <x v="0"/>
    <x v="838"/>
    <x v="0"/>
    <x v="1"/>
    <x v="0"/>
    <x v="838"/>
    <x v="1"/>
    <x v="0"/>
    <x v="2"/>
    <x v="4"/>
  </r>
  <r>
    <x v="993"/>
    <x v="1"/>
    <x v="2"/>
    <x v="1"/>
    <x v="1"/>
    <x v="2"/>
    <x v="0"/>
    <x v="0"/>
    <x v="0"/>
    <x v="0"/>
    <x v="0"/>
    <x v="0"/>
    <x v="0"/>
    <x v="4"/>
    <x v="994"/>
    <x v="10"/>
    <x v="39"/>
    <x v="0"/>
    <x v="994"/>
    <x v="994"/>
    <x v="162"/>
    <x v="152"/>
    <x v="212"/>
    <x v="1"/>
    <x v="71"/>
    <x v="0"/>
    <x v="0"/>
    <x v="1"/>
    <x v="362"/>
    <x v="774"/>
    <x v="524"/>
    <x v="768"/>
    <x v="839"/>
    <x v="212"/>
    <x v="839"/>
    <x v="0"/>
    <x v="1"/>
    <x v="0"/>
    <x v="839"/>
    <x v="0"/>
    <x v="129"/>
    <x v="2"/>
    <x v="4"/>
  </r>
  <r>
    <x v="994"/>
    <x v="1"/>
    <x v="2"/>
    <x v="1"/>
    <x v="1"/>
    <x v="192"/>
    <x v="0"/>
    <x v="1"/>
    <x v="0"/>
    <x v="0"/>
    <x v="0"/>
    <x v="0"/>
    <x v="0"/>
    <x v="6"/>
    <x v="995"/>
    <x v="5"/>
    <x v="58"/>
    <x v="0"/>
    <x v="995"/>
    <x v="995"/>
    <x v="0"/>
    <x v="0"/>
    <x v="0"/>
    <x v="1"/>
    <x v="598"/>
    <x v="0"/>
    <x v="0"/>
    <x v="1"/>
    <x v="753"/>
    <x v="828"/>
    <x v="1"/>
    <x v="769"/>
    <x v="839"/>
    <x v="0"/>
    <x v="839"/>
    <x v="0"/>
    <x v="1"/>
    <x v="0"/>
    <x v="839"/>
    <x v="1"/>
    <x v="0"/>
    <x v="2"/>
    <x v="4"/>
  </r>
  <r>
    <x v="995"/>
    <x v="2"/>
    <x v="1"/>
    <x v="0"/>
    <x v="1"/>
    <x v="139"/>
    <x v="1"/>
    <x v="0"/>
    <x v="0"/>
    <x v="0"/>
    <x v="0"/>
    <x v="0"/>
    <x v="0"/>
    <x v="7"/>
    <x v="996"/>
    <x v="12"/>
    <x v="59"/>
    <x v="0"/>
    <x v="996"/>
    <x v="996"/>
    <x v="0"/>
    <x v="0"/>
    <x v="0"/>
    <x v="1"/>
    <x v="447"/>
    <x v="0"/>
    <x v="0"/>
    <x v="1"/>
    <x v="754"/>
    <x v="829"/>
    <x v="1"/>
    <x v="770"/>
    <x v="840"/>
    <x v="0"/>
    <x v="840"/>
    <x v="0"/>
    <x v="1"/>
    <x v="0"/>
    <x v="840"/>
    <x v="1"/>
    <x v="0"/>
    <x v="2"/>
    <x v="4"/>
  </r>
  <r>
    <x v="996"/>
    <x v="0"/>
    <x v="2"/>
    <x v="0"/>
    <x v="1"/>
    <x v="2"/>
    <x v="0"/>
    <x v="0"/>
    <x v="0"/>
    <x v="0"/>
    <x v="0"/>
    <x v="0"/>
    <x v="0"/>
    <x v="10"/>
    <x v="997"/>
    <x v="7"/>
    <x v="11"/>
    <x v="0"/>
    <x v="997"/>
    <x v="997"/>
    <x v="0"/>
    <x v="0"/>
    <x v="0"/>
    <x v="1"/>
    <x v="447"/>
    <x v="0"/>
    <x v="0"/>
    <x v="1"/>
    <x v="754"/>
    <x v="829"/>
    <x v="1"/>
    <x v="770"/>
    <x v="840"/>
    <x v="0"/>
    <x v="840"/>
    <x v="0"/>
    <x v="1"/>
    <x v="0"/>
    <x v="840"/>
    <x v="1"/>
    <x v="0"/>
    <x v="2"/>
    <x v="4"/>
  </r>
  <r>
    <x v="997"/>
    <x v="0"/>
    <x v="0"/>
    <x v="0"/>
    <x v="1"/>
    <x v="180"/>
    <x v="0"/>
    <x v="0"/>
    <x v="0"/>
    <x v="0"/>
    <x v="0"/>
    <x v="0"/>
    <x v="0"/>
    <x v="37"/>
    <x v="998"/>
    <x v="9"/>
    <x v="69"/>
    <x v="0"/>
    <x v="998"/>
    <x v="998"/>
    <x v="0"/>
    <x v="0"/>
    <x v="0"/>
    <x v="1"/>
    <x v="602"/>
    <x v="0"/>
    <x v="0"/>
    <x v="1"/>
    <x v="755"/>
    <x v="830"/>
    <x v="1"/>
    <x v="771"/>
    <x v="841"/>
    <x v="0"/>
    <x v="841"/>
    <x v="0"/>
    <x v="1"/>
    <x v="0"/>
    <x v="841"/>
    <x v="1"/>
    <x v="0"/>
    <x v="2"/>
    <x v="4"/>
  </r>
  <r>
    <x v="998"/>
    <x v="2"/>
    <x v="2"/>
    <x v="0"/>
    <x v="1"/>
    <x v="148"/>
    <x v="1"/>
    <x v="0"/>
    <x v="0"/>
    <x v="0"/>
    <x v="0"/>
    <x v="0"/>
    <x v="0"/>
    <x v="24"/>
    <x v="999"/>
    <x v="12"/>
    <x v="59"/>
    <x v="0"/>
    <x v="999"/>
    <x v="999"/>
    <x v="0"/>
    <x v="0"/>
    <x v="0"/>
    <x v="1"/>
    <x v="602"/>
    <x v="0"/>
    <x v="0"/>
    <x v="1"/>
    <x v="755"/>
    <x v="830"/>
    <x v="1"/>
    <x v="771"/>
    <x v="841"/>
    <x v="0"/>
    <x v="841"/>
    <x v="0"/>
    <x v="1"/>
    <x v="0"/>
    <x v="841"/>
    <x v="1"/>
    <x v="0"/>
    <x v="2"/>
    <x v="4"/>
  </r>
  <r>
    <x v="999"/>
    <x v="0"/>
    <x v="0"/>
    <x v="0"/>
    <x v="1"/>
    <x v="193"/>
    <x v="0"/>
    <x v="0"/>
    <x v="0"/>
    <x v="0"/>
    <x v="0"/>
    <x v="0"/>
    <x v="0"/>
    <x v="9"/>
    <x v="1000"/>
    <x v="0"/>
    <x v="0"/>
    <x v="0"/>
    <x v="1000"/>
    <x v="1000"/>
    <x v="0"/>
    <x v="0"/>
    <x v="0"/>
    <x v="1"/>
    <x v="622"/>
    <x v="0"/>
    <x v="0"/>
    <x v="1"/>
    <x v="756"/>
    <x v="831"/>
    <x v="1"/>
    <x v="768"/>
    <x v="842"/>
    <x v="0"/>
    <x v="842"/>
    <x v="0"/>
    <x v="1"/>
    <x v="0"/>
    <x v="842"/>
    <x v="1"/>
    <x v="0"/>
    <x v="2"/>
    <x v="4"/>
  </r>
  <r>
    <x v="1000"/>
    <x v="0"/>
    <x v="2"/>
    <x v="0"/>
    <x v="1"/>
    <x v="2"/>
    <x v="0"/>
    <x v="0"/>
    <x v="0"/>
    <x v="0"/>
    <x v="0"/>
    <x v="0"/>
    <x v="0"/>
    <x v="41"/>
    <x v="1001"/>
    <x v="2"/>
    <x v="53"/>
    <x v="0"/>
    <x v="1001"/>
    <x v="1001"/>
    <x v="0"/>
    <x v="0"/>
    <x v="0"/>
    <x v="1"/>
    <x v="622"/>
    <x v="0"/>
    <x v="0"/>
    <x v="1"/>
    <x v="756"/>
    <x v="831"/>
    <x v="1"/>
    <x v="768"/>
    <x v="842"/>
    <x v="0"/>
    <x v="842"/>
    <x v="0"/>
    <x v="1"/>
    <x v="0"/>
    <x v="842"/>
    <x v="1"/>
    <x v="0"/>
    <x v="2"/>
    <x v="4"/>
  </r>
  <r>
    <x v="1001"/>
    <x v="1"/>
    <x v="2"/>
    <x v="1"/>
    <x v="1"/>
    <x v="2"/>
    <x v="0"/>
    <x v="0"/>
    <x v="0"/>
    <x v="0"/>
    <x v="4"/>
    <x v="0"/>
    <x v="0"/>
    <x v="42"/>
    <x v="1002"/>
    <x v="5"/>
    <x v="24"/>
    <x v="1"/>
    <x v="1002"/>
    <x v="1002"/>
    <x v="0"/>
    <x v="0"/>
    <x v="0"/>
    <x v="470"/>
    <x v="623"/>
    <x v="0"/>
    <x v="0"/>
    <x v="593"/>
    <x v="757"/>
    <x v="832"/>
    <x v="1"/>
    <x v="366"/>
    <x v="843"/>
    <x v="0"/>
    <x v="843"/>
    <x v="0"/>
    <x v="1"/>
    <x v="0"/>
    <x v="843"/>
    <x v="0"/>
    <x v="0"/>
    <x v="2"/>
    <x v="5"/>
  </r>
  <r>
    <x v="1002"/>
    <x v="3"/>
    <x v="2"/>
    <x v="0"/>
    <x v="1"/>
    <x v="194"/>
    <x v="0"/>
    <x v="0"/>
    <x v="0"/>
    <x v="0"/>
    <x v="5"/>
    <x v="0"/>
    <x v="0"/>
    <x v="21"/>
    <x v="1003"/>
    <x v="11"/>
    <x v="33"/>
    <x v="0"/>
    <x v="1003"/>
    <x v="1003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03"/>
    <x v="1"/>
    <x v="0"/>
    <x v="0"/>
    <x v="1"/>
    <x v="2"/>
    <x v="0"/>
    <x v="0"/>
    <x v="0"/>
    <x v="0"/>
    <x v="6"/>
    <x v="0"/>
    <x v="0"/>
    <x v="16"/>
    <x v="1004"/>
    <x v="10"/>
    <x v="21"/>
    <x v="2"/>
    <x v="1004"/>
    <x v="1004"/>
    <x v="114"/>
    <x v="138"/>
    <x v="154"/>
    <x v="1"/>
    <x v="591"/>
    <x v="0"/>
    <x v="387"/>
    <x v="1"/>
    <x v="618"/>
    <x v="735"/>
    <x v="1"/>
    <x v="366"/>
    <x v="740"/>
    <x v="154"/>
    <x v="740"/>
    <x v="0"/>
    <x v="1"/>
    <x v="0"/>
    <x v="740"/>
    <x v="0"/>
    <x v="467"/>
    <x v="2"/>
    <x v="5"/>
  </r>
  <r>
    <x v="1004"/>
    <x v="1"/>
    <x v="2"/>
    <x v="1"/>
    <x v="1"/>
    <x v="195"/>
    <x v="0"/>
    <x v="0"/>
    <x v="0"/>
    <x v="0"/>
    <x v="0"/>
    <x v="0"/>
    <x v="0"/>
    <x v="16"/>
    <x v="1005"/>
    <x v="10"/>
    <x v="21"/>
    <x v="2"/>
    <x v="1005"/>
    <x v="1005"/>
    <x v="186"/>
    <x v="146"/>
    <x v="89"/>
    <x v="247"/>
    <x v="624"/>
    <x v="284"/>
    <x v="404"/>
    <x v="594"/>
    <x v="758"/>
    <x v="833"/>
    <x v="1"/>
    <x v="366"/>
    <x v="845"/>
    <x v="89"/>
    <x v="845"/>
    <x v="0"/>
    <x v="1"/>
    <x v="0"/>
    <x v="845"/>
    <x v="0"/>
    <x v="531"/>
    <x v="2"/>
    <x v="5"/>
  </r>
  <r>
    <x v="1005"/>
    <x v="1"/>
    <x v="2"/>
    <x v="1"/>
    <x v="1"/>
    <x v="196"/>
    <x v="0"/>
    <x v="0"/>
    <x v="0"/>
    <x v="0"/>
    <x v="0"/>
    <x v="0"/>
    <x v="0"/>
    <x v="6"/>
    <x v="1006"/>
    <x v="5"/>
    <x v="31"/>
    <x v="0"/>
    <x v="1006"/>
    <x v="1006"/>
    <x v="0"/>
    <x v="0"/>
    <x v="0"/>
    <x v="471"/>
    <x v="564"/>
    <x v="0"/>
    <x v="0"/>
    <x v="595"/>
    <x v="657"/>
    <x v="834"/>
    <x v="1"/>
    <x v="366"/>
    <x v="846"/>
    <x v="0"/>
    <x v="846"/>
    <x v="0"/>
    <x v="1"/>
    <x v="0"/>
    <x v="846"/>
    <x v="0"/>
    <x v="0"/>
    <x v="2"/>
    <x v="5"/>
  </r>
  <r>
    <x v="1006"/>
    <x v="0"/>
    <x v="2"/>
    <x v="0"/>
    <x v="1"/>
    <x v="2"/>
    <x v="0"/>
    <x v="0"/>
    <x v="0"/>
    <x v="0"/>
    <x v="0"/>
    <x v="0"/>
    <x v="0"/>
    <x v="21"/>
    <x v="1007"/>
    <x v="11"/>
    <x v="33"/>
    <x v="0"/>
    <x v="1007"/>
    <x v="1007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07"/>
    <x v="1"/>
    <x v="2"/>
    <x v="1"/>
    <x v="1"/>
    <x v="197"/>
    <x v="0"/>
    <x v="0"/>
    <x v="0"/>
    <x v="0"/>
    <x v="7"/>
    <x v="0"/>
    <x v="0"/>
    <x v="6"/>
    <x v="1008"/>
    <x v="5"/>
    <x v="7"/>
    <x v="0"/>
    <x v="1008"/>
    <x v="1008"/>
    <x v="0"/>
    <x v="0"/>
    <x v="0"/>
    <x v="472"/>
    <x v="622"/>
    <x v="0"/>
    <x v="0"/>
    <x v="596"/>
    <x v="756"/>
    <x v="818"/>
    <x v="1"/>
    <x v="366"/>
    <x v="826"/>
    <x v="0"/>
    <x v="826"/>
    <x v="0"/>
    <x v="1"/>
    <x v="0"/>
    <x v="826"/>
    <x v="0"/>
    <x v="0"/>
    <x v="2"/>
    <x v="5"/>
  </r>
  <r>
    <x v="1008"/>
    <x v="3"/>
    <x v="5"/>
    <x v="1"/>
    <x v="1"/>
    <x v="33"/>
    <x v="0"/>
    <x v="0"/>
    <x v="0"/>
    <x v="0"/>
    <x v="5"/>
    <x v="0"/>
    <x v="0"/>
    <x v="6"/>
    <x v="1009"/>
    <x v="5"/>
    <x v="84"/>
    <x v="0"/>
    <x v="1009"/>
    <x v="1009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09"/>
    <x v="0"/>
    <x v="2"/>
    <x v="2"/>
    <x v="75"/>
    <x v="2"/>
    <x v="0"/>
    <x v="0"/>
    <x v="0"/>
    <x v="0"/>
    <x v="8"/>
    <x v="0"/>
    <x v="0"/>
    <x v="15"/>
    <x v="1010"/>
    <x v="0"/>
    <x v="18"/>
    <x v="1"/>
    <x v="1010"/>
    <x v="1010"/>
    <x v="0"/>
    <x v="0"/>
    <x v="0"/>
    <x v="473"/>
    <x v="625"/>
    <x v="0"/>
    <x v="0"/>
    <x v="597"/>
    <x v="759"/>
    <x v="835"/>
    <x v="1"/>
    <x v="366"/>
    <x v="847"/>
    <x v="0"/>
    <x v="847"/>
    <x v="0"/>
    <x v="1"/>
    <x v="0"/>
    <x v="847"/>
    <x v="0"/>
    <x v="0"/>
    <x v="2"/>
    <x v="5"/>
  </r>
  <r>
    <x v="1010"/>
    <x v="1"/>
    <x v="2"/>
    <x v="1"/>
    <x v="1"/>
    <x v="2"/>
    <x v="0"/>
    <x v="0"/>
    <x v="0"/>
    <x v="0"/>
    <x v="9"/>
    <x v="0"/>
    <x v="0"/>
    <x v="9"/>
    <x v="1011"/>
    <x v="1"/>
    <x v="10"/>
    <x v="0"/>
    <x v="1011"/>
    <x v="1011"/>
    <x v="0"/>
    <x v="0"/>
    <x v="0"/>
    <x v="474"/>
    <x v="626"/>
    <x v="0"/>
    <x v="0"/>
    <x v="598"/>
    <x v="760"/>
    <x v="836"/>
    <x v="1"/>
    <x v="366"/>
    <x v="848"/>
    <x v="0"/>
    <x v="848"/>
    <x v="0"/>
    <x v="1"/>
    <x v="0"/>
    <x v="848"/>
    <x v="0"/>
    <x v="0"/>
    <x v="2"/>
    <x v="5"/>
  </r>
  <r>
    <x v="1011"/>
    <x v="3"/>
    <x v="0"/>
    <x v="1"/>
    <x v="1"/>
    <x v="2"/>
    <x v="0"/>
    <x v="0"/>
    <x v="0"/>
    <x v="0"/>
    <x v="0"/>
    <x v="0"/>
    <x v="0"/>
    <x v="25"/>
    <x v="1012"/>
    <x v="5"/>
    <x v="19"/>
    <x v="2"/>
    <x v="1012"/>
    <x v="1012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12"/>
    <x v="0"/>
    <x v="2"/>
    <x v="0"/>
    <x v="1"/>
    <x v="2"/>
    <x v="0"/>
    <x v="0"/>
    <x v="0"/>
    <x v="0"/>
    <x v="10"/>
    <x v="0"/>
    <x v="0"/>
    <x v="8"/>
    <x v="1013"/>
    <x v="7"/>
    <x v="9"/>
    <x v="0"/>
    <x v="1013"/>
    <x v="1013"/>
    <x v="0"/>
    <x v="0"/>
    <x v="0"/>
    <x v="475"/>
    <x v="531"/>
    <x v="0"/>
    <x v="0"/>
    <x v="599"/>
    <x v="761"/>
    <x v="837"/>
    <x v="1"/>
    <x v="366"/>
    <x v="702"/>
    <x v="0"/>
    <x v="702"/>
    <x v="0"/>
    <x v="1"/>
    <x v="0"/>
    <x v="702"/>
    <x v="0"/>
    <x v="0"/>
    <x v="2"/>
    <x v="5"/>
  </r>
  <r>
    <x v="1013"/>
    <x v="0"/>
    <x v="2"/>
    <x v="0"/>
    <x v="1"/>
    <x v="2"/>
    <x v="0"/>
    <x v="0"/>
    <x v="0"/>
    <x v="0"/>
    <x v="0"/>
    <x v="0"/>
    <x v="0"/>
    <x v="4"/>
    <x v="1014"/>
    <x v="11"/>
    <x v="33"/>
    <x v="0"/>
    <x v="1014"/>
    <x v="1014"/>
    <x v="242"/>
    <x v="231"/>
    <x v="162"/>
    <x v="476"/>
    <x v="525"/>
    <x v="285"/>
    <x v="405"/>
    <x v="600"/>
    <x v="762"/>
    <x v="838"/>
    <x v="1"/>
    <x v="366"/>
    <x v="849"/>
    <x v="162"/>
    <x v="849"/>
    <x v="0"/>
    <x v="1"/>
    <x v="0"/>
    <x v="849"/>
    <x v="0"/>
    <x v="532"/>
    <x v="2"/>
    <x v="5"/>
  </r>
  <r>
    <x v="1014"/>
    <x v="2"/>
    <x v="2"/>
    <x v="0"/>
    <x v="1"/>
    <x v="148"/>
    <x v="1"/>
    <x v="0"/>
    <x v="0"/>
    <x v="0"/>
    <x v="11"/>
    <x v="0"/>
    <x v="0"/>
    <x v="11"/>
    <x v="1015"/>
    <x v="8"/>
    <x v="14"/>
    <x v="0"/>
    <x v="1015"/>
    <x v="1015"/>
    <x v="0"/>
    <x v="0"/>
    <x v="0"/>
    <x v="477"/>
    <x v="627"/>
    <x v="0"/>
    <x v="0"/>
    <x v="601"/>
    <x v="763"/>
    <x v="839"/>
    <x v="1"/>
    <x v="366"/>
    <x v="850"/>
    <x v="0"/>
    <x v="850"/>
    <x v="0"/>
    <x v="1"/>
    <x v="0"/>
    <x v="850"/>
    <x v="0"/>
    <x v="0"/>
    <x v="2"/>
    <x v="5"/>
  </r>
  <r>
    <x v="1015"/>
    <x v="1"/>
    <x v="0"/>
    <x v="1"/>
    <x v="1"/>
    <x v="198"/>
    <x v="0"/>
    <x v="0"/>
    <x v="0"/>
    <x v="0"/>
    <x v="12"/>
    <x v="0"/>
    <x v="0"/>
    <x v="9"/>
    <x v="1016"/>
    <x v="10"/>
    <x v="39"/>
    <x v="0"/>
    <x v="1016"/>
    <x v="1016"/>
    <x v="0"/>
    <x v="0"/>
    <x v="0"/>
    <x v="308"/>
    <x v="561"/>
    <x v="0"/>
    <x v="0"/>
    <x v="584"/>
    <x v="734"/>
    <x v="772"/>
    <x v="1"/>
    <x v="366"/>
    <x v="777"/>
    <x v="0"/>
    <x v="777"/>
    <x v="0"/>
    <x v="1"/>
    <x v="0"/>
    <x v="777"/>
    <x v="0"/>
    <x v="0"/>
    <x v="2"/>
    <x v="5"/>
  </r>
  <r>
    <x v="1016"/>
    <x v="0"/>
    <x v="0"/>
    <x v="0"/>
    <x v="1"/>
    <x v="17"/>
    <x v="0"/>
    <x v="0"/>
    <x v="0"/>
    <x v="0"/>
    <x v="13"/>
    <x v="0"/>
    <x v="0"/>
    <x v="9"/>
    <x v="1017"/>
    <x v="0"/>
    <x v="18"/>
    <x v="1"/>
    <x v="1017"/>
    <x v="1017"/>
    <x v="162"/>
    <x v="152"/>
    <x v="212"/>
    <x v="1"/>
    <x v="376"/>
    <x v="0"/>
    <x v="0"/>
    <x v="1"/>
    <x v="697"/>
    <x v="739"/>
    <x v="1"/>
    <x v="366"/>
    <x v="785"/>
    <x v="212"/>
    <x v="785"/>
    <x v="0"/>
    <x v="1"/>
    <x v="0"/>
    <x v="785"/>
    <x v="0"/>
    <x v="533"/>
    <x v="2"/>
    <x v="5"/>
  </r>
  <r>
    <x v="1017"/>
    <x v="1"/>
    <x v="0"/>
    <x v="1"/>
    <x v="1"/>
    <x v="199"/>
    <x v="0"/>
    <x v="0"/>
    <x v="0"/>
    <x v="0"/>
    <x v="14"/>
    <x v="0"/>
    <x v="0"/>
    <x v="9"/>
    <x v="1018"/>
    <x v="1"/>
    <x v="10"/>
    <x v="0"/>
    <x v="1018"/>
    <x v="1018"/>
    <x v="0"/>
    <x v="0"/>
    <x v="0"/>
    <x v="1"/>
    <x v="490"/>
    <x v="0"/>
    <x v="0"/>
    <x v="1"/>
    <x v="715"/>
    <x v="818"/>
    <x v="1"/>
    <x v="366"/>
    <x v="826"/>
    <x v="0"/>
    <x v="826"/>
    <x v="0"/>
    <x v="1"/>
    <x v="0"/>
    <x v="826"/>
    <x v="0"/>
    <x v="0"/>
    <x v="2"/>
    <x v="5"/>
  </r>
  <r>
    <x v="1018"/>
    <x v="2"/>
    <x v="0"/>
    <x v="0"/>
    <x v="1"/>
    <x v="139"/>
    <x v="1"/>
    <x v="0"/>
    <x v="0"/>
    <x v="0"/>
    <x v="15"/>
    <x v="0"/>
    <x v="0"/>
    <x v="49"/>
    <x v="1019"/>
    <x v="12"/>
    <x v="72"/>
    <x v="2"/>
    <x v="1019"/>
    <x v="1019"/>
    <x v="0"/>
    <x v="0"/>
    <x v="0"/>
    <x v="435"/>
    <x v="628"/>
    <x v="0"/>
    <x v="0"/>
    <x v="574"/>
    <x v="764"/>
    <x v="840"/>
    <x v="1"/>
    <x v="366"/>
    <x v="851"/>
    <x v="0"/>
    <x v="851"/>
    <x v="0"/>
    <x v="1"/>
    <x v="0"/>
    <x v="851"/>
    <x v="0"/>
    <x v="0"/>
    <x v="2"/>
    <x v="5"/>
  </r>
  <r>
    <x v="1019"/>
    <x v="2"/>
    <x v="2"/>
    <x v="0"/>
    <x v="1"/>
    <x v="148"/>
    <x v="1"/>
    <x v="0"/>
    <x v="0"/>
    <x v="0"/>
    <x v="16"/>
    <x v="0"/>
    <x v="0"/>
    <x v="18"/>
    <x v="1020"/>
    <x v="12"/>
    <x v="59"/>
    <x v="0"/>
    <x v="1020"/>
    <x v="1020"/>
    <x v="0"/>
    <x v="0"/>
    <x v="0"/>
    <x v="478"/>
    <x v="629"/>
    <x v="0"/>
    <x v="0"/>
    <x v="602"/>
    <x v="765"/>
    <x v="841"/>
    <x v="1"/>
    <x v="366"/>
    <x v="852"/>
    <x v="0"/>
    <x v="852"/>
    <x v="0"/>
    <x v="1"/>
    <x v="0"/>
    <x v="852"/>
    <x v="0"/>
    <x v="0"/>
    <x v="2"/>
    <x v="5"/>
  </r>
  <r>
    <x v="1020"/>
    <x v="0"/>
    <x v="2"/>
    <x v="0"/>
    <x v="1"/>
    <x v="2"/>
    <x v="1"/>
    <x v="0"/>
    <x v="0"/>
    <x v="0"/>
    <x v="17"/>
    <x v="0"/>
    <x v="0"/>
    <x v="17"/>
    <x v="1021"/>
    <x v="9"/>
    <x v="22"/>
    <x v="0"/>
    <x v="1021"/>
    <x v="1021"/>
    <x v="104"/>
    <x v="152"/>
    <x v="165"/>
    <x v="342"/>
    <x v="630"/>
    <x v="0"/>
    <x v="0"/>
    <x v="399"/>
    <x v="766"/>
    <x v="842"/>
    <x v="1"/>
    <x v="366"/>
    <x v="853"/>
    <x v="165"/>
    <x v="853"/>
    <x v="0"/>
    <x v="1"/>
    <x v="0"/>
    <x v="853"/>
    <x v="0"/>
    <x v="534"/>
    <x v="2"/>
    <x v="5"/>
  </r>
  <r>
    <x v="1021"/>
    <x v="1"/>
    <x v="2"/>
    <x v="1"/>
    <x v="1"/>
    <x v="2"/>
    <x v="0"/>
    <x v="0"/>
    <x v="0"/>
    <x v="0"/>
    <x v="18"/>
    <x v="0"/>
    <x v="0"/>
    <x v="6"/>
    <x v="1022"/>
    <x v="5"/>
    <x v="23"/>
    <x v="0"/>
    <x v="1022"/>
    <x v="1022"/>
    <x v="243"/>
    <x v="232"/>
    <x v="282"/>
    <x v="479"/>
    <x v="631"/>
    <x v="0"/>
    <x v="406"/>
    <x v="603"/>
    <x v="767"/>
    <x v="843"/>
    <x v="1"/>
    <x v="366"/>
    <x v="854"/>
    <x v="282"/>
    <x v="854"/>
    <x v="0"/>
    <x v="1"/>
    <x v="0"/>
    <x v="854"/>
    <x v="0"/>
    <x v="535"/>
    <x v="2"/>
    <x v="5"/>
  </r>
  <r>
    <x v="1022"/>
    <x v="1"/>
    <x v="1"/>
    <x v="1"/>
    <x v="1"/>
    <x v="200"/>
    <x v="0"/>
    <x v="0"/>
    <x v="0"/>
    <x v="0"/>
    <x v="19"/>
    <x v="0"/>
    <x v="0"/>
    <x v="16"/>
    <x v="1023"/>
    <x v="10"/>
    <x v="56"/>
    <x v="1"/>
    <x v="1023"/>
    <x v="1023"/>
    <x v="0"/>
    <x v="138"/>
    <x v="98"/>
    <x v="1"/>
    <x v="71"/>
    <x v="286"/>
    <x v="285"/>
    <x v="559"/>
    <x v="731"/>
    <x v="844"/>
    <x v="1"/>
    <x v="366"/>
    <x v="758"/>
    <x v="98"/>
    <x v="758"/>
    <x v="0"/>
    <x v="1"/>
    <x v="0"/>
    <x v="758"/>
    <x v="0"/>
    <x v="536"/>
    <x v="2"/>
    <x v="5"/>
  </r>
  <r>
    <x v="1023"/>
    <x v="2"/>
    <x v="1"/>
    <x v="0"/>
    <x v="1"/>
    <x v="139"/>
    <x v="1"/>
    <x v="0"/>
    <x v="0"/>
    <x v="0"/>
    <x v="20"/>
    <x v="0"/>
    <x v="0"/>
    <x v="52"/>
    <x v="1024"/>
    <x v="8"/>
    <x v="78"/>
    <x v="0"/>
    <x v="1024"/>
    <x v="1024"/>
    <x v="0"/>
    <x v="0"/>
    <x v="0"/>
    <x v="456"/>
    <x v="540"/>
    <x v="0"/>
    <x v="0"/>
    <x v="558"/>
    <x v="678"/>
    <x v="751"/>
    <x v="1"/>
    <x v="366"/>
    <x v="755"/>
    <x v="0"/>
    <x v="755"/>
    <x v="0"/>
    <x v="1"/>
    <x v="0"/>
    <x v="755"/>
    <x v="0"/>
    <x v="0"/>
    <x v="2"/>
    <x v="5"/>
  </r>
  <r>
    <x v="1024"/>
    <x v="0"/>
    <x v="2"/>
    <x v="0"/>
    <x v="1"/>
    <x v="2"/>
    <x v="1"/>
    <x v="0"/>
    <x v="0"/>
    <x v="0"/>
    <x v="21"/>
    <x v="0"/>
    <x v="0"/>
    <x v="29"/>
    <x v="1025"/>
    <x v="0"/>
    <x v="0"/>
    <x v="0"/>
    <x v="1025"/>
    <x v="1025"/>
    <x v="53"/>
    <x v="156"/>
    <x v="283"/>
    <x v="1"/>
    <x v="632"/>
    <x v="287"/>
    <x v="300"/>
    <x v="604"/>
    <x v="768"/>
    <x v="845"/>
    <x v="1"/>
    <x v="366"/>
    <x v="855"/>
    <x v="283"/>
    <x v="855"/>
    <x v="0"/>
    <x v="1"/>
    <x v="0"/>
    <x v="855"/>
    <x v="0"/>
    <x v="537"/>
    <x v="2"/>
    <x v="5"/>
  </r>
  <r>
    <x v="1025"/>
    <x v="3"/>
    <x v="2"/>
    <x v="1"/>
    <x v="1"/>
    <x v="194"/>
    <x v="0"/>
    <x v="0"/>
    <x v="0"/>
    <x v="0"/>
    <x v="5"/>
    <x v="0"/>
    <x v="0"/>
    <x v="6"/>
    <x v="1026"/>
    <x v="5"/>
    <x v="84"/>
    <x v="0"/>
    <x v="1026"/>
    <x v="1026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26"/>
    <x v="0"/>
    <x v="2"/>
    <x v="0"/>
    <x v="1"/>
    <x v="2"/>
    <x v="0"/>
    <x v="0"/>
    <x v="0"/>
    <x v="0"/>
    <x v="22"/>
    <x v="0"/>
    <x v="0"/>
    <x v="12"/>
    <x v="1027"/>
    <x v="7"/>
    <x v="51"/>
    <x v="2"/>
    <x v="1027"/>
    <x v="1027"/>
    <x v="239"/>
    <x v="173"/>
    <x v="273"/>
    <x v="480"/>
    <x v="633"/>
    <x v="0"/>
    <x v="0"/>
    <x v="217"/>
    <x v="769"/>
    <x v="846"/>
    <x v="1"/>
    <x v="366"/>
    <x v="856"/>
    <x v="273"/>
    <x v="856"/>
    <x v="0"/>
    <x v="1"/>
    <x v="0"/>
    <x v="856"/>
    <x v="0"/>
    <x v="538"/>
    <x v="2"/>
    <x v="5"/>
  </r>
  <r>
    <x v="1027"/>
    <x v="1"/>
    <x v="2"/>
    <x v="1"/>
    <x v="1"/>
    <x v="2"/>
    <x v="0"/>
    <x v="0"/>
    <x v="0"/>
    <x v="0"/>
    <x v="23"/>
    <x v="0"/>
    <x v="0"/>
    <x v="1"/>
    <x v="1028"/>
    <x v="1"/>
    <x v="1"/>
    <x v="0"/>
    <x v="1028"/>
    <x v="1028"/>
    <x v="239"/>
    <x v="36"/>
    <x v="284"/>
    <x v="1"/>
    <x v="71"/>
    <x v="183"/>
    <x v="407"/>
    <x v="394"/>
    <x v="770"/>
    <x v="847"/>
    <x v="1"/>
    <x v="366"/>
    <x v="857"/>
    <x v="284"/>
    <x v="857"/>
    <x v="0"/>
    <x v="1"/>
    <x v="0"/>
    <x v="857"/>
    <x v="0"/>
    <x v="539"/>
    <x v="2"/>
    <x v="5"/>
  </r>
  <r>
    <x v="1028"/>
    <x v="1"/>
    <x v="2"/>
    <x v="1"/>
    <x v="1"/>
    <x v="2"/>
    <x v="0"/>
    <x v="0"/>
    <x v="0"/>
    <x v="0"/>
    <x v="24"/>
    <x v="0"/>
    <x v="0"/>
    <x v="1"/>
    <x v="1029"/>
    <x v="1"/>
    <x v="1"/>
    <x v="1"/>
    <x v="1029"/>
    <x v="1029"/>
    <x v="244"/>
    <x v="233"/>
    <x v="285"/>
    <x v="481"/>
    <x v="634"/>
    <x v="288"/>
    <x v="408"/>
    <x v="605"/>
    <x v="771"/>
    <x v="848"/>
    <x v="1"/>
    <x v="366"/>
    <x v="858"/>
    <x v="285"/>
    <x v="858"/>
    <x v="0"/>
    <x v="1"/>
    <x v="0"/>
    <x v="858"/>
    <x v="0"/>
    <x v="540"/>
    <x v="2"/>
    <x v="5"/>
  </r>
  <r>
    <x v="1029"/>
    <x v="3"/>
    <x v="0"/>
    <x v="1"/>
    <x v="1"/>
    <x v="2"/>
    <x v="0"/>
    <x v="0"/>
    <x v="0"/>
    <x v="0"/>
    <x v="0"/>
    <x v="0"/>
    <x v="0"/>
    <x v="1"/>
    <x v="1030"/>
    <x v="1"/>
    <x v="13"/>
    <x v="1"/>
    <x v="1030"/>
    <x v="1030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30"/>
    <x v="1"/>
    <x v="2"/>
    <x v="1"/>
    <x v="1"/>
    <x v="2"/>
    <x v="0"/>
    <x v="0"/>
    <x v="0"/>
    <x v="0"/>
    <x v="25"/>
    <x v="0"/>
    <x v="0"/>
    <x v="1"/>
    <x v="1031"/>
    <x v="1"/>
    <x v="25"/>
    <x v="2"/>
    <x v="1031"/>
    <x v="1031"/>
    <x v="0"/>
    <x v="0"/>
    <x v="0"/>
    <x v="482"/>
    <x v="635"/>
    <x v="0"/>
    <x v="0"/>
    <x v="606"/>
    <x v="772"/>
    <x v="849"/>
    <x v="1"/>
    <x v="366"/>
    <x v="859"/>
    <x v="0"/>
    <x v="859"/>
    <x v="0"/>
    <x v="1"/>
    <x v="0"/>
    <x v="859"/>
    <x v="0"/>
    <x v="0"/>
    <x v="2"/>
    <x v="5"/>
  </r>
  <r>
    <x v="1031"/>
    <x v="1"/>
    <x v="2"/>
    <x v="1"/>
    <x v="1"/>
    <x v="2"/>
    <x v="0"/>
    <x v="0"/>
    <x v="0"/>
    <x v="0"/>
    <x v="26"/>
    <x v="0"/>
    <x v="0"/>
    <x v="1"/>
    <x v="1032"/>
    <x v="1"/>
    <x v="25"/>
    <x v="2"/>
    <x v="1032"/>
    <x v="1032"/>
    <x v="141"/>
    <x v="132"/>
    <x v="142"/>
    <x v="483"/>
    <x v="636"/>
    <x v="289"/>
    <x v="150"/>
    <x v="607"/>
    <x v="773"/>
    <x v="850"/>
    <x v="1"/>
    <x v="366"/>
    <x v="860"/>
    <x v="142"/>
    <x v="860"/>
    <x v="0"/>
    <x v="1"/>
    <x v="0"/>
    <x v="860"/>
    <x v="0"/>
    <x v="541"/>
    <x v="2"/>
    <x v="5"/>
  </r>
  <r>
    <x v="1032"/>
    <x v="3"/>
    <x v="2"/>
    <x v="1"/>
    <x v="1"/>
    <x v="194"/>
    <x v="0"/>
    <x v="0"/>
    <x v="0"/>
    <x v="0"/>
    <x v="27"/>
    <x v="0"/>
    <x v="0"/>
    <x v="1"/>
    <x v="1033"/>
    <x v="1"/>
    <x v="6"/>
    <x v="2"/>
    <x v="1033"/>
    <x v="1033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33"/>
    <x v="1"/>
    <x v="2"/>
    <x v="1"/>
    <x v="1"/>
    <x v="2"/>
    <x v="0"/>
    <x v="0"/>
    <x v="0"/>
    <x v="0"/>
    <x v="28"/>
    <x v="0"/>
    <x v="0"/>
    <x v="1"/>
    <x v="1034"/>
    <x v="1"/>
    <x v="25"/>
    <x v="0"/>
    <x v="1034"/>
    <x v="1034"/>
    <x v="0"/>
    <x v="0"/>
    <x v="0"/>
    <x v="1"/>
    <x v="606"/>
    <x v="0"/>
    <x v="0"/>
    <x v="1"/>
    <x v="717"/>
    <x v="806"/>
    <x v="1"/>
    <x v="366"/>
    <x v="813"/>
    <x v="0"/>
    <x v="813"/>
    <x v="0"/>
    <x v="1"/>
    <x v="0"/>
    <x v="813"/>
    <x v="0"/>
    <x v="0"/>
    <x v="2"/>
    <x v="5"/>
  </r>
  <r>
    <x v="1034"/>
    <x v="3"/>
    <x v="0"/>
    <x v="1"/>
    <x v="1"/>
    <x v="2"/>
    <x v="0"/>
    <x v="0"/>
    <x v="0"/>
    <x v="0"/>
    <x v="0"/>
    <x v="0"/>
    <x v="0"/>
    <x v="1"/>
    <x v="1035"/>
    <x v="1"/>
    <x v="6"/>
    <x v="1"/>
    <x v="1035"/>
    <x v="1035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35"/>
    <x v="1"/>
    <x v="2"/>
    <x v="1"/>
    <x v="1"/>
    <x v="2"/>
    <x v="0"/>
    <x v="0"/>
    <x v="0"/>
    <x v="0"/>
    <x v="29"/>
    <x v="0"/>
    <x v="0"/>
    <x v="1"/>
    <x v="1036"/>
    <x v="1"/>
    <x v="25"/>
    <x v="2"/>
    <x v="1036"/>
    <x v="1036"/>
    <x v="154"/>
    <x v="234"/>
    <x v="286"/>
    <x v="1"/>
    <x v="62"/>
    <x v="0"/>
    <x v="409"/>
    <x v="1"/>
    <x v="774"/>
    <x v="851"/>
    <x v="1"/>
    <x v="366"/>
    <x v="861"/>
    <x v="286"/>
    <x v="861"/>
    <x v="0"/>
    <x v="1"/>
    <x v="0"/>
    <x v="861"/>
    <x v="0"/>
    <x v="542"/>
    <x v="2"/>
    <x v="5"/>
  </r>
  <r>
    <x v="1036"/>
    <x v="1"/>
    <x v="2"/>
    <x v="1"/>
    <x v="1"/>
    <x v="2"/>
    <x v="0"/>
    <x v="0"/>
    <x v="0"/>
    <x v="0"/>
    <x v="30"/>
    <x v="0"/>
    <x v="0"/>
    <x v="1"/>
    <x v="1037"/>
    <x v="1"/>
    <x v="25"/>
    <x v="2"/>
    <x v="1037"/>
    <x v="1037"/>
    <x v="154"/>
    <x v="144"/>
    <x v="156"/>
    <x v="212"/>
    <x v="256"/>
    <x v="0"/>
    <x v="168"/>
    <x v="242"/>
    <x v="281"/>
    <x v="284"/>
    <x v="1"/>
    <x v="366"/>
    <x v="285"/>
    <x v="156"/>
    <x v="285"/>
    <x v="0"/>
    <x v="1"/>
    <x v="0"/>
    <x v="285"/>
    <x v="0"/>
    <x v="168"/>
    <x v="2"/>
    <x v="5"/>
  </r>
  <r>
    <x v="1037"/>
    <x v="1"/>
    <x v="2"/>
    <x v="1"/>
    <x v="1"/>
    <x v="2"/>
    <x v="0"/>
    <x v="0"/>
    <x v="0"/>
    <x v="0"/>
    <x v="31"/>
    <x v="0"/>
    <x v="0"/>
    <x v="1"/>
    <x v="1038"/>
    <x v="1"/>
    <x v="13"/>
    <x v="1"/>
    <x v="1038"/>
    <x v="1038"/>
    <x v="173"/>
    <x v="49"/>
    <x v="287"/>
    <x v="484"/>
    <x v="637"/>
    <x v="290"/>
    <x v="410"/>
    <x v="608"/>
    <x v="775"/>
    <x v="852"/>
    <x v="1"/>
    <x v="366"/>
    <x v="862"/>
    <x v="287"/>
    <x v="862"/>
    <x v="0"/>
    <x v="1"/>
    <x v="0"/>
    <x v="862"/>
    <x v="0"/>
    <x v="543"/>
    <x v="2"/>
    <x v="5"/>
  </r>
  <r>
    <x v="1038"/>
    <x v="1"/>
    <x v="2"/>
    <x v="1"/>
    <x v="1"/>
    <x v="2"/>
    <x v="0"/>
    <x v="0"/>
    <x v="0"/>
    <x v="0"/>
    <x v="32"/>
    <x v="0"/>
    <x v="0"/>
    <x v="1"/>
    <x v="1039"/>
    <x v="1"/>
    <x v="4"/>
    <x v="0"/>
    <x v="1039"/>
    <x v="1039"/>
    <x v="0"/>
    <x v="0"/>
    <x v="0"/>
    <x v="485"/>
    <x v="638"/>
    <x v="0"/>
    <x v="0"/>
    <x v="609"/>
    <x v="776"/>
    <x v="853"/>
    <x v="1"/>
    <x v="366"/>
    <x v="863"/>
    <x v="0"/>
    <x v="863"/>
    <x v="0"/>
    <x v="1"/>
    <x v="0"/>
    <x v="863"/>
    <x v="0"/>
    <x v="0"/>
    <x v="2"/>
    <x v="5"/>
  </r>
  <r>
    <x v="1039"/>
    <x v="1"/>
    <x v="2"/>
    <x v="1"/>
    <x v="1"/>
    <x v="2"/>
    <x v="0"/>
    <x v="0"/>
    <x v="0"/>
    <x v="0"/>
    <x v="33"/>
    <x v="0"/>
    <x v="0"/>
    <x v="1"/>
    <x v="1040"/>
    <x v="1"/>
    <x v="4"/>
    <x v="0"/>
    <x v="1040"/>
    <x v="1040"/>
    <x v="245"/>
    <x v="235"/>
    <x v="288"/>
    <x v="1"/>
    <x v="146"/>
    <x v="291"/>
    <x v="142"/>
    <x v="610"/>
    <x v="777"/>
    <x v="854"/>
    <x v="1"/>
    <x v="366"/>
    <x v="864"/>
    <x v="288"/>
    <x v="864"/>
    <x v="0"/>
    <x v="1"/>
    <x v="0"/>
    <x v="864"/>
    <x v="0"/>
    <x v="544"/>
    <x v="2"/>
    <x v="5"/>
  </r>
  <r>
    <x v="1040"/>
    <x v="2"/>
    <x v="2"/>
    <x v="0"/>
    <x v="1"/>
    <x v="148"/>
    <x v="1"/>
    <x v="0"/>
    <x v="0"/>
    <x v="0"/>
    <x v="34"/>
    <x v="0"/>
    <x v="1"/>
    <x v="10"/>
    <x v="1041"/>
    <x v="2"/>
    <x v="2"/>
    <x v="0"/>
    <x v="1041"/>
    <x v="1041"/>
    <x v="0"/>
    <x v="0"/>
    <x v="0"/>
    <x v="486"/>
    <x v="639"/>
    <x v="0"/>
    <x v="0"/>
    <x v="611"/>
    <x v="778"/>
    <x v="855"/>
    <x v="1"/>
    <x v="366"/>
    <x v="865"/>
    <x v="0"/>
    <x v="865"/>
    <x v="0"/>
    <x v="1"/>
    <x v="0"/>
    <x v="865"/>
    <x v="0"/>
    <x v="0"/>
    <x v="2"/>
    <x v="5"/>
  </r>
  <r>
    <x v="1041"/>
    <x v="1"/>
    <x v="2"/>
    <x v="1"/>
    <x v="1"/>
    <x v="2"/>
    <x v="0"/>
    <x v="0"/>
    <x v="0"/>
    <x v="0"/>
    <x v="35"/>
    <x v="0"/>
    <x v="0"/>
    <x v="25"/>
    <x v="1042"/>
    <x v="5"/>
    <x v="19"/>
    <x v="2"/>
    <x v="1042"/>
    <x v="1042"/>
    <x v="246"/>
    <x v="38"/>
    <x v="289"/>
    <x v="487"/>
    <x v="478"/>
    <x v="237"/>
    <x v="259"/>
    <x v="612"/>
    <x v="779"/>
    <x v="856"/>
    <x v="1"/>
    <x v="366"/>
    <x v="453"/>
    <x v="289"/>
    <x v="453"/>
    <x v="0"/>
    <x v="1"/>
    <x v="0"/>
    <x v="453"/>
    <x v="0"/>
    <x v="545"/>
    <x v="2"/>
    <x v="5"/>
  </r>
  <r>
    <x v="1042"/>
    <x v="1"/>
    <x v="2"/>
    <x v="1"/>
    <x v="1"/>
    <x v="2"/>
    <x v="0"/>
    <x v="0"/>
    <x v="0"/>
    <x v="0"/>
    <x v="36"/>
    <x v="0"/>
    <x v="1"/>
    <x v="1"/>
    <x v="1043"/>
    <x v="1"/>
    <x v="47"/>
    <x v="0"/>
    <x v="1043"/>
    <x v="1043"/>
    <x v="0"/>
    <x v="0"/>
    <x v="0"/>
    <x v="1"/>
    <x v="640"/>
    <x v="0"/>
    <x v="0"/>
    <x v="1"/>
    <x v="780"/>
    <x v="857"/>
    <x v="1"/>
    <x v="366"/>
    <x v="866"/>
    <x v="0"/>
    <x v="866"/>
    <x v="0"/>
    <x v="1"/>
    <x v="0"/>
    <x v="866"/>
    <x v="0"/>
    <x v="0"/>
    <x v="2"/>
    <x v="5"/>
  </r>
  <r>
    <x v="1043"/>
    <x v="1"/>
    <x v="2"/>
    <x v="1"/>
    <x v="1"/>
    <x v="2"/>
    <x v="0"/>
    <x v="0"/>
    <x v="0"/>
    <x v="0"/>
    <x v="37"/>
    <x v="0"/>
    <x v="1"/>
    <x v="1"/>
    <x v="1044"/>
    <x v="1"/>
    <x v="47"/>
    <x v="0"/>
    <x v="1044"/>
    <x v="1044"/>
    <x v="247"/>
    <x v="236"/>
    <x v="28"/>
    <x v="488"/>
    <x v="641"/>
    <x v="0"/>
    <x v="411"/>
    <x v="613"/>
    <x v="781"/>
    <x v="858"/>
    <x v="1"/>
    <x v="366"/>
    <x v="867"/>
    <x v="28"/>
    <x v="867"/>
    <x v="0"/>
    <x v="1"/>
    <x v="0"/>
    <x v="867"/>
    <x v="0"/>
    <x v="546"/>
    <x v="2"/>
    <x v="5"/>
  </r>
  <r>
    <x v="1044"/>
    <x v="1"/>
    <x v="2"/>
    <x v="1"/>
    <x v="1"/>
    <x v="2"/>
    <x v="0"/>
    <x v="0"/>
    <x v="0"/>
    <x v="0"/>
    <x v="38"/>
    <x v="0"/>
    <x v="1"/>
    <x v="1"/>
    <x v="1045"/>
    <x v="1"/>
    <x v="47"/>
    <x v="0"/>
    <x v="1045"/>
    <x v="1045"/>
    <x v="0"/>
    <x v="0"/>
    <x v="0"/>
    <x v="489"/>
    <x v="642"/>
    <x v="0"/>
    <x v="0"/>
    <x v="614"/>
    <x v="782"/>
    <x v="859"/>
    <x v="1"/>
    <x v="366"/>
    <x v="868"/>
    <x v="0"/>
    <x v="868"/>
    <x v="0"/>
    <x v="1"/>
    <x v="0"/>
    <x v="868"/>
    <x v="0"/>
    <x v="0"/>
    <x v="2"/>
    <x v="5"/>
  </r>
  <r>
    <x v="1045"/>
    <x v="1"/>
    <x v="1"/>
    <x v="1"/>
    <x v="1"/>
    <x v="2"/>
    <x v="0"/>
    <x v="0"/>
    <x v="0"/>
    <x v="0"/>
    <x v="39"/>
    <x v="1"/>
    <x v="1"/>
    <x v="16"/>
    <x v="1046"/>
    <x v="15"/>
    <x v="45"/>
    <x v="0"/>
    <x v="1046"/>
    <x v="1046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46"/>
    <x v="0"/>
    <x v="1"/>
    <x v="0"/>
    <x v="1"/>
    <x v="201"/>
    <x v="0"/>
    <x v="0"/>
    <x v="0"/>
    <x v="0"/>
    <x v="40"/>
    <x v="1"/>
    <x v="1"/>
    <x v="15"/>
    <x v="1047"/>
    <x v="8"/>
    <x v="52"/>
    <x v="0"/>
    <x v="1047"/>
    <x v="1047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47"/>
    <x v="0"/>
    <x v="2"/>
    <x v="2"/>
    <x v="76"/>
    <x v="2"/>
    <x v="0"/>
    <x v="0"/>
    <x v="0"/>
    <x v="0"/>
    <x v="41"/>
    <x v="0"/>
    <x v="1"/>
    <x v="33"/>
    <x v="1048"/>
    <x v="7"/>
    <x v="38"/>
    <x v="2"/>
    <x v="1048"/>
    <x v="1048"/>
    <x v="153"/>
    <x v="152"/>
    <x v="192"/>
    <x v="490"/>
    <x v="643"/>
    <x v="262"/>
    <x v="206"/>
    <x v="615"/>
    <x v="582"/>
    <x v="860"/>
    <x v="1"/>
    <x v="366"/>
    <x v="869"/>
    <x v="192"/>
    <x v="869"/>
    <x v="0"/>
    <x v="1"/>
    <x v="0"/>
    <x v="869"/>
    <x v="0"/>
    <x v="547"/>
    <x v="2"/>
    <x v="5"/>
  </r>
  <r>
    <x v="1048"/>
    <x v="1"/>
    <x v="2"/>
    <x v="1"/>
    <x v="1"/>
    <x v="2"/>
    <x v="0"/>
    <x v="0"/>
    <x v="0"/>
    <x v="0"/>
    <x v="42"/>
    <x v="0"/>
    <x v="1"/>
    <x v="17"/>
    <x v="1049"/>
    <x v="9"/>
    <x v="22"/>
    <x v="0"/>
    <x v="1049"/>
    <x v="1049"/>
    <x v="97"/>
    <x v="0"/>
    <x v="98"/>
    <x v="491"/>
    <x v="495"/>
    <x v="0"/>
    <x v="392"/>
    <x v="616"/>
    <x v="574"/>
    <x v="600"/>
    <x v="1"/>
    <x v="366"/>
    <x v="620"/>
    <x v="98"/>
    <x v="620"/>
    <x v="0"/>
    <x v="1"/>
    <x v="0"/>
    <x v="620"/>
    <x v="0"/>
    <x v="548"/>
    <x v="2"/>
    <x v="5"/>
  </r>
  <r>
    <x v="1049"/>
    <x v="0"/>
    <x v="2"/>
    <x v="0"/>
    <x v="1"/>
    <x v="2"/>
    <x v="0"/>
    <x v="0"/>
    <x v="0"/>
    <x v="0"/>
    <x v="43"/>
    <x v="1"/>
    <x v="1"/>
    <x v="37"/>
    <x v="1050"/>
    <x v="7"/>
    <x v="16"/>
    <x v="0"/>
    <x v="1050"/>
    <x v="1050"/>
    <x v="210"/>
    <x v="237"/>
    <x v="290"/>
    <x v="492"/>
    <x v="644"/>
    <x v="292"/>
    <x v="412"/>
    <x v="617"/>
    <x v="783"/>
    <x v="861"/>
    <x v="1"/>
    <x v="366"/>
    <x v="870"/>
    <x v="290"/>
    <x v="870"/>
    <x v="0"/>
    <x v="1"/>
    <x v="0"/>
    <x v="870"/>
    <x v="0"/>
    <x v="549"/>
    <x v="2"/>
    <x v="5"/>
  </r>
  <r>
    <x v="1050"/>
    <x v="0"/>
    <x v="1"/>
    <x v="0"/>
    <x v="1"/>
    <x v="2"/>
    <x v="0"/>
    <x v="0"/>
    <x v="0"/>
    <x v="0"/>
    <x v="44"/>
    <x v="0"/>
    <x v="0"/>
    <x v="58"/>
    <x v="1051"/>
    <x v="0"/>
    <x v="18"/>
    <x v="2"/>
    <x v="1051"/>
    <x v="1051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51"/>
    <x v="1"/>
    <x v="2"/>
    <x v="1"/>
    <x v="1"/>
    <x v="2"/>
    <x v="0"/>
    <x v="0"/>
    <x v="0"/>
    <x v="0"/>
    <x v="45"/>
    <x v="1"/>
    <x v="1"/>
    <x v="4"/>
    <x v="1052"/>
    <x v="10"/>
    <x v="39"/>
    <x v="0"/>
    <x v="1052"/>
    <x v="1052"/>
    <x v="0"/>
    <x v="0"/>
    <x v="0"/>
    <x v="1"/>
    <x v="71"/>
    <x v="0"/>
    <x v="0"/>
    <x v="1"/>
    <x v="362"/>
    <x v="774"/>
    <x v="1"/>
    <x v="366"/>
    <x v="844"/>
    <x v="0"/>
    <x v="844"/>
    <x v="0"/>
    <x v="1"/>
    <x v="0"/>
    <x v="844"/>
    <x v="0"/>
    <x v="530"/>
    <x v="2"/>
    <x v="5"/>
  </r>
  <r>
    <x v="1052"/>
    <x v="0"/>
    <x v="2"/>
    <x v="0"/>
    <x v="1"/>
    <x v="2"/>
    <x v="0"/>
    <x v="0"/>
    <x v="0"/>
    <x v="0"/>
    <x v="46"/>
    <x v="0"/>
    <x v="1"/>
    <x v="6"/>
    <x v="1053"/>
    <x v="2"/>
    <x v="46"/>
    <x v="0"/>
    <x v="1053"/>
    <x v="1053"/>
    <x v="0"/>
    <x v="0"/>
    <x v="0"/>
    <x v="197"/>
    <x v="482"/>
    <x v="0"/>
    <x v="0"/>
    <x v="288"/>
    <x v="744"/>
    <x v="793"/>
    <x v="1"/>
    <x v="366"/>
    <x v="809"/>
    <x v="0"/>
    <x v="809"/>
    <x v="0"/>
    <x v="1"/>
    <x v="0"/>
    <x v="809"/>
    <x v="0"/>
    <x v="0"/>
    <x v="2"/>
    <x v="5"/>
  </r>
  <r>
    <x v="1053"/>
    <x v="1"/>
    <x v="2"/>
    <x v="1"/>
    <x v="1"/>
    <x v="2"/>
    <x v="0"/>
    <x v="0"/>
    <x v="0"/>
    <x v="0"/>
    <x v="47"/>
    <x v="0"/>
    <x v="1"/>
    <x v="18"/>
    <x v="1054"/>
    <x v="5"/>
    <x v="12"/>
    <x v="0"/>
    <x v="1054"/>
    <x v="1054"/>
    <x v="97"/>
    <x v="138"/>
    <x v="150"/>
    <x v="1"/>
    <x v="71"/>
    <x v="0"/>
    <x v="248"/>
    <x v="1"/>
    <x v="715"/>
    <x v="818"/>
    <x v="1"/>
    <x v="366"/>
    <x v="824"/>
    <x v="150"/>
    <x v="824"/>
    <x v="0"/>
    <x v="1"/>
    <x v="0"/>
    <x v="824"/>
    <x v="0"/>
    <x v="550"/>
    <x v="2"/>
    <x v="5"/>
  </r>
  <r>
    <x v="1054"/>
    <x v="0"/>
    <x v="0"/>
    <x v="2"/>
    <x v="77"/>
    <x v="33"/>
    <x v="0"/>
    <x v="0"/>
    <x v="0"/>
    <x v="0"/>
    <x v="48"/>
    <x v="0"/>
    <x v="0"/>
    <x v="12"/>
    <x v="1055"/>
    <x v="7"/>
    <x v="27"/>
    <x v="2"/>
    <x v="1055"/>
    <x v="1055"/>
    <x v="153"/>
    <x v="146"/>
    <x v="173"/>
    <x v="339"/>
    <x v="501"/>
    <x v="207"/>
    <x v="361"/>
    <x v="618"/>
    <x v="521"/>
    <x v="862"/>
    <x v="1"/>
    <x v="366"/>
    <x v="515"/>
    <x v="173"/>
    <x v="515"/>
    <x v="0"/>
    <x v="1"/>
    <x v="0"/>
    <x v="515"/>
    <x v="0"/>
    <x v="551"/>
    <x v="2"/>
    <x v="5"/>
  </r>
  <r>
    <x v="1055"/>
    <x v="1"/>
    <x v="2"/>
    <x v="1"/>
    <x v="1"/>
    <x v="2"/>
    <x v="0"/>
    <x v="0"/>
    <x v="0"/>
    <x v="0"/>
    <x v="49"/>
    <x v="1"/>
    <x v="1"/>
    <x v="4"/>
    <x v="1056"/>
    <x v="10"/>
    <x v="39"/>
    <x v="0"/>
    <x v="1056"/>
    <x v="1056"/>
    <x v="131"/>
    <x v="143"/>
    <x v="281"/>
    <x v="1"/>
    <x v="71"/>
    <x v="0"/>
    <x v="0"/>
    <x v="1"/>
    <x v="362"/>
    <x v="774"/>
    <x v="1"/>
    <x v="366"/>
    <x v="832"/>
    <x v="281"/>
    <x v="832"/>
    <x v="0"/>
    <x v="1"/>
    <x v="0"/>
    <x v="832"/>
    <x v="0"/>
    <x v="129"/>
    <x v="2"/>
    <x v="5"/>
  </r>
  <r>
    <x v="1056"/>
    <x v="0"/>
    <x v="0"/>
    <x v="0"/>
    <x v="1"/>
    <x v="202"/>
    <x v="0"/>
    <x v="0"/>
    <x v="0"/>
    <x v="0"/>
    <x v="50"/>
    <x v="0"/>
    <x v="1"/>
    <x v="49"/>
    <x v="1057"/>
    <x v="12"/>
    <x v="72"/>
    <x v="0"/>
    <x v="1057"/>
    <x v="1057"/>
    <x v="162"/>
    <x v="152"/>
    <x v="212"/>
    <x v="1"/>
    <x v="169"/>
    <x v="0"/>
    <x v="297"/>
    <x v="1"/>
    <x v="593"/>
    <x v="863"/>
    <x v="1"/>
    <x v="366"/>
    <x v="871"/>
    <x v="212"/>
    <x v="871"/>
    <x v="0"/>
    <x v="1"/>
    <x v="0"/>
    <x v="871"/>
    <x v="0"/>
    <x v="552"/>
    <x v="2"/>
    <x v="5"/>
  </r>
  <r>
    <x v="1057"/>
    <x v="1"/>
    <x v="2"/>
    <x v="1"/>
    <x v="1"/>
    <x v="2"/>
    <x v="0"/>
    <x v="0"/>
    <x v="0"/>
    <x v="0"/>
    <x v="51"/>
    <x v="0"/>
    <x v="1"/>
    <x v="18"/>
    <x v="1058"/>
    <x v="5"/>
    <x v="12"/>
    <x v="0"/>
    <x v="1058"/>
    <x v="1058"/>
    <x v="0"/>
    <x v="0"/>
    <x v="0"/>
    <x v="493"/>
    <x v="329"/>
    <x v="0"/>
    <x v="0"/>
    <x v="619"/>
    <x v="784"/>
    <x v="760"/>
    <x v="1"/>
    <x v="366"/>
    <x v="872"/>
    <x v="0"/>
    <x v="872"/>
    <x v="0"/>
    <x v="1"/>
    <x v="0"/>
    <x v="872"/>
    <x v="0"/>
    <x v="0"/>
    <x v="2"/>
    <x v="5"/>
  </r>
  <r>
    <x v="1058"/>
    <x v="0"/>
    <x v="2"/>
    <x v="0"/>
    <x v="1"/>
    <x v="2"/>
    <x v="0"/>
    <x v="0"/>
    <x v="0"/>
    <x v="0"/>
    <x v="0"/>
    <x v="0"/>
    <x v="0"/>
    <x v="21"/>
    <x v="1059"/>
    <x v="11"/>
    <x v="33"/>
    <x v="0"/>
    <x v="1059"/>
    <x v="1059"/>
    <x v="248"/>
    <x v="238"/>
    <x v="291"/>
    <x v="1"/>
    <x v="645"/>
    <x v="293"/>
    <x v="413"/>
    <x v="620"/>
    <x v="785"/>
    <x v="864"/>
    <x v="1"/>
    <x v="366"/>
    <x v="873"/>
    <x v="291"/>
    <x v="873"/>
    <x v="0"/>
    <x v="1"/>
    <x v="0"/>
    <x v="873"/>
    <x v="0"/>
    <x v="553"/>
    <x v="2"/>
    <x v="5"/>
  </r>
  <r>
    <x v="4"/>
    <x v="0"/>
    <x v="0"/>
    <x v="0"/>
    <x v="0"/>
    <x v="203"/>
    <x v="0"/>
    <x v="0"/>
    <x v="0"/>
    <x v="0"/>
    <x v="0"/>
    <x v="0"/>
    <x v="0"/>
    <x v="0"/>
    <x v="1060"/>
    <x v="3"/>
    <x v="3"/>
    <x v="1"/>
    <x v="1060"/>
    <x v="4"/>
    <x v="1"/>
    <x v="1"/>
    <x v="1"/>
    <x v="1"/>
    <x v="4"/>
    <x v="1"/>
    <x v="2"/>
    <x v="4"/>
    <x v="4"/>
    <x v="4"/>
    <x v="4"/>
    <x v="4"/>
    <x v="4"/>
    <x v="292"/>
    <x v="874"/>
    <x v="1"/>
    <x v="2"/>
    <x v="2"/>
    <x v="4"/>
    <x v="0"/>
    <x v="1"/>
    <x v="3"/>
    <x v="6"/>
  </r>
  <r>
    <x v="47"/>
    <x v="0"/>
    <x v="0"/>
    <x v="0"/>
    <x v="78"/>
    <x v="203"/>
    <x v="0"/>
    <x v="0"/>
    <x v="0"/>
    <x v="0"/>
    <x v="0"/>
    <x v="0"/>
    <x v="0"/>
    <x v="0"/>
    <x v="1061"/>
    <x v="3"/>
    <x v="3"/>
    <x v="1"/>
    <x v="1061"/>
    <x v="47"/>
    <x v="22"/>
    <x v="23"/>
    <x v="23"/>
    <x v="38"/>
    <x v="47"/>
    <x v="12"/>
    <x v="26"/>
    <x v="39"/>
    <x v="47"/>
    <x v="47"/>
    <x v="42"/>
    <x v="47"/>
    <x v="47"/>
    <x v="292"/>
    <x v="874"/>
    <x v="1"/>
    <x v="2"/>
    <x v="2"/>
    <x v="47"/>
    <x v="0"/>
    <x v="23"/>
    <x v="3"/>
    <x v="6"/>
  </r>
  <r>
    <x v="229"/>
    <x v="0"/>
    <x v="0"/>
    <x v="0"/>
    <x v="79"/>
    <x v="203"/>
    <x v="0"/>
    <x v="0"/>
    <x v="0"/>
    <x v="0"/>
    <x v="0"/>
    <x v="0"/>
    <x v="0"/>
    <x v="0"/>
    <x v="1062"/>
    <x v="3"/>
    <x v="3"/>
    <x v="1"/>
    <x v="1062"/>
    <x v="230"/>
    <x v="129"/>
    <x v="124"/>
    <x v="131"/>
    <x v="1"/>
    <x v="71"/>
    <x v="85"/>
    <x v="134"/>
    <x v="194"/>
    <x v="226"/>
    <x v="229"/>
    <x v="214"/>
    <x v="229"/>
    <x v="230"/>
    <x v="292"/>
    <x v="874"/>
    <x v="1"/>
    <x v="2"/>
    <x v="2"/>
    <x v="230"/>
    <x v="0"/>
    <x v="136"/>
    <x v="3"/>
    <x v="6"/>
  </r>
  <r>
    <x v="86"/>
    <x v="0"/>
    <x v="0"/>
    <x v="0"/>
    <x v="80"/>
    <x v="203"/>
    <x v="0"/>
    <x v="0"/>
    <x v="0"/>
    <x v="0"/>
    <x v="0"/>
    <x v="0"/>
    <x v="0"/>
    <x v="0"/>
    <x v="1063"/>
    <x v="3"/>
    <x v="3"/>
    <x v="1"/>
    <x v="1063"/>
    <x v="86"/>
    <x v="44"/>
    <x v="45"/>
    <x v="45"/>
    <x v="67"/>
    <x v="86"/>
    <x v="24"/>
    <x v="48"/>
    <x v="69"/>
    <x v="86"/>
    <x v="86"/>
    <x v="79"/>
    <x v="86"/>
    <x v="86"/>
    <x v="292"/>
    <x v="874"/>
    <x v="1"/>
    <x v="2"/>
    <x v="2"/>
    <x v="86"/>
    <x v="0"/>
    <x v="45"/>
    <x v="3"/>
    <x v="6"/>
  </r>
  <r>
    <x v="580"/>
    <x v="0"/>
    <x v="0"/>
    <x v="0"/>
    <x v="81"/>
    <x v="203"/>
    <x v="0"/>
    <x v="0"/>
    <x v="0"/>
    <x v="0"/>
    <x v="0"/>
    <x v="0"/>
    <x v="0"/>
    <x v="0"/>
    <x v="1064"/>
    <x v="3"/>
    <x v="3"/>
    <x v="1"/>
    <x v="1064"/>
    <x v="581"/>
    <x v="0"/>
    <x v="0"/>
    <x v="0"/>
    <x v="382"/>
    <x v="481"/>
    <x v="212"/>
    <x v="320"/>
    <x v="449"/>
    <x v="552"/>
    <x v="559"/>
    <x v="489"/>
    <x v="550"/>
    <x v="566"/>
    <x v="292"/>
    <x v="874"/>
    <x v="1"/>
    <x v="2"/>
    <x v="2"/>
    <x v="566"/>
    <x v="0"/>
    <x v="0"/>
    <x v="3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5" cacheId="0" autoFormatId="1" applyNumberFormats="0" applyBorderFormats="0" applyFontFormats="0" applyPatternFormats="0" applyAlignmentFormats="0" applyWidthHeightFormats="1" dataCaption="" updatedVersion="5" compact="0" compactData="0" showDrill="1">
  <location ref="A1:D1067" firstHeaderRow="1" firstDataRow="1" firstDataCol="4"/>
  <pivotFields count="43">
    <pivotField axis="axisRow" compact="0" defaultSubtotal="0" outline="0" multipleItemSelectionAllowed="1" showAll="0">
      <items count="1059">
        <item x="895"/>
        <item x="581"/>
        <item x="676"/>
        <item x="881"/>
        <item x="204"/>
        <item x="817"/>
        <item x="957"/>
        <item x="440"/>
        <item x="835"/>
        <item x="938"/>
        <item x="305"/>
        <item x="733"/>
        <item x="472"/>
        <item x="168"/>
        <item x="490"/>
        <item x="748"/>
        <item x="783"/>
        <item x="424"/>
        <item x="422"/>
        <item x="551"/>
        <item x="2"/>
        <item x="418"/>
        <item x="246"/>
        <item x="37"/>
        <item x="311"/>
        <item x="854"/>
        <item x="994"/>
        <item x="720"/>
        <item x="893"/>
        <item x="1001"/>
        <item x="1002"/>
        <item x="828"/>
        <item x="644"/>
        <item x="731"/>
        <item x="207"/>
        <item x="233"/>
        <item x="147"/>
        <item x="114"/>
        <item x="366"/>
        <item x="303"/>
        <item x="247"/>
        <item x="763"/>
        <item x="809"/>
        <item x="1003"/>
        <item x="149"/>
        <item x="727"/>
        <item x="379"/>
        <item x="179"/>
        <item x="51"/>
        <item x="174"/>
        <item x="1004"/>
        <item x="609"/>
        <item x="700"/>
        <item x="797"/>
        <item x="896"/>
        <item x="715"/>
        <item x="560"/>
        <item x="155"/>
        <item x="209"/>
        <item x="461"/>
        <item x="273"/>
        <item x="54"/>
        <item x="764"/>
        <item x="143"/>
        <item x="1005"/>
        <item x="76"/>
        <item x="882"/>
        <item x="926"/>
        <item x="679"/>
        <item x="899"/>
        <item x="382"/>
        <item x="144"/>
        <item x="534"/>
        <item x="260"/>
        <item x="717"/>
        <item x="292"/>
        <item x="544"/>
        <item x="843"/>
        <item x="849"/>
        <item x="921"/>
        <item x="565"/>
        <item x="443"/>
        <item x="235"/>
        <item x="245"/>
        <item x="658"/>
        <item x="671"/>
        <item x="634"/>
        <item x="953"/>
        <item x="393"/>
        <item x="409"/>
        <item x="302"/>
        <item x="528"/>
        <item x="164"/>
        <item x="635"/>
        <item x="1006"/>
        <item x="446"/>
        <item x="785"/>
        <item x="561"/>
        <item x="670"/>
        <item x="0"/>
        <item x="496"/>
        <item x="579"/>
        <item x="318"/>
        <item x="901"/>
        <item x="65"/>
        <item x="386"/>
        <item x="391"/>
        <item x="178"/>
        <item x="34"/>
        <item x="686"/>
        <item x="862"/>
        <item x="845"/>
        <item x="1007"/>
        <item x="693"/>
        <item x="389"/>
        <item x="82"/>
        <item x="471"/>
        <item x="537"/>
        <item x="98"/>
        <item x="75"/>
        <item x="627"/>
        <item x="282"/>
        <item x="156"/>
        <item x="351"/>
        <item x="319"/>
        <item x="885"/>
        <item x="898"/>
        <item x="288"/>
        <item x="172"/>
        <item x="811"/>
        <item x="69"/>
        <item x="605"/>
        <item x="756"/>
        <item x="548"/>
        <item x="919"/>
        <item x="499"/>
        <item x="857"/>
        <item x="559"/>
        <item x="832"/>
        <item x="1008"/>
        <item x="578"/>
        <item x="252"/>
        <item x="110"/>
        <item x="84"/>
        <item x="278"/>
        <item x="795"/>
        <item x="107"/>
        <item x="592"/>
        <item x="514"/>
        <item x="698"/>
        <item x="450"/>
        <item x="821"/>
        <item x="248"/>
        <item x="927"/>
        <item x="274"/>
        <item x="13"/>
        <item x="29"/>
        <item x="868"/>
        <item x="280"/>
        <item x="1009"/>
        <item x="421"/>
        <item x="115"/>
        <item x="352"/>
        <item x="67"/>
        <item x="127"/>
        <item x="794"/>
        <item x="886"/>
        <item x="789"/>
        <item x="960"/>
        <item x="807"/>
        <item x="626"/>
        <item x="24"/>
        <item x="203"/>
        <item x="38"/>
        <item x="43"/>
        <item x="106"/>
        <item x="660"/>
        <item x="152"/>
        <item x="176"/>
        <item x="653"/>
        <item x="434"/>
        <item x="215"/>
        <item x="481"/>
        <item x="784"/>
        <item x="933"/>
        <item x="394"/>
        <item x="664"/>
        <item x="767"/>
        <item x="949"/>
        <item x="883"/>
        <item x="955"/>
        <item x="874"/>
        <item x="157"/>
        <item x="39"/>
        <item x="387"/>
        <item x="117"/>
        <item x="629"/>
        <item x="818"/>
        <item x="614"/>
        <item x="779"/>
        <item x="542"/>
        <item x="820"/>
        <item x="466"/>
        <item x="181"/>
        <item x="636"/>
        <item x="397"/>
        <item x="844"/>
        <item x="88"/>
        <item x="222"/>
        <item x="284"/>
        <item x="17"/>
        <item x="395"/>
        <item x="128"/>
        <item x="445"/>
        <item x="362"/>
        <item x="1010"/>
        <item x="57"/>
        <item x="167"/>
        <item x="141"/>
        <item x="803"/>
        <item x="902"/>
        <item x="774"/>
        <item x="910"/>
        <item x="306"/>
        <item x="752"/>
        <item x="72"/>
        <item x="925"/>
        <item x="668"/>
        <item x="729"/>
        <item x="877"/>
        <item x="480"/>
        <item x="800"/>
        <item x="1011"/>
        <item x="841"/>
        <item x="350"/>
        <item x="136"/>
        <item x="510"/>
        <item x="293"/>
        <item x="787"/>
        <item x="165"/>
        <item x="487"/>
        <item x="506"/>
        <item x="822"/>
        <item x="621"/>
        <item x="131"/>
        <item x="371"/>
        <item x="725"/>
        <item x="108"/>
        <item x="952"/>
        <item x="1012"/>
        <item x="631"/>
        <item x="232"/>
        <item x="839"/>
        <item x="324"/>
        <item x="954"/>
        <item x="470"/>
        <item x="428"/>
        <item x="475"/>
        <item x="8"/>
        <item x="331"/>
        <item x="228"/>
        <item x="91"/>
        <item x="48"/>
        <item x="336"/>
        <item x="205"/>
        <item x="633"/>
        <item x="992"/>
        <item x="376"/>
        <item x="87"/>
        <item x="759"/>
        <item x="130"/>
        <item x="757"/>
        <item x="27"/>
        <item x="736"/>
        <item x="824"/>
        <item x="493"/>
        <item x="330"/>
        <item x="485"/>
        <item x="297"/>
        <item x="900"/>
        <item x="540"/>
        <item x="894"/>
        <item x="341"/>
        <item x="724"/>
        <item x="740"/>
        <item x="399"/>
        <item x="863"/>
        <item x="262"/>
        <item x="269"/>
        <item x="790"/>
        <item x="786"/>
        <item x="755"/>
        <item x="1013"/>
        <item x="876"/>
        <item x="708"/>
        <item x="140"/>
        <item x="454"/>
        <item x="312"/>
        <item x="567"/>
        <item x="200"/>
        <item x="347"/>
        <item x="396"/>
        <item x="912"/>
        <item x="300"/>
        <item x="981"/>
        <item x="543"/>
        <item x="455"/>
        <item x="610"/>
        <item x="58"/>
        <item x="545"/>
        <item x="289"/>
        <item x="180"/>
        <item x="533"/>
        <item x="584"/>
        <item x="639"/>
        <item x="213"/>
        <item x="1014"/>
        <item x="687"/>
        <item x="458"/>
        <item x="539"/>
        <item x="406"/>
        <item x="799"/>
        <item x="939"/>
        <item x="145"/>
        <item x="308"/>
        <item x="705"/>
        <item x="723"/>
        <item x="515"/>
        <item x="259"/>
        <item x="401"/>
        <item x="86"/>
        <item x="230"/>
        <item x="596"/>
        <item x="655"/>
        <item x="642"/>
        <item x="320"/>
        <item x="467"/>
        <item x="995"/>
        <item x="672"/>
        <item x="718"/>
        <item x="761"/>
        <item x="1015"/>
        <item x="975"/>
        <item x="1016"/>
        <item x="999"/>
        <item x="1017"/>
        <item x="988"/>
        <item x="301"/>
        <item x="753"/>
        <item x="266"/>
        <item x="875"/>
        <item x="519"/>
        <item x="728"/>
        <item x="201"/>
        <item x="299"/>
        <item x="942"/>
        <item x="358"/>
        <item x="436"/>
        <item x="281"/>
        <item x="735"/>
        <item x="805"/>
        <item x="435"/>
        <item x="620"/>
        <item x="492"/>
        <item x="792"/>
        <item x="850"/>
        <item x="905"/>
        <item x="121"/>
        <item x="867"/>
        <item x="349"/>
        <item x="749"/>
        <item x="188"/>
        <item x="1018"/>
        <item x="866"/>
        <item x="463"/>
        <item x="529"/>
        <item x="501"/>
        <item x="126"/>
        <item x="619"/>
        <item x="206"/>
        <item x="853"/>
        <item x="531"/>
        <item x="782"/>
        <item x="1019"/>
        <item x="711"/>
        <item x="928"/>
        <item x="294"/>
        <item x="469"/>
        <item x="338"/>
        <item x="989"/>
        <item x="638"/>
        <item x="856"/>
        <item x="884"/>
        <item x="550"/>
        <item x="241"/>
        <item x="552"/>
        <item x="509"/>
        <item x="943"/>
        <item x="427"/>
        <item x="647"/>
        <item x="716"/>
        <item x="185"/>
        <item x="873"/>
        <item x="888"/>
        <item x="326"/>
        <item x="564"/>
        <item x="408"/>
        <item x="680"/>
        <item x="662"/>
        <item x="706"/>
        <item x="287"/>
        <item x="734"/>
        <item x="730"/>
        <item x="449"/>
        <item x="532"/>
        <item x="572"/>
        <item x="963"/>
        <item x="277"/>
        <item x="628"/>
        <item x="657"/>
        <item x="193"/>
        <item x="60"/>
        <item x="722"/>
        <item x="600"/>
        <item x="591"/>
        <item x="780"/>
        <item x="922"/>
        <item x="4"/>
        <item x="667"/>
        <item x="688"/>
        <item x="226"/>
        <item x="1020"/>
        <item x="316"/>
        <item x="56"/>
        <item x="503"/>
        <item x="872"/>
        <item x="32"/>
        <item x="709"/>
        <item x="498"/>
        <item x="826"/>
        <item x="594"/>
        <item x="138"/>
        <item x="448"/>
        <item x="378"/>
        <item x="124"/>
        <item x="240"/>
        <item x="328"/>
        <item x="220"/>
        <item x="158"/>
        <item x="95"/>
        <item x="931"/>
        <item x="5"/>
        <item x="225"/>
        <item x="911"/>
        <item x="414"/>
        <item x="608"/>
        <item x="255"/>
        <item x="714"/>
        <item x="958"/>
        <item x="295"/>
        <item x="704"/>
        <item x="268"/>
        <item x="1021"/>
        <item x="186"/>
        <item x="771"/>
        <item x="997"/>
        <item x="656"/>
        <item x="309"/>
        <item x="66"/>
        <item x="71"/>
        <item x="346"/>
        <item x="860"/>
        <item x="229"/>
        <item x="47"/>
        <item x="97"/>
        <item x="90"/>
        <item x="500"/>
        <item x="1022"/>
        <item x="675"/>
        <item x="965"/>
        <item x="865"/>
        <item x="685"/>
        <item x="595"/>
        <item x="237"/>
        <item x="251"/>
        <item x="793"/>
        <item x="637"/>
        <item x="986"/>
        <item x="580"/>
        <item x="661"/>
        <item x="505"/>
        <item x="348"/>
        <item x="425"/>
        <item x="613"/>
        <item x="323"/>
        <item x="760"/>
        <item x="778"/>
        <item x="384"/>
        <item x="987"/>
        <item x="314"/>
        <item x="236"/>
        <item x="52"/>
        <item x="290"/>
        <item x="524"/>
        <item x="566"/>
        <item x="332"/>
        <item x="468"/>
        <item x="244"/>
        <item x="1023"/>
        <item x="135"/>
        <item x="520"/>
        <item x="934"/>
        <item x="192"/>
        <item x="160"/>
        <item x="588"/>
        <item x="847"/>
        <item x="317"/>
        <item x="380"/>
        <item x="437"/>
        <item x="457"/>
        <item x="683"/>
        <item x="936"/>
        <item x="166"/>
        <item x="374"/>
        <item x="1024"/>
        <item x="812"/>
        <item x="486"/>
        <item x="426"/>
        <item x="521"/>
        <item x="570"/>
        <item x="148"/>
        <item x="737"/>
        <item x="1025"/>
        <item x="640"/>
        <item x="781"/>
        <item x="651"/>
        <item x="518"/>
        <item x="1026"/>
        <item x="855"/>
        <item x="982"/>
        <item x="909"/>
        <item x="758"/>
        <item x="558"/>
        <item x="732"/>
        <item x="915"/>
        <item x="438"/>
        <item x="353"/>
        <item x="940"/>
        <item x="681"/>
        <item x="617"/>
        <item x="825"/>
        <item x="602"/>
        <item x="674"/>
        <item x="342"/>
        <item x="337"/>
        <item x="516"/>
        <item x="150"/>
        <item x="31"/>
        <item x="41"/>
        <item x="184"/>
        <item x="132"/>
        <item x="14"/>
        <item x="53"/>
        <item x="3"/>
        <item x="35"/>
        <item x="33"/>
        <item x="119"/>
        <item x="125"/>
        <item x="1027"/>
        <item x="83"/>
        <item x="1028"/>
        <item x="25"/>
        <item x="23"/>
        <item x="30"/>
        <item x="59"/>
        <item x="122"/>
        <item x="283"/>
        <item x="9"/>
        <item x="1"/>
        <item x="159"/>
        <item x="641"/>
        <item x="616"/>
        <item x="74"/>
        <item x="329"/>
        <item x="78"/>
        <item x="285"/>
        <item x="589"/>
        <item x="1029"/>
        <item x="100"/>
        <item x="1030"/>
        <item x="555"/>
        <item x="417"/>
        <item x="1031"/>
        <item x="202"/>
        <item x="327"/>
        <item x="11"/>
        <item x="1034"/>
        <item x="361"/>
        <item x="586"/>
        <item x="10"/>
        <item x="123"/>
        <item x="103"/>
        <item x="61"/>
        <item x="562"/>
        <item x="363"/>
        <item x="1032"/>
        <item x="291"/>
        <item x="93"/>
        <item x="22"/>
        <item x="388"/>
        <item x="304"/>
        <item x="557"/>
        <item x="697"/>
        <item x="750"/>
        <item x="879"/>
        <item x="430"/>
        <item x="517"/>
        <item x="360"/>
        <item x="1035"/>
        <item x="624"/>
        <item x="139"/>
        <item x="63"/>
        <item x="598"/>
        <item x="815"/>
        <item x="741"/>
        <item x="556"/>
        <item x="1036"/>
        <item x="261"/>
        <item x="275"/>
        <item x="465"/>
        <item x="1033"/>
        <item x="420"/>
        <item x="1037"/>
        <item x="478"/>
        <item x="335"/>
        <item x="739"/>
        <item x="250"/>
        <item x="217"/>
        <item x="368"/>
        <item x="79"/>
        <item x="223"/>
        <item x="1038"/>
        <item x="153"/>
        <item x="1039"/>
        <item x="279"/>
        <item x="210"/>
        <item x="276"/>
        <item x="18"/>
        <item x="16"/>
        <item x="411"/>
        <item x="224"/>
        <item x="769"/>
        <item x="370"/>
        <item x="92"/>
        <item x="102"/>
        <item x="104"/>
        <item x="402"/>
        <item x="272"/>
        <item x="7"/>
        <item x="111"/>
        <item x="743"/>
        <item x="646"/>
        <item x="451"/>
        <item x="120"/>
        <item x="632"/>
        <item x="796"/>
        <item x="507"/>
        <item x="810"/>
        <item x="611"/>
        <item x="333"/>
        <item x="322"/>
        <item x="923"/>
        <item x="649"/>
        <item x="218"/>
        <item x="643"/>
        <item x="650"/>
        <item x="310"/>
        <item x="833"/>
        <item x="897"/>
        <item x="746"/>
        <item x="547"/>
        <item x="375"/>
        <item x="751"/>
        <item x="385"/>
        <item x="407"/>
        <item x="932"/>
        <item x="618"/>
        <item x="6"/>
        <item x="494"/>
        <item x="36"/>
        <item x="1040"/>
        <item x="947"/>
        <item x="673"/>
        <item x="354"/>
        <item x="840"/>
        <item x="526"/>
        <item x="381"/>
        <item x="762"/>
        <item x="195"/>
        <item x="495"/>
        <item x="169"/>
        <item x="134"/>
        <item x="369"/>
        <item x="133"/>
        <item x="227"/>
        <item x="607"/>
        <item x="593"/>
        <item x="405"/>
        <item x="819"/>
        <item x="453"/>
        <item x="191"/>
        <item x="713"/>
        <item x="583"/>
        <item x="321"/>
        <item x="801"/>
        <item x="40"/>
        <item x="1041"/>
        <item x="383"/>
        <item x="459"/>
        <item x="73"/>
        <item x="101"/>
        <item x="94"/>
        <item x="62"/>
        <item x="12"/>
        <item x="19"/>
        <item x="21"/>
        <item x="231"/>
        <item x="432"/>
        <item x="96"/>
        <item x="42"/>
        <item x="525"/>
        <item x="298"/>
        <item x="669"/>
        <item x="990"/>
        <item x="968"/>
        <item x="622"/>
        <item x="747"/>
        <item x="265"/>
        <item x="678"/>
        <item x="838"/>
        <item x="345"/>
        <item x="296"/>
        <item x="254"/>
        <item x="253"/>
        <item x="214"/>
        <item x="1042"/>
        <item x="604"/>
        <item x="340"/>
        <item x="1043"/>
        <item x="536"/>
        <item x="571"/>
        <item x="392"/>
        <item x="483"/>
        <item x="1044"/>
        <item x="400"/>
        <item x="612"/>
        <item x="464"/>
        <item x="601"/>
        <item x="603"/>
        <item x="575"/>
        <item x="344"/>
        <item x="538"/>
        <item x="373"/>
        <item x="574"/>
        <item x="175"/>
        <item x="431"/>
        <item x="703"/>
        <item x="623"/>
        <item x="249"/>
        <item x="890"/>
        <item x="861"/>
        <item x="948"/>
        <item x="945"/>
        <item x="946"/>
        <item x="916"/>
        <item x="956"/>
        <item x="941"/>
        <item x="969"/>
        <item x="976"/>
        <item x="930"/>
        <item x="920"/>
        <item x="950"/>
        <item x="964"/>
        <item x="977"/>
        <item x="869"/>
        <item x="891"/>
        <item x="974"/>
        <item x="961"/>
        <item x="970"/>
        <item x="827"/>
        <item x="959"/>
        <item x="944"/>
        <item x="978"/>
        <item x="907"/>
        <item x="972"/>
        <item x="908"/>
        <item x="971"/>
        <item x="951"/>
        <item x="983"/>
        <item x="937"/>
        <item x="1045"/>
        <item x="109"/>
        <item x="423"/>
        <item x="1046"/>
        <item x="719"/>
        <item x="692"/>
        <item x="46"/>
        <item x="702"/>
        <item x="829"/>
        <item x="806"/>
        <item x="99"/>
        <item x="257"/>
        <item x="239"/>
        <item x="694"/>
        <item x="359"/>
        <item x="365"/>
        <item x="221"/>
        <item x="190"/>
        <item x="313"/>
        <item x="118"/>
        <item x="243"/>
        <item x="512"/>
        <item x="788"/>
        <item x="842"/>
        <item x="68"/>
        <item x="535"/>
        <item x="508"/>
        <item x="846"/>
        <item x="49"/>
        <item x="707"/>
        <item x="684"/>
        <item x="161"/>
        <item x="212"/>
        <item x="690"/>
        <item x="798"/>
        <item x="682"/>
        <item x="848"/>
        <item x="1048"/>
        <item x="1047"/>
        <item x="502"/>
        <item x="377"/>
        <item x="935"/>
        <item x="765"/>
        <item x="914"/>
        <item x="659"/>
        <item x="870"/>
        <item x="742"/>
        <item x="484"/>
        <item x="198"/>
        <item x="530"/>
        <item x="903"/>
        <item x="808"/>
        <item x="754"/>
        <item x="1049"/>
        <item x="479"/>
        <item x="553"/>
        <item x="625"/>
        <item x="652"/>
        <item x="522"/>
        <item x="991"/>
        <item x="691"/>
        <item x="772"/>
        <item x="1050"/>
        <item x="429"/>
        <item x="267"/>
        <item x="929"/>
        <item x="307"/>
        <item x="712"/>
        <item x="80"/>
        <item x="482"/>
        <item x="355"/>
        <item x="1051"/>
        <item x="474"/>
        <item x="979"/>
        <item x="871"/>
        <item x="773"/>
        <item x="776"/>
        <item x="476"/>
        <item x="576"/>
        <item x="315"/>
        <item x="444"/>
        <item x="597"/>
        <item x="194"/>
        <item x="880"/>
        <item x="513"/>
        <item x="412"/>
        <item x="242"/>
        <item x="447"/>
        <item x="216"/>
        <item x="187"/>
        <item x="15"/>
        <item x="116"/>
        <item x="45"/>
        <item x="271"/>
        <item x="77"/>
        <item x="1052"/>
        <item x="582"/>
        <item x="177"/>
        <item x="28"/>
        <item x="163"/>
        <item x="263"/>
        <item x="208"/>
        <item x="20"/>
        <item x="441"/>
        <item x="831"/>
        <item x="199"/>
        <item x="452"/>
        <item x="527"/>
        <item x="70"/>
        <item x="264"/>
        <item x="477"/>
        <item x="357"/>
        <item x="182"/>
        <item x="398"/>
        <item x="112"/>
        <item x="197"/>
        <item x="1000"/>
        <item x="973"/>
        <item x="775"/>
        <item x="569"/>
        <item x="511"/>
        <item x="523"/>
        <item x="339"/>
        <item x="699"/>
        <item x="343"/>
        <item x="419"/>
        <item x="410"/>
        <item x="403"/>
        <item x="415"/>
        <item x="55"/>
        <item x="777"/>
        <item x="859"/>
        <item x="1053"/>
        <item x="892"/>
        <item x="665"/>
        <item x="416"/>
        <item x="404"/>
        <item x="219"/>
        <item x="738"/>
        <item x="599"/>
        <item x="590"/>
        <item x="851"/>
        <item x="162"/>
        <item x="497"/>
        <item x="105"/>
        <item x="238"/>
        <item x="334"/>
        <item x="889"/>
        <item x="211"/>
        <item x="913"/>
        <item x="823"/>
        <item x="710"/>
        <item x="256"/>
        <item x="804"/>
        <item x="770"/>
        <item x="906"/>
        <item x="491"/>
        <item x="129"/>
        <item x="171"/>
        <item x="984"/>
        <item x="996"/>
        <item x="170"/>
        <item x="745"/>
        <item x="1054"/>
        <item x="234"/>
        <item x="980"/>
        <item x="993"/>
        <item x="44"/>
        <item x="460"/>
        <item x="768"/>
        <item x="878"/>
        <item x="615"/>
        <item x="689"/>
        <item x="924"/>
        <item x="137"/>
        <item x="813"/>
        <item x="830"/>
        <item x="413"/>
        <item x="858"/>
        <item x="630"/>
        <item x="962"/>
        <item x="917"/>
        <item x="356"/>
        <item x="26"/>
        <item x="568"/>
        <item x="258"/>
        <item x="985"/>
        <item x="1055"/>
        <item x="802"/>
        <item x="433"/>
        <item x="837"/>
        <item x="142"/>
        <item x="648"/>
        <item x="154"/>
        <item x="998"/>
        <item x="196"/>
        <item x="587"/>
        <item x="546"/>
        <item x="1056"/>
        <item x="864"/>
        <item x="834"/>
        <item x="504"/>
        <item x="666"/>
        <item x="173"/>
        <item x="270"/>
        <item x="183"/>
        <item x="701"/>
        <item x="473"/>
        <item x="816"/>
        <item x="966"/>
        <item x="541"/>
        <item x="677"/>
        <item x="286"/>
        <item x="489"/>
        <item x="364"/>
        <item x="904"/>
        <item x="606"/>
        <item x="726"/>
        <item x="367"/>
        <item x="573"/>
        <item x="390"/>
        <item x="488"/>
        <item x="814"/>
        <item x="64"/>
        <item x="663"/>
        <item x="325"/>
        <item x="85"/>
        <item x="456"/>
        <item x="695"/>
        <item x="50"/>
        <item x="577"/>
        <item x="146"/>
        <item x="462"/>
        <item x="887"/>
        <item x="696"/>
        <item x="189"/>
        <item x="89"/>
        <item x="372"/>
        <item x="654"/>
        <item x="836"/>
        <item x="791"/>
        <item x="554"/>
        <item x="645"/>
        <item x="563"/>
        <item x="549"/>
        <item x="585"/>
        <item x="766"/>
        <item x="113"/>
        <item x="744"/>
        <item x="151"/>
        <item x="721"/>
        <item x="442"/>
        <item x="852"/>
        <item x="918"/>
        <item x="967"/>
        <item x="1057"/>
        <item x="439"/>
        <item x="1058"/>
        <item x="81"/>
      </items>
    </pivotField>
    <pivotField compact="0" outline="0" multipleItemSelectionAllowed="1" showAll="0"/>
    <pivotField axis="axisRow" compact="0" defaultSubtotal="0" outline="0" multipleItemSelectionAllowed="1" showAll="0">
      <items count="6">
        <item x="2"/>
        <item x="1"/>
        <item x="5"/>
        <item x="0"/>
        <item x="3"/>
        <item x="4"/>
      </items>
    </pivotField>
    <pivotField compact="0" outline="0" multipleItemSelectionAllowed="1" showAll="0"/>
    <pivotField axis="axisRow" compact="0" outline="0" multipleItemSelectionAllowed="1" showAll="0">
      <items count="83">
        <item x="46"/>
        <item x="38"/>
        <item x="65"/>
        <item x="32"/>
        <item x="33"/>
        <item x="60"/>
        <item x="61"/>
        <item x="57"/>
        <item x="53"/>
        <item x="76"/>
        <item x="13"/>
        <item x="31"/>
        <item x="51"/>
        <item x="11"/>
        <item x="63"/>
        <item x="29"/>
        <item x="10"/>
        <item x="75"/>
        <item x="36"/>
        <item x="48"/>
        <item x="68"/>
        <item x="67"/>
        <item x="7"/>
        <item x="69"/>
        <item x="42"/>
        <item x="25"/>
        <item x="45"/>
        <item x="80"/>
        <item x="41"/>
        <item x="55"/>
        <item x="64"/>
        <item x="39"/>
        <item x="0"/>
        <item x="34"/>
        <item x="27"/>
        <item x="23"/>
        <item x="79"/>
        <item x="78"/>
        <item x="26"/>
        <item x="47"/>
        <item x="81"/>
        <item x="56"/>
        <item x="43"/>
        <item x="22"/>
        <item x="54"/>
        <item x="44"/>
        <item x="2"/>
        <item x="8"/>
        <item x="20"/>
        <item x="16"/>
        <item x="9"/>
        <item x="12"/>
        <item x="21"/>
        <item x="59"/>
        <item x="19"/>
        <item x="30"/>
        <item x="66"/>
        <item x="17"/>
        <item x="62"/>
        <item x="52"/>
        <item x="72"/>
        <item x="58"/>
        <item x="28"/>
        <item x="24"/>
        <item x="35"/>
        <item x="49"/>
        <item x="74"/>
        <item x="15"/>
        <item x="40"/>
        <item x="70"/>
        <item x="3"/>
        <item x="73"/>
        <item x="4"/>
        <item x="77"/>
        <item x="5"/>
        <item x="14"/>
        <item x="37"/>
        <item x="50"/>
        <item x="18"/>
        <item x="6"/>
        <item x="71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defaultSubtotal="0" outline="0" multipleItemSelectionAllowed="1" showAll="0">
      <items count="59">
        <item x="20"/>
        <item x="10"/>
        <item x="8"/>
        <item x="46"/>
        <item x="43"/>
        <item x="19"/>
        <item x="2"/>
        <item x="35"/>
        <item x="49"/>
        <item x="38"/>
        <item x="48"/>
        <item x="55"/>
        <item x="37"/>
        <item x="50"/>
        <item x="56"/>
        <item x="33"/>
        <item x="23"/>
        <item x="5"/>
        <item x="14"/>
        <item x="40"/>
        <item x="4"/>
        <item x="52"/>
        <item x="9"/>
        <item x="13"/>
        <item x="54"/>
        <item x="58"/>
        <item x="44"/>
        <item x="57"/>
        <item x="45"/>
        <item x="47"/>
        <item x="31"/>
        <item x="15"/>
        <item x="42"/>
        <item x="7"/>
        <item x="0"/>
        <item x="51"/>
        <item x="12"/>
        <item x="34"/>
        <item x="24"/>
        <item x="53"/>
        <item x="22"/>
        <item x="11"/>
        <item x="27"/>
        <item x="1"/>
        <item x="28"/>
        <item x="41"/>
        <item x="26"/>
        <item x="17"/>
        <item x="18"/>
        <item x="21"/>
        <item x="16"/>
        <item x="29"/>
        <item x="6"/>
        <item x="30"/>
        <item x="39"/>
        <item x="32"/>
        <item x="36"/>
        <item x="25"/>
        <item x="3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4">
    <field x="13"/>
    <field x="0"/>
    <field x="2"/>
    <field x="4"/>
  </rowFields>
  <rowItems count="1066">
    <i>
      <x/>
      <x v="16"/>
      <x/>
      <x v="81"/>
    </i>
    <i r="1">
      <x v="336"/>
      <x/>
      <x v="81"/>
    </i>
    <i r="1">
      <x v="358"/>
      <x/>
      <x v="81"/>
    </i>
    <i r="1">
      <x v="390"/>
      <x v="1"/>
      <x v="12"/>
    </i>
    <i r="1">
      <x v="404"/>
      <x/>
      <x v="81"/>
    </i>
    <i r="1">
      <x v="423"/>
      <x/>
      <x v="81"/>
    </i>
    <i r="1">
      <x v="424"/>
      <x/>
      <x v="81"/>
    </i>
    <i r="1">
      <x v="522"/>
      <x/>
      <x v="81"/>
    </i>
    <i r="1">
      <x v="528"/>
      <x/>
      <x v="81"/>
    </i>
    <i r="1">
      <x v="551"/>
      <x/>
      <x v="81"/>
    </i>
    <i r="1">
      <x v="713"/>
      <x/>
      <x v="81"/>
    </i>
    <i r="1">
      <x v="769"/>
      <x/>
      <x v="81"/>
    </i>
    <i r="1">
      <x v="820"/>
      <x/>
      <x v="81"/>
    </i>
    <i r="1">
      <x v="908"/>
      <x v="1"/>
      <x v="81"/>
    </i>
    <i r="1">
      <x v="909"/>
      <x/>
      <x v="81"/>
    </i>
    <i r="1">
      <x v="910"/>
      <x/>
      <x v="81"/>
    </i>
    <i r="1">
      <x v="925"/>
      <x/>
      <x v="81"/>
    </i>
    <i r="1">
      <x v="926"/>
      <x/>
      <x v="81"/>
    </i>
    <i r="1">
      <x v="927"/>
      <x/>
      <x v="81"/>
    </i>
    <i r="1">
      <x v="928"/>
      <x/>
      <x v="81"/>
    </i>
    <i r="1">
      <x v="953"/>
      <x/>
      <x v="81"/>
    </i>
    <i r="1">
      <x v="964"/>
      <x/>
      <x v="81"/>
    </i>
    <i>
      <x v="1"/>
      <x v="309"/>
      <x/>
      <x v="81"/>
    </i>
    <i r="1">
      <x v="352"/>
      <x/>
      <x v="81"/>
    </i>
    <i r="1">
      <x v="419"/>
      <x/>
      <x v="81"/>
    </i>
    <i r="1">
      <x v="552"/>
      <x v="1"/>
      <x v="81"/>
    </i>
    <i r="1">
      <x v="688"/>
      <x/>
      <x v="81"/>
    </i>
    <i r="1">
      <x v="690"/>
      <x/>
      <x v="81"/>
    </i>
    <i r="1">
      <x v="880"/>
      <x/>
      <x v="81"/>
    </i>
    <i r="1">
      <x v="881"/>
      <x/>
      <x v="81"/>
    </i>
    <i r="1">
      <x v="882"/>
      <x/>
      <x v="81"/>
    </i>
    <i r="1">
      <x v="899"/>
      <x/>
      <x v="81"/>
    </i>
    <i r="1">
      <x v="902"/>
      <x v="1"/>
      <x v="81"/>
    </i>
    <i r="1">
      <x v="903"/>
      <x/>
      <x v="64"/>
    </i>
    <i r="1">
      <x v="905"/>
      <x/>
      <x v="81"/>
    </i>
    <i r="1">
      <x v="906"/>
      <x/>
      <x v="81"/>
    </i>
    <i r="1">
      <x v="911"/>
      <x v="1"/>
      <x v="81"/>
    </i>
    <i r="1">
      <x v="912"/>
      <x/>
      <x v="81"/>
    </i>
    <i r="1">
      <x v="959"/>
      <x/>
      <x v="81"/>
    </i>
    <i r="1">
      <x v="960"/>
      <x/>
      <x v="81"/>
    </i>
    <i r="1">
      <x v="965"/>
      <x v="3"/>
      <x v="81"/>
    </i>
    <i r="1">
      <x v="975"/>
      <x/>
      <x v="81"/>
    </i>
    <i r="1">
      <x v="976"/>
      <x/>
      <x v="81"/>
    </i>
    <i r="1">
      <x v="981"/>
      <x/>
      <x v="81"/>
    </i>
    <i r="1">
      <x v="986"/>
      <x/>
      <x v="81"/>
    </i>
    <i>
      <x v="2"/>
      <x v="71"/>
      <x/>
      <x v="81"/>
    </i>
    <i r="1">
      <x v="73"/>
      <x v="3"/>
      <x v="81"/>
    </i>
    <i r="1">
      <x v="104"/>
      <x v="1"/>
      <x v="81"/>
    </i>
    <i r="1">
      <x v="174"/>
      <x v="1"/>
      <x v="81"/>
    </i>
    <i r="1">
      <x v="249"/>
      <x/>
      <x v="81"/>
    </i>
    <i r="1">
      <x v="301"/>
      <x/>
      <x v="81"/>
    </i>
    <i r="1">
      <x v="483"/>
      <x/>
      <x v="81"/>
    </i>
    <i r="1">
      <x v="523"/>
      <x v="1"/>
      <x v="81"/>
    </i>
    <i r="1">
      <x v="699"/>
      <x/>
      <x v="81"/>
    </i>
    <i r="1">
      <x v="700"/>
      <x/>
      <x v="81"/>
    </i>
    <i r="1">
      <x v="701"/>
      <x/>
      <x v="81"/>
    </i>
    <i r="1">
      <x v="702"/>
      <x/>
      <x v="81"/>
    </i>
    <i r="1">
      <x v="703"/>
      <x/>
      <x v="81"/>
    </i>
    <i r="1">
      <x v="710"/>
      <x/>
      <x v="81"/>
    </i>
    <i r="1">
      <x v="764"/>
      <x/>
      <x v="81"/>
    </i>
    <i r="1">
      <x v="770"/>
      <x/>
      <x v="81"/>
    </i>
    <i r="1">
      <x v="828"/>
      <x v="1"/>
      <x v="81"/>
    </i>
    <i r="1">
      <x v="887"/>
      <x/>
      <x v="81"/>
    </i>
    <i r="1">
      <x v="888"/>
      <x/>
      <x v="81"/>
    </i>
    <i r="1">
      <x v="889"/>
      <x/>
      <x v="81"/>
    </i>
    <i r="1">
      <x v="890"/>
      <x v="1"/>
      <x v="81"/>
    </i>
    <i r="1">
      <x v="891"/>
      <x/>
      <x v="81"/>
    </i>
    <i r="1">
      <x v="892"/>
      <x v="1"/>
      <x v="81"/>
    </i>
    <i r="1">
      <x v="893"/>
      <x/>
      <x v="81"/>
    </i>
    <i r="1">
      <x v="896"/>
      <x/>
      <x v="81"/>
    </i>
    <i r="1">
      <x v="900"/>
      <x/>
      <x v="81"/>
    </i>
    <i r="1">
      <x v="936"/>
      <x/>
      <x v="81"/>
    </i>
    <i r="1">
      <x v="1023"/>
      <x v="1"/>
      <x v="81"/>
    </i>
    <i r="1">
      <x v="1029"/>
      <x v="1"/>
      <x v="79"/>
    </i>
    <i>
      <x v="3"/>
      <x v="490"/>
      <x/>
      <x v="81"/>
    </i>
    <i r="1">
      <x v="771"/>
      <x/>
      <x v="81"/>
    </i>
    <i r="1">
      <x v="1032"/>
      <x/>
      <x v="81"/>
    </i>
    <i r="1">
      <x v="1033"/>
      <x/>
      <x v="81"/>
    </i>
    <i r="1">
      <x v="1034"/>
      <x/>
      <x v="81"/>
    </i>
    <i>
      <x v="4"/>
      <x v="194"/>
      <x/>
      <x v="81"/>
    </i>
    <i r="1">
      <x v="772"/>
      <x/>
      <x v="81"/>
    </i>
    <i r="1">
      <x v="842"/>
      <x/>
      <x v="81"/>
    </i>
    <i>
      <x v="5"/>
      <x v="163"/>
      <x v="1"/>
      <x v="16"/>
    </i>
    <i r="1">
      <x v="878"/>
      <x/>
      <x v="81"/>
    </i>
    <i>
      <x v="6"/>
      <x v="14"/>
      <x/>
      <x v="81"/>
    </i>
    <i r="1">
      <x v="15"/>
      <x/>
      <x v="81"/>
    </i>
    <i r="1">
      <x v="20"/>
      <x v="1"/>
      <x v="81"/>
    </i>
    <i r="1">
      <x v="21"/>
      <x/>
      <x v="81"/>
    </i>
    <i r="1">
      <x v="22"/>
      <x/>
      <x v="81"/>
    </i>
    <i r="1">
      <x v="23"/>
      <x v="1"/>
      <x v="81"/>
    </i>
    <i r="1">
      <x v="24"/>
      <x/>
      <x v="11"/>
    </i>
    <i r="1">
      <x v="61"/>
      <x v="1"/>
      <x v="81"/>
    </i>
    <i r="1">
      <x v="63"/>
      <x/>
      <x v="81"/>
    </i>
    <i r="1">
      <x v="65"/>
      <x v="1"/>
      <x v="81"/>
    </i>
    <i r="1">
      <x v="76"/>
      <x/>
      <x v="81"/>
    </i>
    <i r="1">
      <x v="124"/>
      <x/>
      <x v="81"/>
    </i>
    <i r="1">
      <x v="142"/>
      <x/>
      <x v="81"/>
    </i>
    <i r="1">
      <x v="143"/>
      <x v="1"/>
      <x v="67"/>
    </i>
    <i r="1">
      <x v="149"/>
      <x/>
      <x v="81"/>
    </i>
    <i r="1">
      <x v="154"/>
      <x v="3"/>
      <x v="15"/>
    </i>
    <i r="1">
      <x v="236"/>
      <x/>
      <x v="81"/>
    </i>
    <i r="1">
      <x v="239"/>
      <x v="1"/>
      <x v="81"/>
    </i>
    <i r="1">
      <x v="244"/>
      <x v="1"/>
      <x v="81"/>
    </i>
    <i r="1">
      <x v="245"/>
      <x/>
      <x v="81"/>
    </i>
    <i r="1">
      <x v="280"/>
      <x/>
      <x v="81"/>
    </i>
    <i r="1">
      <x v="315"/>
      <x/>
      <x v="81"/>
    </i>
    <i r="1">
      <x v="331"/>
      <x v="3"/>
      <x v="81"/>
    </i>
    <i r="1">
      <x v="718"/>
      <x/>
      <x v="81"/>
    </i>
    <i r="1">
      <x v="824"/>
      <x v="1"/>
      <x v="81"/>
    </i>
    <i r="1">
      <x v="867"/>
      <x/>
      <x v="81"/>
    </i>
    <i r="1">
      <x v="874"/>
      <x/>
      <x v="81"/>
    </i>
    <i r="1">
      <x v="875"/>
      <x/>
      <x v="81"/>
    </i>
    <i r="1">
      <x v="877"/>
      <x/>
      <x v="81"/>
    </i>
    <i r="1">
      <x v="944"/>
      <x v="1"/>
      <x v="81"/>
    </i>
    <i r="1">
      <x v="983"/>
      <x v="1"/>
      <x v="72"/>
    </i>
    <i r="1">
      <x v="992"/>
      <x/>
      <x v="81"/>
    </i>
    <i>
      <x v="7"/>
      <x v="31"/>
      <x/>
      <x v="81"/>
    </i>
    <i r="1">
      <x v="84"/>
      <x/>
      <x v="81"/>
    </i>
    <i r="1">
      <x v="85"/>
      <x/>
      <x v="81"/>
    </i>
    <i r="1">
      <x v="346"/>
      <x v="3"/>
      <x v="81"/>
    </i>
    <i r="1">
      <x v="416"/>
      <x/>
      <x v="81"/>
    </i>
    <i r="1">
      <x v="781"/>
      <x/>
      <x v="81"/>
    </i>
    <i r="1">
      <x v="961"/>
      <x/>
      <x v="81"/>
    </i>
    <i>
      <x v="8"/>
      <x v="145"/>
      <x v="3"/>
      <x v="2"/>
    </i>
    <i r="1">
      <x v="199"/>
      <x v="3"/>
      <x v="14"/>
    </i>
    <i r="1">
      <x v="372"/>
      <x v="3"/>
      <x v="81"/>
    </i>
    <i r="1">
      <x v="384"/>
      <x v="3"/>
      <x v="81"/>
    </i>
    <i r="1">
      <x v="385"/>
      <x v="3"/>
      <x v="81"/>
    </i>
    <i r="1">
      <x v="402"/>
      <x v="3"/>
      <x v="81"/>
    </i>
    <i r="1">
      <x v="428"/>
      <x/>
      <x v="81"/>
    </i>
    <i r="1">
      <x v="453"/>
      <x v="1"/>
      <x v="81"/>
    </i>
    <i r="1">
      <x v="495"/>
      <x v="3"/>
      <x v="53"/>
    </i>
    <i r="1">
      <x v="504"/>
      <x v="3"/>
      <x/>
    </i>
    <i r="1">
      <x v="539"/>
      <x/>
      <x v="81"/>
    </i>
    <i r="1">
      <x v="830"/>
      <x/>
      <x v="81"/>
    </i>
    <i r="1">
      <x v="962"/>
      <x/>
      <x v="81"/>
    </i>
    <i r="1">
      <x v="980"/>
      <x/>
      <x v="81"/>
    </i>
    <i r="1">
      <x v="998"/>
      <x v="3"/>
      <x v="81"/>
    </i>
    <i>
      <x v="9"/>
      <x v="901"/>
      <x v="3"/>
      <x v="81"/>
    </i>
    <i r="1">
      <x v="1006"/>
      <x/>
      <x v="81"/>
    </i>
    <i r="1">
      <x v="1007"/>
      <x/>
      <x v="81"/>
    </i>
    <i r="1">
      <x v="1008"/>
      <x/>
      <x v="81"/>
    </i>
    <i r="1">
      <x v="1009"/>
      <x/>
      <x v="81"/>
    </i>
    <i r="1">
      <x v="1010"/>
      <x/>
      <x v="81"/>
    </i>
    <i>
      <x v="10"/>
      <x v="279"/>
      <x/>
      <x v="81"/>
    </i>
    <i r="1">
      <x v="305"/>
      <x/>
      <x v="81"/>
    </i>
    <i r="1">
      <x v="782"/>
      <x/>
      <x v="81"/>
    </i>
    <i>
      <x v="11"/>
      <x v="136"/>
      <x/>
      <x v="81"/>
    </i>
    <i r="1">
      <x v="773"/>
      <x/>
      <x v="81"/>
    </i>
    <i>
      <x v="12"/>
      <x v="55"/>
      <x/>
      <x v="81"/>
    </i>
    <i r="1">
      <x v="90"/>
      <x/>
      <x v="81"/>
    </i>
    <i r="1">
      <x v="166"/>
      <x/>
      <x v="81"/>
    </i>
    <i r="1">
      <x v="188"/>
      <x/>
      <x v="81"/>
    </i>
    <i r="1">
      <x v="189"/>
      <x v="3"/>
      <x v="81"/>
    </i>
    <i r="1">
      <x v="190"/>
      <x/>
      <x v="81"/>
    </i>
    <i r="1">
      <x v="191"/>
      <x/>
      <x v="81"/>
    </i>
    <i r="1">
      <x v="266"/>
      <x/>
      <x v="81"/>
    </i>
    <i r="1">
      <x v="285"/>
      <x v="3"/>
      <x v="81"/>
    </i>
    <i r="1">
      <x v="287"/>
      <x/>
      <x v="81"/>
    </i>
    <i r="1">
      <x v="389"/>
      <x/>
      <x v="81"/>
    </i>
    <i r="1">
      <x v="393"/>
      <x/>
      <x v="81"/>
    </i>
    <i r="1">
      <x v="401"/>
      <x/>
      <x v="81"/>
    </i>
    <i r="1">
      <x v="415"/>
      <x v="3"/>
      <x v="31"/>
    </i>
    <i r="1">
      <x v="465"/>
      <x v="3"/>
      <x v="81"/>
    </i>
    <i r="1">
      <x v="505"/>
      <x v="3"/>
      <x v="81"/>
    </i>
    <i r="1">
      <x v="506"/>
      <x/>
      <x v="31"/>
    </i>
    <i r="1">
      <x v="538"/>
      <x v="3"/>
      <x v="81"/>
    </i>
    <i r="1">
      <x v="705"/>
      <x v="1"/>
      <x v="77"/>
    </i>
    <i r="1">
      <x v="711"/>
      <x/>
      <x v="81"/>
    </i>
    <i r="1">
      <x v="780"/>
      <x/>
      <x v="81"/>
    </i>
    <i r="1">
      <x v="827"/>
      <x/>
      <x v="81"/>
    </i>
    <i r="1">
      <x v="834"/>
      <x/>
      <x v="81"/>
    </i>
    <i r="1">
      <x v="853"/>
      <x/>
      <x v="81"/>
    </i>
    <i r="1">
      <x v="873"/>
      <x/>
      <x v="81"/>
    </i>
    <i r="1">
      <x v="876"/>
      <x/>
      <x v="81"/>
    </i>
    <i>
      <x v="13"/>
      <x v="28"/>
      <x/>
      <x v="81"/>
    </i>
    <i r="1">
      <x v="265"/>
      <x/>
      <x v="81"/>
    </i>
    <i r="1">
      <x v="409"/>
      <x/>
      <x v="81"/>
    </i>
    <i r="1">
      <x v="685"/>
      <x/>
      <x v="81"/>
    </i>
    <i r="1">
      <x v="691"/>
      <x/>
      <x v="81"/>
    </i>
    <i r="1">
      <x v="775"/>
      <x/>
      <x v="81"/>
    </i>
    <i>
      <x v="14"/>
      <x v="450"/>
      <x/>
      <x v="81"/>
    </i>
    <i>
      <x v="15"/>
      <x v="32"/>
      <x/>
      <x v="81"/>
    </i>
    <i r="1">
      <x v="57"/>
      <x/>
      <x v="81"/>
    </i>
    <i r="1">
      <x v="58"/>
      <x/>
      <x v="81"/>
    </i>
    <i r="1">
      <x v="69"/>
      <x/>
      <x v="81"/>
    </i>
    <i r="1">
      <x v="180"/>
      <x/>
      <x v="81"/>
    </i>
    <i r="1">
      <x v="242"/>
      <x/>
      <x v="81"/>
    </i>
    <i r="1">
      <x v="246"/>
      <x/>
      <x v="81"/>
    </i>
    <i r="1">
      <x v="254"/>
      <x/>
      <x v="81"/>
    </i>
    <i r="1">
      <x v="274"/>
      <x/>
      <x v="23"/>
    </i>
    <i r="1">
      <x v="312"/>
      <x/>
      <x v="81"/>
    </i>
    <i r="1">
      <x v="313"/>
      <x/>
      <x v="81"/>
    </i>
    <i r="1">
      <x v="515"/>
      <x v="3"/>
      <x v="81"/>
    </i>
    <i r="1">
      <x v="517"/>
      <x/>
      <x v="81"/>
    </i>
    <i r="1">
      <x v="774"/>
      <x/>
      <x v="81"/>
    </i>
    <i r="1">
      <x v="838"/>
      <x/>
      <x v="9"/>
    </i>
    <i r="1">
      <x v="850"/>
      <x/>
      <x v="81"/>
    </i>
    <i r="1">
      <x v="851"/>
      <x/>
      <x v="81"/>
    </i>
    <i r="1">
      <x v="852"/>
      <x/>
      <x v="81"/>
    </i>
    <i r="1">
      <x v="985"/>
      <x/>
      <x v="81"/>
    </i>
    <i r="1">
      <x v="989"/>
      <x/>
      <x v="81"/>
    </i>
    <i>
      <x v="16"/>
      <x v="185"/>
      <x/>
      <x v="81"/>
    </i>
    <i r="1">
      <x v="706"/>
      <x/>
      <x v="81"/>
    </i>
    <i r="1">
      <x v="802"/>
      <x/>
      <x v="81"/>
    </i>
    <i r="1">
      <x v="952"/>
      <x/>
      <x v="81"/>
    </i>
    <i r="1">
      <x v="1036"/>
      <x v="1"/>
      <x v="81"/>
    </i>
    <i>
      <x v="17"/>
      <x v="208"/>
      <x/>
      <x v="81"/>
    </i>
    <i r="1">
      <x v="251"/>
      <x/>
      <x v="81"/>
    </i>
    <i r="1">
      <x v="255"/>
      <x/>
      <x v="81"/>
    </i>
    <i r="1">
      <x v="258"/>
      <x v="1"/>
      <x v="81"/>
    </i>
    <i r="1">
      <x v="272"/>
      <x v="1"/>
      <x v="81"/>
    </i>
    <i r="1">
      <x v="776"/>
      <x/>
      <x v="81"/>
    </i>
    <i r="1">
      <x v="974"/>
      <x/>
      <x v="81"/>
    </i>
    <i>
      <x v="18"/>
      <x v="17"/>
      <x v="3"/>
      <x v="81"/>
    </i>
    <i r="1">
      <x v="82"/>
      <x/>
      <x v="81"/>
    </i>
    <i r="1">
      <x v="83"/>
      <x/>
      <x v="81"/>
    </i>
    <i r="1">
      <x v="86"/>
      <x v="3"/>
      <x v="81"/>
    </i>
    <i r="1">
      <x v="130"/>
      <x v="1"/>
      <x v="81"/>
    </i>
    <i r="1">
      <x v="140"/>
      <x/>
      <x v="81"/>
    </i>
    <i r="1">
      <x v="173"/>
      <x v="1"/>
      <x v="81"/>
    </i>
    <i r="1">
      <x v="193"/>
      <x v="1"/>
      <x v="81"/>
    </i>
    <i r="1">
      <x v="198"/>
      <x/>
      <x v="81"/>
    </i>
    <i r="1">
      <x v="306"/>
      <x/>
      <x v="81"/>
    </i>
    <i r="1">
      <x v="314"/>
      <x/>
      <x v="81"/>
    </i>
    <i r="1">
      <x v="362"/>
      <x/>
      <x v="81"/>
    </i>
    <i r="1">
      <x v="374"/>
      <x/>
      <x v="81"/>
    </i>
    <i r="1">
      <x v="388"/>
      <x/>
      <x v="81"/>
    </i>
    <i r="1">
      <x v="391"/>
      <x/>
      <x v="81"/>
    </i>
    <i r="1">
      <x v="412"/>
      <x/>
      <x v="81"/>
    </i>
    <i r="1">
      <x v="418"/>
      <x/>
      <x v="81"/>
    </i>
    <i r="1">
      <x v="443"/>
      <x/>
      <x v="81"/>
    </i>
    <i r="1">
      <x v="444"/>
      <x/>
      <x v="81"/>
    </i>
    <i r="1">
      <x v="445"/>
      <x/>
      <x v="81"/>
    </i>
    <i r="1">
      <x v="446"/>
      <x/>
      <x v="81"/>
    </i>
    <i r="1">
      <x v="447"/>
      <x/>
      <x v="81"/>
    </i>
    <i r="1">
      <x v="454"/>
      <x/>
      <x v="81"/>
    </i>
    <i r="1">
      <x v="468"/>
      <x v="1"/>
      <x v="81"/>
    </i>
    <i r="1">
      <x v="512"/>
      <x/>
      <x v="81"/>
    </i>
    <i r="1">
      <x v="514"/>
      <x/>
      <x v="81"/>
    </i>
    <i r="1">
      <x v="518"/>
      <x/>
      <x v="81"/>
    </i>
    <i r="1">
      <x v="525"/>
      <x/>
      <x v="81"/>
    </i>
    <i r="1">
      <x v="526"/>
      <x/>
      <x v="81"/>
    </i>
    <i r="1">
      <x v="533"/>
      <x/>
      <x v="81"/>
    </i>
    <i r="1">
      <x v="579"/>
      <x/>
      <x v="81"/>
    </i>
    <i r="1">
      <x v="778"/>
      <x/>
      <x v="81"/>
    </i>
    <i r="1">
      <x v="805"/>
      <x/>
      <x v="81"/>
    </i>
    <i r="1">
      <x v="826"/>
      <x/>
      <x v="81"/>
    </i>
    <i r="1">
      <x v="831"/>
      <x/>
      <x v="81"/>
    </i>
    <i r="1">
      <x v="868"/>
      <x v="1"/>
      <x v="81"/>
    </i>
    <i r="1">
      <x v="939"/>
      <x/>
      <x v="81"/>
    </i>
    <i r="1">
      <x v="941"/>
      <x/>
      <x v="81"/>
    </i>
    <i r="1">
      <x v="1001"/>
      <x/>
      <x v="81"/>
    </i>
    <i r="1">
      <x v="1002"/>
      <x/>
      <x v="81"/>
    </i>
    <i r="1">
      <x v="1018"/>
      <x/>
      <x v="81"/>
    </i>
    <i r="1">
      <x v="1022"/>
      <x/>
      <x v="81"/>
    </i>
    <i>
      <x v="19"/>
      <x v="460"/>
      <x v="1"/>
      <x v="81"/>
    </i>
    <i r="1">
      <x v="485"/>
      <x/>
      <x v="81"/>
    </i>
    <i r="1">
      <x v="516"/>
      <x/>
      <x v="81"/>
    </i>
    <i>
      <x v="20"/>
      <x v="72"/>
      <x/>
      <x v="81"/>
    </i>
    <i r="1">
      <x v="103"/>
      <x/>
      <x v="81"/>
    </i>
    <i r="1">
      <x v="160"/>
      <x/>
      <x v="81"/>
    </i>
    <i r="1">
      <x v="237"/>
      <x/>
      <x v="81"/>
    </i>
    <i r="1">
      <x v="259"/>
      <x/>
      <x v="81"/>
    </i>
    <i r="1">
      <x v="286"/>
      <x/>
      <x v="81"/>
    </i>
    <i r="1">
      <x v="288"/>
      <x/>
      <x v="81"/>
    </i>
    <i r="1">
      <x v="289"/>
      <x/>
      <x v="81"/>
    </i>
    <i r="1">
      <x v="290"/>
      <x/>
      <x v="81"/>
    </i>
    <i r="1">
      <x v="291"/>
      <x/>
      <x v="81"/>
    </i>
    <i r="1">
      <x v="292"/>
      <x/>
      <x v="81"/>
    </i>
    <i r="1">
      <x v="293"/>
      <x/>
      <x v="81"/>
    </i>
    <i r="1">
      <x v="294"/>
      <x/>
      <x v="81"/>
    </i>
    <i r="1">
      <x v="295"/>
      <x/>
      <x v="81"/>
    </i>
    <i r="1">
      <x v="296"/>
      <x/>
      <x v="81"/>
    </i>
    <i r="1">
      <x v="297"/>
      <x/>
      <x v="81"/>
    </i>
    <i r="1">
      <x v="396"/>
      <x/>
      <x v="81"/>
    </i>
    <i r="1">
      <x v="498"/>
      <x v="3"/>
      <x v="81"/>
    </i>
    <i r="1">
      <x v="687"/>
      <x v="1"/>
      <x v="81"/>
    </i>
    <i r="1">
      <x v="871"/>
      <x/>
      <x v="81"/>
    </i>
    <i r="1">
      <x v="966"/>
      <x/>
      <x v="81"/>
    </i>
    <i r="1">
      <x v="969"/>
      <x/>
      <x v="81"/>
    </i>
    <i r="1">
      <x v="970"/>
      <x v="1"/>
      <x v="71"/>
    </i>
    <i r="1">
      <x v="971"/>
      <x/>
      <x v="81"/>
    </i>
    <i r="1">
      <x v="972"/>
      <x/>
      <x v="81"/>
    </i>
    <i r="1">
      <x v="973"/>
      <x/>
      <x v="81"/>
    </i>
    <i r="1">
      <x v="987"/>
      <x/>
      <x v="81"/>
    </i>
    <i r="1">
      <x v="1039"/>
      <x/>
      <x v="81"/>
    </i>
    <i>
      <x v="21"/>
      <x v="326"/>
      <x/>
      <x v="81"/>
    </i>
    <i r="1">
      <x v="338"/>
      <x v="3"/>
      <x v="81"/>
    </i>
    <i r="1">
      <x v="508"/>
      <x v="1"/>
      <x v="81"/>
    </i>
    <i r="1">
      <x v="531"/>
      <x v="3"/>
      <x v="7"/>
    </i>
    <i r="1">
      <x v="777"/>
      <x/>
      <x v="81"/>
    </i>
    <i r="1">
      <x v="999"/>
      <x v="1"/>
      <x v="60"/>
    </i>
    <i>
      <x v="22"/>
      <x v="12"/>
      <x/>
      <x v="81"/>
    </i>
    <i r="1">
      <x v="19"/>
      <x/>
      <x v="81"/>
    </i>
    <i r="1">
      <x v="33"/>
      <x/>
      <x v="81"/>
    </i>
    <i r="1">
      <x v="102"/>
      <x/>
      <x v="81"/>
    </i>
    <i r="1">
      <x v="156"/>
      <x v="1"/>
      <x v="81"/>
    </i>
    <i r="1">
      <x v="176"/>
      <x/>
      <x v="81"/>
    </i>
    <i r="1">
      <x v="179"/>
      <x/>
      <x v="81"/>
    </i>
    <i r="1">
      <x v="197"/>
      <x/>
      <x v="81"/>
    </i>
    <i r="1">
      <x v="200"/>
      <x/>
      <x v="81"/>
    </i>
    <i r="1">
      <x v="201"/>
      <x v="1"/>
      <x v="20"/>
    </i>
    <i r="1">
      <x v="210"/>
      <x v="1"/>
      <x v="81"/>
    </i>
    <i r="1">
      <x v="215"/>
      <x/>
      <x v="81"/>
    </i>
    <i r="1">
      <x v="216"/>
      <x v="1"/>
      <x v="81"/>
    </i>
    <i r="1">
      <x v="217"/>
      <x/>
      <x v="81"/>
    </i>
    <i r="1">
      <x v="307"/>
      <x/>
      <x v="81"/>
    </i>
    <i r="1">
      <x v="311"/>
      <x/>
      <x v="81"/>
    </i>
    <i r="1">
      <x v="341"/>
      <x v="3"/>
      <x v="81"/>
    </i>
    <i r="1">
      <x v="342"/>
      <x v="3"/>
      <x v="81"/>
    </i>
    <i r="1">
      <x v="343"/>
      <x v="3"/>
      <x v="81"/>
    </i>
    <i r="1">
      <x v="344"/>
      <x v="3"/>
      <x v="81"/>
    </i>
    <i r="1">
      <x v="345"/>
      <x v="3"/>
      <x v="81"/>
    </i>
    <i r="1">
      <x v="422"/>
      <x/>
      <x v="81"/>
    </i>
    <i r="1">
      <x v="660"/>
      <x/>
      <x v="81"/>
    </i>
    <i r="1">
      <x v="665"/>
      <x/>
      <x v="81"/>
    </i>
    <i r="1">
      <x v="779"/>
      <x/>
      <x v="81"/>
    </i>
    <i r="1">
      <x v="806"/>
      <x v="1"/>
      <x v="81"/>
    </i>
    <i r="1">
      <x v="807"/>
      <x/>
      <x v="81"/>
    </i>
    <i r="1">
      <x v="833"/>
      <x/>
      <x v="81"/>
    </i>
    <i r="1">
      <x v="835"/>
      <x/>
      <x v="81"/>
    </i>
    <i r="1">
      <x v="836"/>
      <x v="3"/>
      <x v="81"/>
    </i>
    <i r="1">
      <x v="935"/>
      <x/>
      <x v="81"/>
    </i>
    <i r="1">
      <x v="937"/>
      <x/>
      <x v="81"/>
    </i>
    <i r="1">
      <x v="946"/>
      <x/>
      <x v="81"/>
    </i>
    <i r="1">
      <x v="1000"/>
      <x/>
      <x v="81"/>
    </i>
    <i r="1">
      <x v="1014"/>
      <x/>
      <x v="81"/>
    </i>
    <i r="1">
      <x v="1020"/>
      <x v="1"/>
      <x v="81"/>
    </i>
    <i r="1">
      <x v="1037"/>
      <x/>
      <x v="81"/>
    </i>
    <i>
      <x v="23"/>
      <x v="70"/>
      <x/>
      <x v="81"/>
    </i>
    <i r="1">
      <x v="689"/>
      <x v="1"/>
      <x v="81"/>
    </i>
    <i r="1">
      <x v="799"/>
      <x/>
      <x v="81"/>
    </i>
    <i>
      <x v="24"/>
      <x v="360"/>
      <x v="1"/>
      <x v="56"/>
    </i>
    <i r="1">
      <x v="783"/>
      <x/>
      <x v="81"/>
    </i>
    <i>
      <x v="25"/>
      <x v="862"/>
      <x v="1"/>
      <x v="81"/>
    </i>
    <i>
      <x v="26"/>
      <x v="765"/>
      <x/>
      <x v="81"/>
    </i>
    <i>
      <x v="27"/>
      <x v="796"/>
      <x/>
      <x v="81"/>
    </i>
    <i>
      <x v="28"/>
      <x v="361"/>
      <x/>
      <x v="81"/>
    </i>
    <i r="1">
      <x v="792"/>
      <x/>
      <x v="81"/>
    </i>
    <i>
      <x v="29"/>
      <x v="116"/>
      <x/>
      <x v="28"/>
    </i>
    <i r="1">
      <x v="363"/>
      <x/>
      <x v="28"/>
    </i>
    <i r="1">
      <x v="794"/>
      <x/>
      <x v="81"/>
    </i>
    <i>
      <x v="30"/>
      <x v="7"/>
      <x v="1"/>
      <x v="81"/>
    </i>
    <i r="1">
      <x v="36"/>
      <x/>
      <x v="81"/>
    </i>
    <i r="1">
      <x v="767"/>
      <x/>
      <x v="81"/>
    </i>
    <i r="1">
      <x v="768"/>
      <x/>
      <x v="81"/>
    </i>
    <i>
      <x v="31"/>
      <x v="97"/>
      <x v="1"/>
      <x v="26"/>
    </i>
    <i r="1">
      <x v="159"/>
      <x/>
      <x v="17"/>
    </i>
    <i r="1">
      <x v="546"/>
      <x/>
      <x v="81"/>
    </i>
    <i r="1">
      <x v="766"/>
      <x/>
      <x v="81"/>
    </i>
    <i r="1">
      <x v="803"/>
      <x v="1"/>
      <x v="81"/>
    </i>
    <i r="1">
      <x v="808"/>
      <x/>
      <x v="81"/>
    </i>
    <i r="1">
      <x v="809"/>
      <x/>
      <x v="81"/>
    </i>
    <i r="1">
      <x v="967"/>
      <x v="1"/>
      <x v="74"/>
    </i>
    <i r="1">
      <x v="1027"/>
      <x v="1"/>
      <x v="76"/>
    </i>
    <i>
      <x v="32"/>
      <x v="5"/>
      <x/>
      <x v="81"/>
    </i>
    <i r="1">
      <x v="29"/>
      <x/>
      <x v="81"/>
    </i>
    <i r="1">
      <x v="120"/>
      <x v="1"/>
      <x v="81"/>
    </i>
    <i r="1">
      <x v="318"/>
      <x/>
      <x v="81"/>
    </i>
    <i r="1">
      <x v="784"/>
      <x/>
      <x v="81"/>
    </i>
    <i r="1">
      <x v="847"/>
      <x/>
      <x v="81"/>
    </i>
    <i r="1">
      <x v="949"/>
      <x/>
      <x v="81"/>
    </i>
    <i r="1">
      <x v="982"/>
      <x v="3"/>
      <x v="4"/>
    </i>
    <i>
      <x v="33"/>
      <x v="39"/>
      <x/>
      <x v="81"/>
    </i>
    <i r="1">
      <x v="75"/>
      <x/>
      <x v="81"/>
    </i>
    <i r="1">
      <x v="87"/>
      <x/>
      <x v="81"/>
    </i>
    <i r="1">
      <x v="152"/>
      <x/>
      <x v="81"/>
    </i>
    <i r="1">
      <x v="155"/>
      <x v="1"/>
      <x v="81"/>
    </i>
    <i r="1">
      <x v="162"/>
      <x/>
      <x v="81"/>
    </i>
    <i r="1">
      <x v="186"/>
      <x v="3"/>
      <x v="8"/>
    </i>
    <i r="1">
      <x v="192"/>
      <x/>
      <x v="81"/>
    </i>
    <i r="1">
      <x v="214"/>
      <x/>
      <x v="81"/>
    </i>
    <i r="1">
      <x v="225"/>
      <x v="1"/>
      <x v="81"/>
    </i>
    <i r="1">
      <x v="226"/>
      <x/>
      <x v="81"/>
    </i>
    <i r="1">
      <x v="227"/>
      <x/>
      <x v="81"/>
    </i>
    <i r="1">
      <x v="230"/>
      <x/>
      <x v="81"/>
    </i>
    <i r="1">
      <x v="299"/>
      <x/>
      <x v="81"/>
    </i>
    <i r="1">
      <x v="337"/>
      <x v="1"/>
      <x v="81"/>
    </i>
    <i r="1">
      <x v="386"/>
      <x/>
      <x v="81"/>
    </i>
    <i r="1">
      <x v="400"/>
      <x/>
      <x v="81"/>
    </i>
    <i r="1">
      <x v="410"/>
      <x/>
      <x v="81"/>
    </i>
    <i r="1">
      <x v="425"/>
      <x v="3"/>
      <x v="30"/>
    </i>
    <i r="1">
      <x v="434"/>
      <x v="3"/>
      <x v="81"/>
    </i>
    <i r="1">
      <x v="437"/>
      <x/>
      <x v="81"/>
    </i>
    <i r="1">
      <x v="467"/>
      <x/>
      <x v="81"/>
    </i>
    <i r="1">
      <x v="480"/>
      <x/>
      <x v="81"/>
    </i>
    <i r="1">
      <x v="487"/>
      <x v="3"/>
      <x v="81"/>
    </i>
    <i r="1">
      <x v="513"/>
      <x/>
      <x v="81"/>
    </i>
    <i r="1">
      <x v="520"/>
      <x/>
      <x v="81"/>
    </i>
    <i r="1">
      <x v="832"/>
      <x/>
      <x v="81"/>
    </i>
    <i r="1">
      <x v="879"/>
      <x/>
      <x v="81"/>
    </i>
    <i r="1">
      <x v="915"/>
      <x/>
      <x v="81"/>
    </i>
    <i r="1">
      <x v="918"/>
      <x/>
      <x v="81"/>
    </i>
    <i r="1">
      <x v="919"/>
      <x/>
      <x v="81"/>
    </i>
    <i r="1">
      <x v="920"/>
      <x/>
      <x v="81"/>
    </i>
    <i r="1">
      <x v="921"/>
      <x/>
      <x v="81"/>
    </i>
    <i r="1">
      <x v="922"/>
      <x/>
      <x v="81"/>
    </i>
    <i r="1">
      <x v="924"/>
      <x/>
      <x v="81"/>
    </i>
    <i r="1">
      <x v="978"/>
      <x/>
      <x v="81"/>
    </i>
    <i r="1">
      <x v="979"/>
      <x/>
      <x v="81"/>
    </i>
    <i r="1">
      <x v="990"/>
      <x/>
      <x v="81"/>
    </i>
    <i>
      <x v="34"/>
      <x v="51"/>
      <x v="3"/>
      <x v="81"/>
    </i>
    <i r="1">
      <x v="99"/>
      <x v="3"/>
      <x v="32"/>
    </i>
    <i r="1">
      <x v="205"/>
      <x v="1"/>
      <x v="81"/>
    </i>
    <i r="1">
      <x v="310"/>
      <x/>
      <x v="81"/>
    </i>
    <i r="1">
      <x v="330"/>
      <x v="1"/>
      <x v="81"/>
    </i>
    <i r="2">
      <x v="3"/>
      <x v="27"/>
    </i>
    <i r="1">
      <x v="333"/>
      <x/>
      <x v="81"/>
    </i>
    <i r="1">
      <x v="353"/>
      <x/>
      <x v="81"/>
    </i>
    <i r="1">
      <x v="356"/>
      <x v="3"/>
      <x v="33"/>
    </i>
    <i r="1">
      <x v="357"/>
      <x/>
      <x v="81"/>
    </i>
    <i r="1">
      <x v="366"/>
      <x v="3"/>
      <x v="81"/>
    </i>
    <i r="1">
      <x v="379"/>
      <x v="3"/>
      <x v="38"/>
    </i>
    <i r="1">
      <x v="387"/>
      <x v="1"/>
      <x v="68"/>
    </i>
    <i r="1">
      <x v="417"/>
      <x/>
      <x v="81"/>
    </i>
    <i r="1">
      <x v="427"/>
      <x v="3"/>
      <x v="32"/>
    </i>
    <i r="1">
      <x v="430"/>
      <x/>
      <x v="81"/>
    </i>
    <i r="1">
      <x v="441"/>
      <x/>
      <x v="81"/>
    </i>
    <i r="1">
      <x v="448"/>
      <x/>
      <x v="81"/>
    </i>
    <i r="2">
      <x v="3"/>
      <x v="34"/>
    </i>
    <i r="1">
      <x v="451"/>
      <x v="3"/>
      <x v="81"/>
    </i>
    <i r="1">
      <x v="455"/>
      <x/>
      <x v="81"/>
    </i>
    <i r="1">
      <x v="456"/>
      <x/>
      <x v="81"/>
    </i>
    <i r="1">
      <x v="459"/>
      <x v="3"/>
      <x v="81"/>
    </i>
    <i r="1">
      <x v="472"/>
      <x/>
      <x v="81"/>
    </i>
    <i r="2">
      <x v="3"/>
      <x v="36"/>
    </i>
    <i r="1">
      <x v="473"/>
      <x v="3"/>
      <x v="37"/>
    </i>
    <i r="1">
      <x v="475"/>
      <x v="3"/>
      <x v="81"/>
    </i>
    <i r="1">
      <x v="481"/>
      <x/>
      <x v="41"/>
    </i>
    <i r="1">
      <x v="488"/>
      <x v="3"/>
      <x v="40"/>
    </i>
    <i r="2">
      <x v="4"/>
      <x v="65"/>
    </i>
    <i r="1">
      <x v="489"/>
      <x v="1"/>
      <x v="81"/>
    </i>
    <i r="1">
      <x v="501"/>
      <x v="1"/>
      <x v="81"/>
    </i>
    <i r="1">
      <x v="502"/>
      <x/>
      <x v="81"/>
    </i>
    <i r="1">
      <x v="785"/>
      <x/>
      <x v="81"/>
    </i>
    <i r="1">
      <x v="951"/>
      <x v="3"/>
      <x v="81"/>
    </i>
    <i r="1">
      <x v="957"/>
      <x v="1"/>
      <x v="35"/>
    </i>
    <i r="1">
      <x v="958"/>
      <x/>
      <x v="81"/>
    </i>
    <i>
      <x v="35"/>
      <x v="732"/>
      <x/>
      <x v="81"/>
    </i>
    <i r="1">
      <x v="733"/>
      <x/>
      <x v="81"/>
    </i>
    <i r="1">
      <x v="734"/>
      <x/>
      <x v="81"/>
    </i>
    <i r="1">
      <x v="786"/>
      <x/>
      <x v="81"/>
    </i>
    <i r="1">
      <x v="845"/>
      <x/>
      <x v="81"/>
    </i>
    <i>
      <x v="36"/>
      <x v="67"/>
      <x/>
      <x v="81"/>
    </i>
    <i r="1">
      <x v="147"/>
      <x/>
      <x v="81"/>
    </i>
    <i r="1">
      <x v="247"/>
      <x/>
      <x v="81"/>
    </i>
    <i r="1">
      <x v="257"/>
      <x/>
      <x v="81"/>
    </i>
    <i r="1">
      <x v="264"/>
      <x/>
      <x v="81"/>
    </i>
    <i r="1">
      <x v="270"/>
      <x/>
      <x v="81"/>
    </i>
    <i r="1">
      <x v="325"/>
      <x/>
      <x v="81"/>
    </i>
    <i r="1">
      <x v="347"/>
      <x/>
      <x v="81"/>
    </i>
    <i r="1">
      <x v="395"/>
      <x/>
      <x v="45"/>
    </i>
    <i r="1">
      <x v="398"/>
      <x v="1"/>
      <x v="81"/>
    </i>
    <i r="1">
      <x v="413"/>
      <x v="1"/>
      <x v="81"/>
    </i>
    <i r="1">
      <x v="439"/>
      <x v="3"/>
      <x v="81"/>
    </i>
    <i r="1">
      <x v="507"/>
      <x/>
      <x v="81"/>
    </i>
    <i r="1">
      <x v="537"/>
      <x/>
      <x v="81"/>
    </i>
    <i r="1">
      <x v="554"/>
      <x/>
      <x v="81"/>
    </i>
    <i r="1">
      <x v="662"/>
      <x/>
      <x v="81"/>
    </i>
    <i r="1">
      <x v="671"/>
      <x/>
      <x v="81"/>
    </i>
    <i r="1">
      <x v="692"/>
      <x/>
      <x v="81"/>
    </i>
    <i r="1">
      <x v="693"/>
      <x/>
      <x v="81"/>
    </i>
    <i r="1">
      <x v="694"/>
      <x/>
      <x v="81"/>
    </i>
    <i r="1">
      <x v="695"/>
      <x/>
      <x v="81"/>
    </i>
    <i r="1">
      <x v="696"/>
      <x/>
      <x v="81"/>
    </i>
    <i r="1">
      <x v="704"/>
      <x/>
      <x v="81"/>
    </i>
    <i r="1">
      <x v="715"/>
      <x v="1"/>
      <x v="81"/>
    </i>
    <i r="1">
      <x v="787"/>
      <x/>
      <x v="81"/>
    </i>
    <i r="1">
      <x v="897"/>
      <x v="1"/>
      <x v="63"/>
    </i>
    <i r="1">
      <x v="898"/>
      <x v="1"/>
      <x v="81"/>
    </i>
    <i r="1">
      <x v="904"/>
      <x/>
      <x v="81"/>
    </i>
    <i r="1">
      <x v="907"/>
      <x/>
      <x v="81"/>
    </i>
    <i r="1">
      <x v="913"/>
      <x/>
      <x v="81"/>
    </i>
    <i r="1">
      <x v="914"/>
      <x/>
      <x v="81"/>
    </i>
    <i r="1">
      <x v="923"/>
      <x/>
      <x v="81"/>
    </i>
    <i r="1">
      <x v="938"/>
      <x/>
      <x v="81"/>
    </i>
    <i r="1">
      <x v="950"/>
      <x/>
      <x v="81"/>
    </i>
    <i r="1">
      <x v="963"/>
      <x v="3"/>
      <x v="73"/>
    </i>
    <i r="1">
      <x v="988"/>
      <x/>
      <x v="81"/>
    </i>
    <i r="1">
      <x v="996"/>
      <x/>
      <x v="81"/>
    </i>
    <i r="1">
      <x v="997"/>
      <x/>
      <x v="81"/>
    </i>
    <i>
      <x v="37"/>
      <x v="13"/>
      <x v="3"/>
      <x v="81"/>
    </i>
    <i r="1">
      <x v="238"/>
      <x/>
      <x v="81"/>
    </i>
    <i>
      <x v="38"/>
      <x v="100"/>
      <x v="3"/>
      <x v="81"/>
    </i>
    <i r="1">
      <x v="153"/>
      <x v="3"/>
      <x v="15"/>
    </i>
    <i r="1">
      <x v="204"/>
      <x v="3"/>
      <x v="81"/>
    </i>
    <i r="1">
      <x v="234"/>
      <x/>
      <x v="81"/>
    </i>
    <i r="1">
      <x v="340"/>
      <x v="3"/>
      <x v="5"/>
    </i>
    <i r="1">
      <x v="359"/>
      <x/>
      <x v="81"/>
    </i>
    <i r="1">
      <x v="411"/>
      <x/>
      <x v="81"/>
    </i>
    <i r="1">
      <x v="442"/>
      <x/>
      <x v="81"/>
    </i>
    <i r="1">
      <x v="458"/>
      <x v="3"/>
      <x v="81"/>
    </i>
    <i r="1">
      <x v="470"/>
      <x v="3"/>
      <x v="81"/>
    </i>
    <i r="1">
      <x v="471"/>
      <x v="3"/>
      <x v="81"/>
    </i>
    <i r="1">
      <x v="474"/>
      <x v="1"/>
      <x v="81"/>
    </i>
    <i r="1">
      <x v="479"/>
      <x v="3"/>
      <x v="81"/>
    </i>
    <i r="1">
      <x v="486"/>
      <x v="3"/>
      <x v="81"/>
    </i>
    <i r="1">
      <x v="534"/>
      <x/>
      <x v="81"/>
    </i>
    <i r="1">
      <x v="839"/>
      <x/>
      <x v="81"/>
    </i>
    <i r="1">
      <x v="994"/>
      <x/>
      <x v="81"/>
    </i>
    <i>
      <x v="39"/>
      <x v="714"/>
      <x/>
      <x v="81"/>
    </i>
    <i r="1">
      <x v="788"/>
      <x/>
      <x v="81"/>
    </i>
    <i>
      <x v="40"/>
      <x v="4"/>
      <x v="1"/>
      <x v="25"/>
    </i>
    <i r="1">
      <x v="10"/>
      <x/>
      <x v="81"/>
    </i>
    <i r="1">
      <x v="59"/>
      <x/>
      <x v="81"/>
    </i>
    <i r="1">
      <x v="68"/>
      <x/>
      <x v="81"/>
    </i>
    <i r="1">
      <x v="74"/>
      <x/>
      <x v="81"/>
    </i>
    <i r="1">
      <x v="113"/>
      <x/>
      <x v="81"/>
    </i>
    <i r="1">
      <x v="122"/>
      <x/>
      <x v="81"/>
    </i>
    <i r="1">
      <x v="123"/>
      <x/>
      <x v="81"/>
    </i>
    <i r="1">
      <x v="127"/>
      <x/>
      <x v="81"/>
    </i>
    <i r="1">
      <x v="128"/>
      <x/>
      <x v="81"/>
    </i>
    <i r="1">
      <x v="129"/>
      <x/>
      <x v="81"/>
    </i>
    <i r="1">
      <x v="133"/>
      <x/>
      <x v="81"/>
    </i>
    <i r="1">
      <x v="135"/>
      <x/>
      <x v="81"/>
    </i>
    <i r="1">
      <x v="138"/>
      <x/>
      <x v="81"/>
    </i>
    <i r="1">
      <x v="141"/>
      <x/>
      <x v="81"/>
    </i>
    <i r="1">
      <x v="150"/>
      <x/>
      <x v="81"/>
    </i>
    <i r="1">
      <x v="165"/>
      <x/>
      <x v="81"/>
    </i>
    <i r="1">
      <x v="167"/>
      <x v="1"/>
      <x v="81"/>
    </i>
    <i r="1">
      <x v="168"/>
      <x/>
      <x v="81"/>
    </i>
    <i r="1">
      <x v="169"/>
      <x v="1"/>
      <x v="21"/>
    </i>
    <i r="1">
      <x v="177"/>
      <x/>
      <x v="81"/>
    </i>
    <i r="1">
      <x v="184"/>
      <x/>
      <x v="81"/>
    </i>
    <i r="1">
      <x v="218"/>
      <x/>
      <x v="81"/>
    </i>
    <i r="1">
      <x v="263"/>
      <x/>
      <x v="81"/>
    </i>
    <i r="1">
      <x v="268"/>
      <x v="1"/>
      <x v="81"/>
    </i>
    <i r="1">
      <x v="300"/>
      <x/>
      <x v="3"/>
    </i>
    <i r="1">
      <x v="324"/>
      <x/>
      <x v="81"/>
    </i>
    <i r="1">
      <x v="350"/>
      <x v="3"/>
      <x v="81"/>
    </i>
    <i r="1">
      <x v="440"/>
      <x/>
      <x v="81"/>
    </i>
    <i r="1">
      <x v="461"/>
      <x v="1"/>
      <x v="81"/>
    </i>
    <i r="1">
      <x v="527"/>
      <x v="3"/>
      <x v="81"/>
    </i>
    <i r="1">
      <x v="549"/>
      <x/>
      <x v="81"/>
    </i>
    <i r="1">
      <x v="550"/>
      <x/>
      <x v="81"/>
    </i>
    <i r="1">
      <x v="580"/>
      <x/>
      <x v="81"/>
    </i>
    <i r="1">
      <x v="661"/>
      <x/>
      <x v="81"/>
    </i>
    <i r="1">
      <x v="663"/>
      <x/>
      <x v="81"/>
    </i>
    <i r="1">
      <x v="666"/>
      <x/>
      <x v="81"/>
    </i>
    <i r="1">
      <x v="667"/>
      <x/>
      <x v="81"/>
    </i>
    <i r="1">
      <x v="668"/>
      <x/>
      <x v="81"/>
    </i>
    <i r="1">
      <x v="669"/>
      <x/>
      <x v="81"/>
    </i>
    <i r="1">
      <x v="670"/>
      <x/>
      <x v="81"/>
    </i>
    <i r="1">
      <x v="672"/>
      <x/>
      <x v="81"/>
    </i>
    <i r="1">
      <x v="673"/>
      <x/>
      <x v="81"/>
    </i>
    <i r="1">
      <x v="674"/>
      <x/>
      <x v="81"/>
    </i>
    <i r="1">
      <x v="675"/>
      <x/>
      <x v="81"/>
    </i>
    <i r="1">
      <x v="676"/>
      <x/>
      <x v="81"/>
    </i>
    <i r="1">
      <x v="677"/>
      <x/>
      <x v="81"/>
    </i>
    <i r="1">
      <x v="678"/>
      <x/>
      <x v="81"/>
    </i>
    <i r="1">
      <x v="679"/>
      <x/>
      <x v="81"/>
    </i>
    <i r="1">
      <x v="680"/>
      <x/>
      <x v="81"/>
    </i>
    <i r="1">
      <x v="681"/>
      <x/>
      <x v="81"/>
    </i>
    <i r="1">
      <x v="682"/>
      <x/>
      <x v="81"/>
    </i>
    <i r="1">
      <x v="683"/>
      <x/>
      <x v="81"/>
    </i>
    <i r="1">
      <x v="684"/>
      <x/>
      <x v="81"/>
    </i>
    <i r="1">
      <x v="686"/>
      <x/>
      <x v="81"/>
    </i>
    <i r="1">
      <x v="797"/>
      <x/>
      <x v="81"/>
    </i>
    <i r="1">
      <x v="822"/>
      <x/>
      <x v="81"/>
    </i>
    <i r="1">
      <x v="823"/>
      <x v="3"/>
      <x v="81"/>
    </i>
    <i r="1">
      <x v="825"/>
      <x v="5"/>
      <x v="81"/>
    </i>
    <i r="1">
      <x v="857"/>
      <x/>
      <x v="81"/>
    </i>
    <i r="1">
      <x v="860"/>
      <x/>
      <x v="81"/>
    </i>
    <i r="1">
      <x v="869"/>
      <x/>
      <x v="81"/>
    </i>
    <i r="1">
      <x v="883"/>
      <x v="3"/>
      <x v="81"/>
    </i>
    <i r="1">
      <x v="884"/>
      <x/>
      <x v="81"/>
    </i>
    <i r="1">
      <x v="885"/>
      <x/>
      <x v="81"/>
    </i>
    <i r="1">
      <x v="886"/>
      <x/>
      <x v="81"/>
    </i>
    <i r="1">
      <x v="940"/>
      <x/>
      <x v="81"/>
    </i>
    <i r="1">
      <x v="942"/>
      <x v="1"/>
      <x v="81"/>
    </i>
    <i r="1">
      <x v="954"/>
      <x/>
      <x v="81"/>
    </i>
    <i r="1">
      <x v="1011"/>
      <x/>
      <x v="81"/>
    </i>
    <i>
      <x v="41"/>
      <x v="170"/>
      <x/>
      <x v="81"/>
    </i>
    <i r="1">
      <x v="171"/>
      <x v="1"/>
      <x v="70"/>
    </i>
    <i r="1">
      <x v="175"/>
      <x v="1"/>
      <x v="81"/>
    </i>
    <i r="1">
      <x v="316"/>
      <x/>
      <x v="81"/>
    </i>
    <i r="1">
      <x v="329"/>
      <x v="3"/>
      <x v="81"/>
    </i>
    <i r="1">
      <x v="335"/>
      <x/>
      <x v="81"/>
    </i>
    <i r="1">
      <x v="349"/>
      <x/>
      <x v="81"/>
    </i>
    <i r="1">
      <x v="351"/>
      <x v="3"/>
      <x v="81"/>
    </i>
    <i r="1">
      <x v="364"/>
      <x/>
      <x v="81"/>
    </i>
    <i r="1">
      <x v="365"/>
      <x/>
      <x v="81"/>
    </i>
    <i r="1">
      <x v="370"/>
      <x/>
      <x v="81"/>
    </i>
    <i r="1">
      <x v="371"/>
      <x/>
      <x v="81"/>
    </i>
    <i r="1">
      <x v="394"/>
      <x/>
      <x v="81"/>
    </i>
    <i r="1">
      <x v="405"/>
      <x/>
      <x v="81"/>
    </i>
    <i r="1">
      <x v="406"/>
      <x/>
      <x v="81"/>
    </i>
    <i r="1">
      <x v="408"/>
      <x/>
      <x v="81"/>
    </i>
    <i r="1">
      <x v="414"/>
      <x v="3"/>
      <x v="81"/>
    </i>
    <i r="1">
      <x v="436"/>
      <x v="1"/>
      <x v="81"/>
    </i>
    <i r="1">
      <x v="438"/>
      <x v="3"/>
      <x v="81"/>
    </i>
    <i r="1">
      <x v="452"/>
      <x/>
      <x v="81"/>
    </i>
    <i r="1">
      <x v="463"/>
      <x v="1"/>
      <x v="81"/>
    </i>
    <i r="1">
      <x v="476"/>
      <x/>
      <x v="81"/>
    </i>
    <i r="1">
      <x v="789"/>
      <x/>
      <x v="81"/>
    </i>
    <i>
      <x v="42"/>
      <x v="367"/>
      <x/>
      <x v="81"/>
    </i>
    <i r="1">
      <x v="397"/>
      <x/>
      <x v="81"/>
    </i>
    <i r="1">
      <x v="499"/>
      <x/>
      <x v="81"/>
    </i>
    <i r="1">
      <x v="511"/>
      <x/>
      <x v="81"/>
    </i>
    <i r="1">
      <x v="943"/>
      <x v="4"/>
      <x v="81"/>
    </i>
    <i>
      <x v="43"/>
      <x v="18"/>
      <x/>
      <x v="81"/>
    </i>
    <i r="1">
      <x v="88"/>
      <x/>
      <x v="81"/>
    </i>
    <i r="1">
      <x v="89"/>
      <x/>
      <x v="81"/>
    </i>
    <i r="1">
      <x v="106"/>
      <x/>
      <x v="81"/>
    </i>
    <i r="1">
      <x v="146"/>
      <x/>
      <x v="81"/>
    </i>
    <i r="1">
      <x v="207"/>
      <x v="1"/>
      <x v="81"/>
    </i>
    <i r="1">
      <x v="211"/>
      <x/>
      <x v="81"/>
    </i>
    <i r="1">
      <x v="212"/>
      <x/>
      <x v="81"/>
    </i>
    <i r="1">
      <x v="328"/>
      <x/>
      <x v="81"/>
    </i>
    <i r="1">
      <x v="332"/>
      <x/>
      <x v="81"/>
    </i>
    <i r="1">
      <x v="429"/>
      <x/>
      <x v="81"/>
    </i>
    <i r="1">
      <x v="493"/>
      <x/>
      <x v="81"/>
    </i>
    <i r="1">
      <x v="500"/>
      <x v="3"/>
      <x v="81"/>
    </i>
    <i r="1">
      <x v="509"/>
      <x/>
      <x v="81"/>
    </i>
    <i r="1">
      <x v="556"/>
      <x/>
      <x v="81"/>
    </i>
    <i r="1">
      <x v="557"/>
      <x v="1"/>
      <x v="81"/>
    </i>
    <i r="1">
      <x v="558"/>
      <x v="1"/>
      <x v="81"/>
    </i>
    <i r="1">
      <x v="559"/>
      <x/>
      <x v="81"/>
    </i>
    <i r="1">
      <x v="560"/>
      <x/>
      <x v="81"/>
    </i>
    <i r="1">
      <x v="561"/>
      <x v="1"/>
      <x v="81"/>
    </i>
    <i r="1">
      <x v="562"/>
      <x v="1"/>
      <x v="81"/>
    </i>
    <i r="1">
      <x v="563"/>
      <x v="1"/>
      <x v="81"/>
    </i>
    <i r="1">
      <x v="564"/>
      <x v="1"/>
      <x v="81"/>
    </i>
    <i r="1">
      <x v="565"/>
      <x v="1"/>
      <x v="81"/>
    </i>
    <i r="1">
      <x v="566"/>
      <x/>
      <x v="81"/>
    </i>
    <i r="1">
      <x v="567"/>
      <x/>
      <x v="81"/>
    </i>
    <i r="1">
      <x v="568"/>
      <x/>
      <x v="81"/>
    </i>
    <i r="1">
      <x v="569"/>
      <x v="1"/>
      <x v="81"/>
    </i>
    <i r="1">
      <x v="570"/>
      <x/>
      <x v="81"/>
    </i>
    <i r="1">
      <x v="571"/>
      <x v="1"/>
      <x v="81"/>
    </i>
    <i r="1">
      <x v="572"/>
      <x v="1"/>
      <x v="81"/>
    </i>
    <i r="1">
      <x v="573"/>
      <x v="3"/>
      <x v="81"/>
    </i>
    <i r="1">
      <x v="574"/>
      <x v="1"/>
      <x v="81"/>
    </i>
    <i r="1">
      <x v="575"/>
      <x/>
      <x v="81"/>
    </i>
    <i r="1">
      <x v="576"/>
      <x/>
      <x v="81"/>
    </i>
    <i r="1">
      <x v="577"/>
      <x v="1"/>
      <x v="81"/>
    </i>
    <i r="1">
      <x v="578"/>
      <x v="1"/>
      <x v="81"/>
    </i>
    <i r="1">
      <x v="582"/>
      <x v="1"/>
      <x v="51"/>
    </i>
    <i r="1">
      <x v="583"/>
      <x/>
      <x v="81"/>
    </i>
    <i r="1">
      <x v="584"/>
      <x v="1"/>
      <x v="81"/>
    </i>
    <i r="1">
      <x v="585"/>
      <x/>
      <x v="81"/>
    </i>
    <i r="1">
      <x v="586"/>
      <x/>
      <x v="81"/>
    </i>
    <i r="1">
      <x v="587"/>
      <x v="3"/>
      <x v="81"/>
    </i>
    <i r="1">
      <x v="588"/>
      <x v="1"/>
      <x v="81"/>
    </i>
    <i r="1">
      <x v="589"/>
      <x/>
      <x v="81"/>
    </i>
    <i r="1">
      <x v="590"/>
      <x/>
      <x v="81"/>
    </i>
    <i r="1">
      <x v="591"/>
      <x/>
      <x v="81"/>
    </i>
    <i r="1">
      <x v="592"/>
      <x/>
      <x v="81"/>
    </i>
    <i r="1">
      <x v="593"/>
      <x/>
      <x v="81"/>
    </i>
    <i r="1">
      <x v="594"/>
      <x/>
      <x v="81"/>
    </i>
    <i r="1">
      <x v="595"/>
      <x v="1"/>
      <x v="81"/>
    </i>
    <i r="1">
      <x v="596"/>
      <x v="3"/>
      <x v="81"/>
    </i>
    <i r="1">
      <x v="597"/>
      <x/>
      <x v="81"/>
    </i>
    <i r="1">
      <x v="598"/>
      <x/>
      <x v="81"/>
    </i>
    <i r="1">
      <x v="599"/>
      <x v="1"/>
      <x v="81"/>
    </i>
    <i r="1">
      <x v="600"/>
      <x/>
      <x v="81"/>
    </i>
    <i r="1">
      <x v="601"/>
      <x v="1"/>
      <x v="48"/>
    </i>
    <i r="1">
      <x v="602"/>
      <x v="1"/>
      <x v="47"/>
    </i>
    <i r="1">
      <x v="603"/>
      <x/>
      <x v="81"/>
    </i>
    <i r="1">
      <x v="604"/>
      <x/>
      <x v="81"/>
    </i>
    <i r="1">
      <x v="605"/>
      <x/>
      <x v="81"/>
    </i>
    <i r="1">
      <x v="606"/>
      <x/>
      <x v="81"/>
    </i>
    <i r="1">
      <x v="607"/>
      <x v="1"/>
      <x v="49"/>
    </i>
    <i r="1">
      <x v="608"/>
      <x v="1"/>
      <x v="81"/>
    </i>
    <i r="1">
      <x v="609"/>
      <x/>
      <x v="81"/>
    </i>
    <i r="1">
      <x v="610"/>
      <x/>
      <x v="81"/>
    </i>
    <i r="1">
      <x v="611"/>
      <x/>
      <x v="81"/>
    </i>
    <i r="1">
      <x v="612"/>
      <x/>
      <x v="81"/>
    </i>
    <i r="1">
      <x v="613"/>
      <x/>
      <x v="81"/>
    </i>
    <i r="1">
      <x v="614"/>
      <x/>
      <x v="81"/>
    </i>
    <i r="1">
      <x v="615"/>
      <x/>
      <x v="81"/>
    </i>
    <i r="1">
      <x v="616"/>
      <x/>
      <x v="81"/>
    </i>
    <i r="1">
      <x v="617"/>
      <x/>
      <x v="81"/>
    </i>
    <i r="1">
      <x v="618"/>
      <x/>
      <x v="81"/>
    </i>
    <i r="1">
      <x v="619"/>
      <x/>
      <x v="81"/>
    </i>
    <i r="1">
      <x v="620"/>
      <x/>
      <x v="81"/>
    </i>
    <i r="1">
      <x v="621"/>
      <x v="1"/>
      <x v="50"/>
    </i>
    <i r="1">
      <x v="622"/>
      <x/>
      <x v="81"/>
    </i>
    <i r="1">
      <x v="623"/>
      <x/>
      <x v="81"/>
    </i>
    <i r="1">
      <x v="624"/>
      <x/>
      <x v="81"/>
    </i>
    <i r="1">
      <x v="625"/>
      <x/>
      <x v="81"/>
    </i>
    <i r="1">
      <x v="626"/>
      <x/>
      <x v="81"/>
    </i>
    <i r="1">
      <x v="627"/>
      <x/>
      <x v="81"/>
    </i>
    <i r="1">
      <x v="628"/>
      <x/>
      <x v="81"/>
    </i>
    <i r="1">
      <x v="629"/>
      <x/>
      <x v="81"/>
    </i>
    <i r="1">
      <x v="630"/>
      <x/>
      <x v="81"/>
    </i>
    <i r="1">
      <x v="631"/>
      <x/>
      <x v="81"/>
    </i>
    <i r="1">
      <x v="632"/>
      <x/>
      <x v="81"/>
    </i>
    <i r="1">
      <x v="633"/>
      <x/>
      <x v="81"/>
    </i>
    <i r="1">
      <x v="634"/>
      <x/>
      <x v="81"/>
    </i>
    <i r="1">
      <x v="635"/>
      <x/>
      <x v="81"/>
    </i>
    <i r="1">
      <x v="636"/>
      <x/>
      <x v="81"/>
    </i>
    <i r="1">
      <x v="637"/>
      <x/>
      <x v="81"/>
    </i>
    <i r="1">
      <x v="638"/>
      <x/>
      <x v="81"/>
    </i>
    <i r="1">
      <x v="639"/>
      <x v="1"/>
      <x v="81"/>
    </i>
    <i r="1">
      <x v="640"/>
      <x/>
      <x v="81"/>
    </i>
    <i r="1">
      <x v="641"/>
      <x/>
      <x v="81"/>
    </i>
    <i r="1">
      <x v="642"/>
      <x/>
      <x v="81"/>
    </i>
    <i r="1">
      <x v="643"/>
      <x/>
      <x v="81"/>
    </i>
    <i r="1">
      <x v="644"/>
      <x/>
      <x v="81"/>
    </i>
    <i r="1">
      <x v="645"/>
      <x/>
      <x v="81"/>
    </i>
    <i r="1">
      <x v="646"/>
      <x/>
      <x v="81"/>
    </i>
    <i r="1">
      <x v="647"/>
      <x v="1"/>
      <x v="81"/>
    </i>
    <i r="1">
      <x v="648"/>
      <x v="1"/>
      <x v="81"/>
    </i>
    <i r="1">
      <x v="649"/>
      <x/>
      <x v="81"/>
    </i>
    <i r="1">
      <x v="650"/>
      <x/>
      <x v="81"/>
    </i>
    <i r="1">
      <x v="651"/>
      <x/>
      <x v="81"/>
    </i>
    <i r="1">
      <x v="652"/>
      <x/>
      <x v="81"/>
    </i>
    <i r="1">
      <x v="653"/>
      <x v="1"/>
      <x v="81"/>
    </i>
    <i r="1">
      <x v="654"/>
      <x v="1"/>
      <x v="54"/>
    </i>
    <i r="1">
      <x v="655"/>
      <x v="1"/>
      <x v="52"/>
    </i>
    <i r="1">
      <x v="656"/>
      <x/>
      <x v="81"/>
    </i>
    <i r="1">
      <x v="657"/>
      <x/>
      <x v="81"/>
    </i>
    <i r="1">
      <x v="658"/>
      <x v="1"/>
      <x v="81"/>
    </i>
    <i r="1">
      <x v="659"/>
      <x/>
      <x v="81"/>
    </i>
    <i r="1">
      <x v="664"/>
      <x/>
      <x v="81"/>
    </i>
    <i r="1">
      <x v="719"/>
      <x v="1"/>
      <x v="13"/>
    </i>
    <i r="1">
      <x v="735"/>
      <x/>
      <x v="81"/>
    </i>
    <i r="1">
      <x v="736"/>
      <x/>
      <x v="81"/>
    </i>
    <i r="1">
      <x v="737"/>
      <x/>
      <x v="81"/>
    </i>
    <i r="1">
      <x v="738"/>
      <x/>
      <x v="81"/>
    </i>
    <i r="1">
      <x v="739"/>
      <x/>
      <x v="81"/>
    </i>
    <i r="1">
      <x v="740"/>
      <x/>
      <x v="81"/>
    </i>
    <i r="1">
      <x v="741"/>
      <x/>
      <x v="81"/>
    </i>
    <i r="1">
      <x v="742"/>
      <x/>
      <x v="81"/>
    </i>
    <i r="1">
      <x v="743"/>
      <x/>
      <x v="81"/>
    </i>
    <i r="1">
      <x v="744"/>
      <x/>
      <x v="81"/>
    </i>
    <i r="1">
      <x v="745"/>
      <x/>
      <x v="81"/>
    </i>
    <i r="1">
      <x v="746"/>
      <x/>
      <x v="81"/>
    </i>
    <i r="1">
      <x v="747"/>
      <x/>
      <x v="81"/>
    </i>
    <i r="1">
      <x v="748"/>
      <x/>
      <x v="81"/>
    </i>
    <i r="1">
      <x v="749"/>
      <x/>
      <x v="81"/>
    </i>
    <i r="1">
      <x v="750"/>
      <x/>
      <x v="81"/>
    </i>
    <i r="1">
      <x v="751"/>
      <x/>
      <x v="81"/>
    </i>
    <i r="1">
      <x v="752"/>
      <x/>
      <x v="81"/>
    </i>
    <i r="1">
      <x v="753"/>
      <x/>
      <x v="81"/>
    </i>
    <i r="1">
      <x v="754"/>
      <x/>
      <x v="81"/>
    </i>
    <i r="1">
      <x v="755"/>
      <x/>
      <x v="81"/>
    </i>
    <i r="1">
      <x v="756"/>
      <x/>
      <x v="81"/>
    </i>
    <i r="1">
      <x v="757"/>
      <x/>
      <x v="81"/>
    </i>
    <i r="1">
      <x v="758"/>
      <x/>
      <x v="81"/>
    </i>
    <i r="1">
      <x v="759"/>
      <x/>
      <x v="81"/>
    </i>
    <i r="1">
      <x v="760"/>
      <x/>
      <x v="81"/>
    </i>
    <i r="1">
      <x v="761"/>
      <x/>
      <x v="81"/>
    </i>
    <i r="1">
      <x v="762"/>
      <x/>
      <x v="81"/>
    </i>
    <i r="1">
      <x v="763"/>
      <x/>
      <x v="81"/>
    </i>
    <i r="1">
      <x v="790"/>
      <x/>
      <x v="81"/>
    </i>
    <i r="1">
      <x v="801"/>
      <x/>
      <x v="81"/>
    </i>
    <i r="1">
      <x v="829"/>
      <x/>
      <x v="81"/>
    </i>
    <i r="1">
      <x v="930"/>
      <x v="3"/>
      <x v="6"/>
    </i>
    <i r="1">
      <x v="934"/>
      <x v="1"/>
      <x v="81"/>
    </i>
    <i r="1">
      <x v="1003"/>
      <x v="3"/>
      <x v="81"/>
    </i>
    <i r="1">
      <x v="1004"/>
      <x/>
      <x v="81"/>
    </i>
    <i r="1">
      <x v="1005"/>
      <x/>
      <x v="81"/>
    </i>
    <i r="1">
      <x v="1012"/>
      <x/>
      <x v="81"/>
    </i>
    <i r="1">
      <x v="1013"/>
      <x/>
      <x v="81"/>
    </i>
    <i r="1">
      <x v="1019"/>
      <x v="3"/>
      <x v="81"/>
    </i>
    <i r="1">
      <x v="1021"/>
      <x/>
      <x v="81"/>
    </i>
    <i>
      <x v="44"/>
      <x v="355"/>
      <x/>
      <x v="81"/>
    </i>
    <i r="1">
      <x v="373"/>
      <x/>
      <x v="81"/>
    </i>
    <i r="1">
      <x v="376"/>
      <x/>
      <x v="81"/>
    </i>
    <i r="1">
      <x v="377"/>
      <x/>
      <x v="81"/>
    </i>
    <i>
      <x v="45"/>
      <x v="148"/>
      <x/>
      <x v="81"/>
    </i>
    <i r="1">
      <x v="269"/>
      <x/>
      <x v="81"/>
    </i>
    <i r="1">
      <x v="399"/>
      <x/>
      <x v="81"/>
    </i>
    <i r="1">
      <x v="491"/>
      <x/>
      <x v="81"/>
    </i>
    <i r="1">
      <x v="510"/>
      <x/>
      <x v="42"/>
    </i>
    <i r="1">
      <x v="791"/>
      <x/>
      <x v="81"/>
    </i>
    <i r="1">
      <x v="916"/>
      <x/>
      <x v="81"/>
    </i>
    <i r="1">
      <x v="917"/>
      <x/>
      <x v="81"/>
    </i>
    <i>
      <x v="46"/>
      <x v="151"/>
      <x/>
      <x v="81"/>
    </i>
    <i r="1">
      <x v="195"/>
      <x/>
      <x v="81"/>
    </i>
    <i r="1">
      <x v="496"/>
      <x v="3"/>
      <x v="58"/>
    </i>
    <i r="1">
      <x v="519"/>
      <x v="3"/>
      <x v="1"/>
    </i>
    <i r="1">
      <x v="819"/>
      <x v="1"/>
      <x v="43"/>
    </i>
    <i r="1">
      <x v="872"/>
      <x/>
      <x v="81"/>
    </i>
    <i>
      <x v="47"/>
      <x v="56"/>
      <x/>
      <x v="81"/>
    </i>
    <i r="1">
      <x v="66"/>
      <x/>
      <x v="81"/>
    </i>
    <i r="1">
      <x v="126"/>
      <x/>
      <x v="81"/>
    </i>
    <i r="1">
      <x v="132"/>
      <x/>
      <x v="81"/>
    </i>
    <i r="1">
      <x v="187"/>
      <x/>
      <x v="81"/>
    </i>
    <i r="1">
      <x v="206"/>
      <x v="1"/>
      <x v="69"/>
    </i>
    <i r="1">
      <x v="241"/>
      <x/>
      <x v="24"/>
    </i>
    <i r="1">
      <x v="243"/>
      <x/>
      <x v="81"/>
    </i>
    <i r="1">
      <x v="248"/>
      <x/>
      <x v="81"/>
    </i>
    <i r="1">
      <x v="250"/>
      <x/>
      <x v="81"/>
    </i>
    <i r="1">
      <x v="252"/>
      <x/>
      <x v="81"/>
    </i>
    <i r="1">
      <x v="253"/>
      <x/>
      <x v="81"/>
    </i>
    <i r="1">
      <x v="256"/>
      <x/>
      <x v="81"/>
    </i>
    <i r="1">
      <x v="271"/>
      <x/>
      <x v="81"/>
    </i>
    <i r="1">
      <x v="273"/>
      <x/>
      <x v="81"/>
    </i>
    <i r="1">
      <x v="275"/>
      <x/>
      <x v="81"/>
    </i>
    <i r="1">
      <x v="276"/>
      <x/>
      <x v="81"/>
    </i>
    <i r="1">
      <x v="277"/>
      <x/>
      <x v="81"/>
    </i>
    <i r="1">
      <x v="278"/>
      <x/>
      <x v="81"/>
    </i>
    <i r="1">
      <x v="281"/>
      <x v="3"/>
      <x v="81"/>
    </i>
    <i r="1">
      <x v="304"/>
      <x v="3"/>
      <x v="81"/>
    </i>
    <i r="1">
      <x v="334"/>
      <x v="3"/>
      <x v="59"/>
    </i>
    <i r="1">
      <x v="382"/>
      <x/>
      <x v="81"/>
    </i>
    <i r="1">
      <x v="392"/>
      <x v="3"/>
      <x v="66"/>
    </i>
    <i r="1">
      <x v="403"/>
      <x v="5"/>
      <x v="81"/>
    </i>
    <i r="1">
      <x v="407"/>
      <x/>
      <x v="81"/>
    </i>
    <i r="1">
      <x v="426"/>
      <x v="3"/>
      <x v="81"/>
    </i>
    <i r="1">
      <x v="431"/>
      <x/>
      <x v="81"/>
    </i>
    <i r="1">
      <x v="435"/>
      <x/>
      <x v="81"/>
    </i>
    <i r="1">
      <x v="464"/>
      <x/>
      <x v="81"/>
    </i>
    <i r="1">
      <x v="466"/>
      <x v="3"/>
      <x v="81"/>
    </i>
    <i r="1">
      <x v="482"/>
      <x/>
      <x v="81"/>
    </i>
    <i r="1">
      <x v="837"/>
      <x/>
      <x v="81"/>
    </i>
    <i r="1">
      <x v="929"/>
      <x v="1"/>
      <x v="81"/>
    </i>
    <i r="1">
      <x v="991"/>
      <x v="1"/>
      <x v="81"/>
    </i>
    <i>
      <x v="48"/>
      <x v="3"/>
      <x/>
      <x v="81"/>
    </i>
    <i r="1">
      <x v="6"/>
      <x/>
      <x v="81"/>
    </i>
    <i r="1">
      <x v="8"/>
      <x/>
      <x v="81"/>
    </i>
    <i r="1">
      <x v="11"/>
      <x/>
      <x v="81"/>
    </i>
    <i r="1">
      <x v="52"/>
      <x/>
      <x v="81"/>
    </i>
    <i r="1">
      <x v="53"/>
      <x/>
      <x v="81"/>
    </i>
    <i r="1">
      <x v="54"/>
      <x/>
      <x v="81"/>
    </i>
    <i r="1">
      <x v="77"/>
      <x/>
      <x v="81"/>
    </i>
    <i r="1">
      <x v="78"/>
      <x/>
      <x v="81"/>
    </i>
    <i r="1">
      <x v="79"/>
      <x/>
      <x v="81"/>
    </i>
    <i r="1">
      <x v="125"/>
      <x/>
      <x v="81"/>
    </i>
    <i r="1">
      <x v="144"/>
      <x/>
      <x v="81"/>
    </i>
    <i r="1">
      <x v="157"/>
      <x/>
      <x v="81"/>
    </i>
    <i r="1">
      <x v="183"/>
      <x/>
      <x v="81"/>
    </i>
    <i r="1">
      <x v="219"/>
      <x/>
      <x v="81"/>
    </i>
    <i r="1">
      <x v="220"/>
      <x/>
      <x v="81"/>
    </i>
    <i r="1">
      <x v="221"/>
      <x/>
      <x v="81"/>
    </i>
    <i r="1">
      <x v="222"/>
      <x/>
      <x v="81"/>
    </i>
    <i r="1">
      <x v="224"/>
      <x/>
      <x v="81"/>
    </i>
    <i r="1">
      <x v="235"/>
      <x/>
      <x v="81"/>
    </i>
    <i r="1">
      <x v="267"/>
      <x/>
      <x v="81"/>
    </i>
    <i r="1">
      <x v="282"/>
      <x/>
      <x v="81"/>
    </i>
    <i r="1">
      <x v="283"/>
      <x/>
      <x v="81"/>
    </i>
    <i r="1">
      <x v="284"/>
      <x/>
      <x v="81"/>
    </i>
    <i r="1">
      <x v="298"/>
      <x/>
      <x v="81"/>
    </i>
    <i r="1">
      <x v="302"/>
      <x/>
      <x v="81"/>
    </i>
    <i r="1">
      <x v="317"/>
      <x/>
      <x v="81"/>
    </i>
    <i r="1">
      <x v="321"/>
      <x/>
      <x v="81"/>
    </i>
    <i r="1">
      <x v="322"/>
      <x/>
      <x v="81"/>
    </i>
    <i r="1">
      <x v="354"/>
      <x v="3"/>
      <x v="55"/>
    </i>
    <i r="1">
      <x v="383"/>
      <x/>
      <x v="81"/>
    </i>
    <i r="1">
      <x v="432"/>
      <x/>
      <x v="81"/>
    </i>
    <i r="1">
      <x v="433"/>
      <x v="1"/>
      <x v="81"/>
    </i>
    <i r="1">
      <x v="544"/>
      <x/>
      <x v="81"/>
    </i>
    <i r="1">
      <x v="547"/>
      <x/>
      <x v="81"/>
    </i>
    <i r="1">
      <x v="581"/>
      <x/>
      <x v="81"/>
    </i>
    <i r="1">
      <x v="697"/>
      <x/>
      <x v="81"/>
    </i>
    <i r="1">
      <x v="698"/>
      <x/>
      <x v="81"/>
    </i>
    <i r="1">
      <x v="793"/>
      <x/>
      <x v="81"/>
    </i>
    <i r="1">
      <x v="859"/>
      <x/>
      <x v="81"/>
    </i>
    <i r="1">
      <x v="861"/>
      <x/>
      <x v="81"/>
    </i>
    <i r="1">
      <x v="894"/>
      <x v="1"/>
      <x v="81"/>
    </i>
    <i r="1">
      <x v="931"/>
      <x/>
      <x v="81"/>
    </i>
    <i r="1">
      <x v="932"/>
      <x/>
      <x v="81"/>
    </i>
    <i r="1">
      <x v="933"/>
      <x/>
      <x v="81"/>
    </i>
    <i r="1">
      <x v="1015"/>
      <x/>
      <x v="81"/>
    </i>
    <i r="1">
      <x v="1016"/>
      <x/>
      <x v="81"/>
    </i>
    <i r="1">
      <x v="1017"/>
      <x/>
      <x v="81"/>
    </i>
    <i r="1">
      <x v="1038"/>
      <x/>
      <x v="81"/>
    </i>
    <i r="1">
      <x v="1053"/>
      <x/>
      <x v="81"/>
    </i>
    <i r="1">
      <x v="1054"/>
      <x/>
      <x v="81"/>
    </i>
    <i r="1">
      <x v="1055"/>
      <x/>
      <x v="81"/>
    </i>
    <i>
      <x v="49"/>
      <x v="30"/>
      <x/>
      <x v="81"/>
    </i>
    <i r="1">
      <x v="34"/>
      <x v="1"/>
      <x v="81"/>
    </i>
    <i r="1">
      <x v="37"/>
      <x/>
      <x v="81"/>
    </i>
    <i r="1">
      <x v="38"/>
      <x v="1"/>
      <x v="81"/>
    </i>
    <i r="1">
      <x v="40"/>
      <x/>
      <x v="81"/>
    </i>
    <i r="1">
      <x v="62"/>
      <x/>
      <x v="81"/>
    </i>
    <i r="1">
      <x v="91"/>
      <x/>
      <x v="81"/>
    </i>
    <i r="1">
      <x v="93"/>
      <x/>
      <x v="81"/>
    </i>
    <i r="1">
      <x v="94"/>
      <x/>
      <x v="81"/>
    </i>
    <i r="1">
      <x v="101"/>
      <x v="1"/>
      <x v="19"/>
    </i>
    <i r="1">
      <x v="105"/>
      <x/>
      <x v="81"/>
    </i>
    <i r="1">
      <x v="118"/>
      <x v="1"/>
      <x v="10"/>
    </i>
    <i r="1">
      <x v="119"/>
      <x v="1"/>
      <x v="10"/>
    </i>
    <i r="1">
      <x v="181"/>
      <x/>
      <x v="81"/>
    </i>
    <i r="1">
      <x v="231"/>
      <x/>
      <x v="62"/>
    </i>
    <i r="1">
      <x v="303"/>
      <x v="1"/>
      <x v="81"/>
    </i>
    <i r="1">
      <x v="348"/>
      <x/>
      <x v="81"/>
    </i>
    <i r="1">
      <x v="378"/>
      <x v="1"/>
      <x v="81"/>
    </i>
    <i r="1">
      <x v="380"/>
      <x v="3"/>
      <x v="81"/>
    </i>
    <i r="1">
      <x v="478"/>
      <x/>
      <x v="29"/>
    </i>
    <i r="1">
      <x v="863"/>
      <x/>
      <x v="62"/>
    </i>
    <i r="1">
      <x v="864"/>
      <x/>
      <x v="62"/>
    </i>
    <i r="1">
      <x v="865"/>
      <x/>
      <x v="81"/>
    </i>
    <i r="1">
      <x v="947"/>
      <x/>
      <x v="81"/>
    </i>
    <i r="1">
      <x v="948"/>
      <x/>
      <x v="81"/>
    </i>
    <i r="1">
      <x v="984"/>
      <x/>
      <x v="39"/>
    </i>
    <i r="1">
      <x v="1057"/>
      <x/>
      <x v="81"/>
    </i>
    <i>
      <x v="50"/>
      <x v="35"/>
      <x/>
      <x v="81"/>
    </i>
    <i r="1">
      <x v="41"/>
      <x/>
      <x v="81"/>
    </i>
    <i r="1">
      <x v="42"/>
      <x/>
      <x v="81"/>
    </i>
    <i r="1">
      <x v="43"/>
      <x v="3"/>
      <x v="81"/>
    </i>
    <i r="1">
      <x v="44"/>
      <x/>
      <x v="81"/>
    </i>
    <i r="1">
      <x v="45"/>
      <x/>
      <x v="81"/>
    </i>
    <i r="1">
      <x v="46"/>
      <x/>
      <x v="81"/>
    </i>
    <i r="1">
      <x v="47"/>
      <x/>
      <x v="81"/>
    </i>
    <i r="1">
      <x v="48"/>
      <x v="1"/>
      <x v="81"/>
    </i>
    <i r="1">
      <x v="49"/>
      <x/>
      <x v="81"/>
    </i>
    <i r="1">
      <x v="50"/>
      <x/>
      <x v="81"/>
    </i>
    <i r="1">
      <x v="96"/>
      <x/>
      <x v="81"/>
    </i>
    <i r="1">
      <x v="202"/>
      <x/>
      <x v="81"/>
    </i>
    <i r="1">
      <x v="203"/>
      <x/>
      <x v="81"/>
    </i>
    <i r="1">
      <x v="375"/>
      <x/>
      <x v="81"/>
    </i>
    <i r="1">
      <x v="469"/>
      <x v="1"/>
      <x v="81"/>
    </i>
    <i r="1">
      <x v="477"/>
      <x v="1"/>
      <x v="81"/>
    </i>
    <i r="1">
      <x v="494"/>
      <x/>
      <x v="81"/>
    </i>
    <i r="1">
      <x v="503"/>
      <x/>
      <x v="81"/>
    </i>
    <i r="1">
      <x v="521"/>
      <x/>
      <x v="81"/>
    </i>
    <i r="1">
      <x v="529"/>
      <x/>
      <x v="81"/>
    </i>
    <i r="1">
      <x v="535"/>
      <x/>
      <x v="81"/>
    </i>
    <i r="1">
      <x v="536"/>
      <x/>
      <x v="81"/>
    </i>
    <i r="1">
      <x v="548"/>
      <x/>
      <x v="81"/>
    </i>
    <i r="1">
      <x v="800"/>
      <x v="1"/>
      <x v="81"/>
    </i>
    <i r="1">
      <x v="804"/>
      <x/>
      <x v="81"/>
    </i>
    <i r="1">
      <x v="840"/>
      <x/>
      <x v="81"/>
    </i>
    <i r="1">
      <x v="841"/>
      <x/>
      <x v="81"/>
    </i>
    <i r="1">
      <x v="866"/>
      <x/>
      <x v="81"/>
    </i>
    <i r="1">
      <x v="993"/>
      <x/>
      <x v="81"/>
    </i>
    <i r="1">
      <x v="995"/>
      <x/>
      <x v="81"/>
    </i>
    <i r="1">
      <x v="1047"/>
      <x/>
      <x v="81"/>
    </i>
    <i r="1">
      <x v="1050"/>
      <x/>
      <x v="81"/>
    </i>
    <i>
      <x v="51"/>
      <x v="92"/>
      <x/>
      <x v="81"/>
    </i>
    <i r="1">
      <x v="98"/>
      <x/>
      <x v="44"/>
    </i>
    <i r="1">
      <x v="114"/>
      <x v="1"/>
      <x v="81"/>
    </i>
    <i r="1">
      <x v="137"/>
      <x/>
      <x v="81"/>
    </i>
    <i r="1">
      <x v="164"/>
      <x/>
      <x v="81"/>
    </i>
    <i r="1">
      <x v="484"/>
      <x v="1"/>
      <x v="81"/>
    </i>
    <i r="1">
      <x v="524"/>
      <x/>
      <x v="81"/>
    </i>
    <i r="1">
      <x v="843"/>
      <x/>
      <x v="81"/>
    </i>
    <i r="1">
      <x v="848"/>
      <x/>
      <x v="81"/>
    </i>
    <i>
      <x v="52"/>
      <x/>
      <x/>
      <x v="81"/>
    </i>
    <i r="1">
      <x v="1"/>
      <x/>
      <x v="81"/>
    </i>
    <i r="1">
      <x v="2"/>
      <x/>
      <x v="81"/>
    </i>
    <i r="1">
      <x v="9"/>
      <x v="5"/>
      <x v="81"/>
    </i>
    <i r="1">
      <x v="25"/>
      <x/>
      <x v="81"/>
    </i>
    <i r="1">
      <x v="26"/>
      <x/>
      <x v="81"/>
    </i>
    <i r="1">
      <x v="27"/>
      <x/>
      <x v="81"/>
    </i>
    <i r="1">
      <x v="60"/>
      <x/>
      <x v="81"/>
    </i>
    <i r="1">
      <x v="64"/>
      <x/>
      <x v="81"/>
    </i>
    <i r="1">
      <x v="80"/>
      <x/>
      <x v="81"/>
    </i>
    <i r="1">
      <x v="81"/>
      <x/>
      <x v="81"/>
    </i>
    <i r="1">
      <x v="95"/>
      <x v="3"/>
      <x v="81"/>
    </i>
    <i r="1">
      <x v="107"/>
      <x/>
      <x v="81"/>
    </i>
    <i r="1">
      <x v="108"/>
      <x v="1"/>
      <x v="81"/>
    </i>
    <i r="1">
      <x v="109"/>
      <x/>
      <x v="81"/>
    </i>
    <i r="1">
      <x v="110"/>
      <x/>
      <x v="81"/>
    </i>
    <i r="1">
      <x v="111"/>
      <x/>
      <x v="81"/>
    </i>
    <i r="1">
      <x v="112"/>
      <x/>
      <x v="81"/>
    </i>
    <i r="1">
      <x v="115"/>
      <x v="1"/>
      <x v="81"/>
    </i>
    <i r="1">
      <x v="121"/>
      <x/>
      <x v="81"/>
    </i>
    <i r="1">
      <x v="131"/>
      <x/>
      <x v="81"/>
    </i>
    <i r="1">
      <x v="134"/>
      <x/>
      <x v="81"/>
    </i>
    <i r="1">
      <x v="139"/>
      <x v="2"/>
      <x v="81"/>
    </i>
    <i r="1">
      <x v="158"/>
      <x/>
      <x v="81"/>
    </i>
    <i r="1">
      <x v="161"/>
      <x/>
      <x v="81"/>
    </i>
    <i r="1">
      <x v="182"/>
      <x/>
      <x v="81"/>
    </i>
    <i r="1">
      <x v="196"/>
      <x/>
      <x v="81"/>
    </i>
    <i r="1">
      <x v="209"/>
      <x/>
      <x v="81"/>
    </i>
    <i r="1">
      <x v="223"/>
      <x/>
      <x v="81"/>
    </i>
    <i r="1">
      <x v="228"/>
      <x v="1"/>
      <x v="81"/>
    </i>
    <i r="1">
      <x v="229"/>
      <x/>
      <x v="81"/>
    </i>
    <i r="1">
      <x v="233"/>
      <x/>
      <x v="81"/>
    </i>
    <i r="1">
      <x v="260"/>
      <x/>
      <x v="81"/>
    </i>
    <i r="1">
      <x v="261"/>
      <x v="1"/>
      <x v="81"/>
    </i>
    <i r="1">
      <x v="262"/>
      <x v="1"/>
      <x v="81"/>
    </i>
    <i r="1">
      <x v="308"/>
      <x/>
      <x v="22"/>
    </i>
    <i r="1">
      <x v="319"/>
      <x v="1"/>
      <x v="81"/>
    </i>
    <i r="1">
      <x v="320"/>
      <x/>
      <x v="81"/>
    </i>
    <i r="1">
      <x v="323"/>
      <x/>
      <x v="81"/>
    </i>
    <i r="1">
      <x v="327"/>
      <x/>
      <x v="81"/>
    </i>
    <i r="1">
      <x v="368"/>
      <x v="3"/>
      <x v="81"/>
    </i>
    <i r="1">
      <x v="381"/>
      <x/>
      <x v="81"/>
    </i>
    <i r="1">
      <x v="420"/>
      <x/>
      <x v="81"/>
    </i>
    <i r="1">
      <x v="421"/>
      <x v="1"/>
      <x v="81"/>
    </i>
    <i r="1">
      <x v="449"/>
      <x v="3"/>
      <x v="57"/>
    </i>
    <i r="1">
      <x v="462"/>
      <x/>
      <x v="81"/>
    </i>
    <i r="1">
      <x v="492"/>
      <x/>
      <x v="81"/>
    </i>
    <i r="1">
      <x v="497"/>
      <x/>
      <x v="81"/>
    </i>
    <i r="1">
      <x v="530"/>
      <x/>
      <x v="81"/>
    </i>
    <i r="1">
      <x v="532"/>
      <x/>
      <x v="81"/>
    </i>
    <i r="1">
      <x v="540"/>
      <x/>
      <x v="81"/>
    </i>
    <i r="1">
      <x v="541"/>
      <x/>
      <x v="81"/>
    </i>
    <i r="1">
      <x v="542"/>
      <x/>
      <x v="81"/>
    </i>
    <i r="1">
      <x v="543"/>
      <x/>
      <x v="81"/>
    </i>
    <i r="1">
      <x v="545"/>
      <x/>
      <x v="81"/>
    </i>
    <i r="1">
      <x v="553"/>
      <x/>
      <x v="81"/>
    </i>
    <i r="1">
      <x v="720"/>
      <x v="1"/>
      <x v="81"/>
    </i>
    <i r="1">
      <x v="721"/>
      <x v="1"/>
      <x v="81"/>
    </i>
    <i r="1">
      <x v="722"/>
      <x v="1"/>
      <x v="81"/>
    </i>
    <i r="1">
      <x v="723"/>
      <x v="1"/>
      <x v="81"/>
    </i>
    <i r="1">
      <x v="724"/>
      <x v="1"/>
      <x v="81"/>
    </i>
    <i r="1">
      <x v="725"/>
      <x v="1"/>
      <x v="81"/>
    </i>
    <i r="1">
      <x v="726"/>
      <x/>
      <x v="81"/>
    </i>
    <i r="1">
      <x v="727"/>
      <x/>
      <x v="81"/>
    </i>
    <i r="1">
      <x v="728"/>
      <x v="1"/>
      <x v="81"/>
    </i>
    <i r="1">
      <x v="729"/>
      <x v="1"/>
      <x v="81"/>
    </i>
    <i r="1">
      <x v="730"/>
      <x/>
      <x v="81"/>
    </i>
    <i r="1">
      <x v="731"/>
      <x/>
      <x v="81"/>
    </i>
    <i r="1">
      <x v="795"/>
      <x/>
      <x v="81"/>
    </i>
    <i r="1">
      <x v="821"/>
      <x v="1"/>
      <x v="81"/>
    </i>
    <i r="1">
      <x v="858"/>
      <x/>
      <x v="81"/>
    </i>
    <i r="1">
      <x v="870"/>
      <x v="1"/>
      <x v="81"/>
    </i>
    <i r="1">
      <x v="895"/>
      <x/>
      <x v="81"/>
    </i>
    <i r="1">
      <x v="945"/>
      <x/>
      <x v="81"/>
    </i>
    <i r="1">
      <x v="955"/>
      <x/>
      <x v="81"/>
    </i>
    <i r="1">
      <x v="956"/>
      <x/>
      <x v="81"/>
    </i>
    <i r="1">
      <x v="977"/>
      <x/>
      <x v="81"/>
    </i>
    <i r="1">
      <x v="1024"/>
      <x/>
      <x v="81"/>
    </i>
    <i r="1">
      <x v="1025"/>
      <x/>
      <x v="81"/>
    </i>
    <i r="1">
      <x v="1026"/>
      <x v="1"/>
      <x v="81"/>
    </i>
    <i r="1">
      <x v="1028"/>
      <x/>
      <x v="81"/>
    </i>
    <i r="1">
      <x v="1030"/>
      <x/>
      <x v="81"/>
    </i>
    <i r="1">
      <x v="1035"/>
      <x/>
      <x v="81"/>
    </i>
    <i r="1">
      <x v="1040"/>
      <x/>
      <x v="81"/>
    </i>
    <i r="1">
      <x v="1051"/>
      <x/>
      <x v="81"/>
    </i>
    <i r="1">
      <x v="1058"/>
      <x v="1"/>
      <x v="75"/>
    </i>
    <i>
      <x v="53"/>
      <x v="117"/>
      <x/>
      <x v="81"/>
    </i>
    <i r="1">
      <x v="240"/>
      <x/>
      <x v="81"/>
    </i>
    <i r="1">
      <x v="457"/>
      <x/>
      <x v="81"/>
    </i>
    <i r="1">
      <x v="709"/>
      <x/>
      <x v="81"/>
    </i>
    <i r="1">
      <x v="844"/>
      <x/>
      <x v="81"/>
    </i>
    <i r="1">
      <x v="846"/>
      <x/>
      <x v="61"/>
    </i>
    <i r="1">
      <x v="849"/>
      <x/>
      <x v="81"/>
    </i>
    <i r="1">
      <x v="855"/>
      <x/>
      <x v="81"/>
    </i>
    <i r="1">
      <x v="1031"/>
      <x/>
      <x v="81"/>
    </i>
    <i>
      <x v="54"/>
      <x v="811"/>
      <x/>
      <x v="81"/>
    </i>
    <i r="1">
      <x v="812"/>
      <x/>
      <x v="81"/>
    </i>
    <i r="1">
      <x v="816"/>
      <x/>
      <x v="81"/>
    </i>
    <i>
      <x v="55"/>
      <x v="213"/>
      <x/>
      <x v="18"/>
    </i>
    <i r="1">
      <x v="339"/>
      <x v="3"/>
      <x v="81"/>
    </i>
    <i r="1">
      <x v="369"/>
      <x/>
      <x v="81"/>
    </i>
    <i r="1">
      <x v="717"/>
      <x/>
      <x v="81"/>
    </i>
    <i r="1">
      <x v="854"/>
      <x v="1"/>
      <x v="81"/>
    </i>
    <i r="1">
      <x v="856"/>
      <x/>
      <x v="81"/>
    </i>
    <i r="1">
      <x v="968"/>
      <x/>
      <x v="81"/>
    </i>
    <i r="1">
      <x v="1041"/>
      <x/>
      <x v="81"/>
    </i>
    <i r="1">
      <x v="1042"/>
      <x/>
      <x v="81"/>
    </i>
    <i r="1">
      <x v="1043"/>
      <x/>
      <x v="81"/>
    </i>
    <i r="1">
      <x v="1044"/>
      <x/>
      <x v="81"/>
    </i>
    <i r="1">
      <x v="1045"/>
      <x/>
      <x v="81"/>
    </i>
    <i r="1">
      <x v="1046"/>
      <x/>
      <x v="81"/>
    </i>
    <i r="1">
      <x v="1048"/>
      <x/>
      <x v="81"/>
    </i>
    <i r="1">
      <x v="1049"/>
      <x/>
      <x v="81"/>
    </i>
    <i r="1">
      <x v="1052"/>
      <x/>
      <x v="80"/>
    </i>
    <i r="1">
      <x v="1056"/>
      <x/>
      <x v="81"/>
    </i>
    <i>
      <x v="56"/>
      <x v="172"/>
      <x v="3"/>
      <x v="81"/>
    </i>
    <i r="1">
      <x v="178"/>
      <x/>
      <x v="81"/>
    </i>
    <i>
      <x v="57"/>
      <x v="232"/>
      <x v="3"/>
      <x v="81"/>
    </i>
    <i r="1">
      <x v="555"/>
      <x/>
      <x v="81"/>
    </i>
    <i r="1">
      <x v="707"/>
      <x/>
      <x v="81"/>
    </i>
    <i r="1">
      <x v="708"/>
      <x/>
      <x v="81"/>
    </i>
    <i r="1">
      <x v="712"/>
      <x/>
      <x v="81"/>
    </i>
    <i r="1">
      <x v="716"/>
      <x/>
      <x v="81"/>
    </i>
    <i r="1">
      <x v="810"/>
      <x v="1"/>
      <x v="78"/>
    </i>
    <i r="1">
      <x v="813"/>
      <x/>
      <x v="81"/>
    </i>
    <i r="1">
      <x v="814"/>
      <x/>
      <x v="81"/>
    </i>
    <i r="1">
      <x v="815"/>
      <x/>
      <x v="81"/>
    </i>
    <i r="1">
      <x v="817"/>
      <x/>
      <x v="81"/>
    </i>
    <i r="1">
      <x v="818"/>
      <x/>
      <x v="81"/>
    </i>
    <i>
      <x v="58"/>
      <x v="427"/>
      <x v="1"/>
      <x v="46"/>
    </i>
    <i r="1">
      <x v="473"/>
      <x v="1"/>
      <x v="81"/>
    </i>
    <i r="1">
      <x v="798"/>
      <x/>
      <x v="81"/>
    </i>
    <i t="grand">
      <x/>
    </i>
  </rowItems>
  <colItems count="1">
    <i/>
  </colItem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Agregação" cacheId="0" autoFormatId="1" applyNumberFormats="0" applyBorderFormats="0" applyFontFormats="0" applyPatternFormats="0" applyAlignmentFormats="0" applyWidthHeightFormats="1" dataCaption="" updatedVersion="5" compact="0" compactData="0" showDrill="1">
  <location ref="A1:D1067" firstHeaderRow="1" firstDataRow="1" firstDataCol="4"/>
  <pivotFields count="43">
    <pivotField axis="axisRow" compact="0" defaultSubtotal="0" outline="0" multipleItemSelectionAllowed="1" showAll="0">
      <items count="1059">
        <item x="895"/>
        <item x="581"/>
        <item x="676"/>
        <item x="881"/>
        <item x="204"/>
        <item x="817"/>
        <item x="957"/>
        <item x="440"/>
        <item x="835"/>
        <item x="938"/>
        <item x="305"/>
        <item x="733"/>
        <item x="472"/>
        <item x="168"/>
        <item x="490"/>
        <item x="748"/>
        <item x="783"/>
        <item x="424"/>
        <item x="422"/>
        <item x="551"/>
        <item x="2"/>
        <item x="418"/>
        <item x="246"/>
        <item x="37"/>
        <item x="311"/>
        <item x="854"/>
        <item x="994"/>
        <item x="720"/>
        <item x="893"/>
        <item x="1001"/>
        <item x="1002"/>
        <item x="828"/>
        <item x="644"/>
        <item x="731"/>
        <item x="207"/>
        <item x="233"/>
        <item x="147"/>
        <item x="114"/>
        <item x="366"/>
        <item x="303"/>
        <item x="247"/>
        <item x="763"/>
        <item x="809"/>
        <item x="1003"/>
        <item x="149"/>
        <item x="727"/>
        <item x="379"/>
        <item x="179"/>
        <item x="51"/>
        <item x="174"/>
        <item x="1004"/>
        <item x="609"/>
        <item x="700"/>
        <item x="797"/>
        <item x="896"/>
        <item x="715"/>
        <item x="560"/>
        <item x="155"/>
        <item x="209"/>
        <item x="461"/>
        <item x="273"/>
        <item x="54"/>
        <item x="764"/>
        <item x="143"/>
        <item x="1005"/>
        <item x="76"/>
        <item x="882"/>
        <item x="926"/>
        <item x="679"/>
        <item x="899"/>
        <item x="382"/>
        <item x="144"/>
        <item x="534"/>
        <item x="260"/>
        <item x="717"/>
        <item x="292"/>
        <item x="544"/>
        <item x="843"/>
        <item x="849"/>
        <item x="921"/>
        <item x="565"/>
        <item x="443"/>
        <item x="235"/>
        <item x="245"/>
        <item x="658"/>
        <item x="671"/>
        <item x="634"/>
        <item x="953"/>
        <item x="393"/>
        <item x="409"/>
        <item x="302"/>
        <item x="528"/>
        <item x="164"/>
        <item x="635"/>
        <item x="1006"/>
        <item x="446"/>
        <item x="785"/>
        <item x="561"/>
        <item x="670"/>
        <item x="0"/>
        <item x="496"/>
        <item x="579"/>
        <item x="318"/>
        <item x="901"/>
        <item x="65"/>
        <item x="386"/>
        <item x="391"/>
        <item x="178"/>
        <item x="34"/>
        <item x="686"/>
        <item x="862"/>
        <item x="845"/>
        <item x="1007"/>
        <item x="693"/>
        <item x="389"/>
        <item x="82"/>
        <item x="471"/>
        <item x="537"/>
        <item x="98"/>
        <item x="75"/>
        <item x="627"/>
        <item x="282"/>
        <item x="156"/>
        <item x="351"/>
        <item x="319"/>
        <item x="885"/>
        <item x="898"/>
        <item x="288"/>
        <item x="172"/>
        <item x="811"/>
        <item x="69"/>
        <item x="605"/>
        <item x="756"/>
        <item x="548"/>
        <item x="919"/>
        <item x="499"/>
        <item x="857"/>
        <item x="559"/>
        <item x="832"/>
        <item x="1008"/>
        <item x="578"/>
        <item x="252"/>
        <item x="110"/>
        <item x="84"/>
        <item x="278"/>
        <item x="795"/>
        <item x="107"/>
        <item x="592"/>
        <item x="514"/>
        <item x="698"/>
        <item x="450"/>
        <item x="821"/>
        <item x="248"/>
        <item x="927"/>
        <item x="274"/>
        <item x="13"/>
        <item x="29"/>
        <item x="868"/>
        <item x="280"/>
        <item x="1009"/>
        <item x="421"/>
        <item x="115"/>
        <item x="352"/>
        <item x="67"/>
        <item x="127"/>
        <item x="794"/>
        <item x="886"/>
        <item x="789"/>
        <item x="960"/>
        <item x="807"/>
        <item x="626"/>
        <item x="24"/>
        <item x="203"/>
        <item x="38"/>
        <item x="43"/>
        <item x="106"/>
        <item x="660"/>
        <item x="152"/>
        <item x="176"/>
        <item x="653"/>
        <item x="434"/>
        <item x="215"/>
        <item x="481"/>
        <item x="784"/>
        <item x="933"/>
        <item x="394"/>
        <item x="664"/>
        <item x="767"/>
        <item x="949"/>
        <item x="883"/>
        <item x="955"/>
        <item x="874"/>
        <item x="157"/>
        <item x="39"/>
        <item x="387"/>
        <item x="117"/>
        <item x="629"/>
        <item x="818"/>
        <item x="614"/>
        <item x="779"/>
        <item x="542"/>
        <item x="820"/>
        <item x="466"/>
        <item x="181"/>
        <item x="636"/>
        <item x="397"/>
        <item x="844"/>
        <item x="88"/>
        <item x="222"/>
        <item x="284"/>
        <item x="17"/>
        <item x="395"/>
        <item x="128"/>
        <item x="445"/>
        <item x="362"/>
        <item x="1010"/>
        <item x="57"/>
        <item x="167"/>
        <item x="141"/>
        <item x="803"/>
        <item x="902"/>
        <item x="774"/>
        <item x="910"/>
        <item x="306"/>
        <item x="752"/>
        <item x="72"/>
        <item x="925"/>
        <item x="668"/>
        <item x="729"/>
        <item x="877"/>
        <item x="480"/>
        <item x="800"/>
        <item x="1011"/>
        <item x="841"/>
        <item x="350"/>
        <item x="136"/>
        <item x="510"/>
        <item x="293"/>
        <item x="787"/>
        <item x="165"/>
        <item x="487"/>
        <item x="506"/>
        <item x="822"/>
        <item x="621"/>
        <item x="131"/>
        <item x="371"/>
        <item x="725"/>
        <item x="108"/>
        <item x="952"/>
        <item x="1012"/>
        <item x="631"/>
        <item x="232"/>
        <item x="839"/>
        <item x="324"/>
        <item x="954"/>
        <item x="470"/>
        <item x="428"/>
        <item x="475"/>
        <item x="8"/>
        <item x="331"/>
        <item x="228"/>
        <item x="91"/>
        <item x="48"/>
        <item x="336"/>
        <item x="205"/>
        <item x="633"/>
        <item x="992"/>
        <item x="376"/>
        <item x="87"/>
        <item x="759"/>
        <item x="130"/>
        <item x="757"/>
        <item x="27"/>
        <item x="736"/>
        <item x="824"/>
        <item x="493"/>
        <item x="330"/>
        <item x="485"/>
        <item x="297"/>
        <item x="900"/>
        <item x="540"/>
        <item x="894"/>
        <item x="341"/>
        <item x="724"/>
        <item x="740"/>
        <item x="399"/>
        <item x="863"/>
        <item x="262"/>
        <item x="269"/>
        <item x="790"/>
        <item x="786"/>
        <item x="755"/>
        <item x="1013"/>
        <item x="876"/>
        <item x="708"/>
        <item x="140"/>
        <item x="454"/>
        <item x="312"/>
        <item x="567"/>
        <item x="200"/>
        <item x="347"/>
        <item x="396"/>
        <item x="912"/>
        <item x="300"/>
        <item x="981"/>
        <item x="543"/>
        <item x="455"/>
        <item x="610"/>
        <item x="58"/>
        <item x="545"/>
        <item x="289"/>
        <item x="180"/>
        <item x="533"/>
        <item x="584"/>
        <item x="639"/>
        <item x="213"/>
        <item x="1014"/>
        <item x="687"/>
        <item x="458"/>
        <item x="539"/>
        <item x="406"/>
        <item x="799"/>
        <item x="939"/>
        <item x="145"/>
        <item x="308"/>
        <item x="705"/>
        <item x="723"/>
        <item x="515"/>
        <item x="259"/>
        <item x="401"/>
        <item x="86"/>
        <item x="230"/>
        <item x="596"/>
        <item x="655"/>
        <item x="642"/>
        <item x="320"/>
        <item x="467"/>
        <item x="995"/>
        <item x="672"/>
        <item x="718"/>
        <item x="761"/>
        <item x="1015"/>
        <item x="975"/>
        <item x="1016"/>
        <item x="999"/>
        <item x="1017"/>
        <item x="988"/>
        <item x="301"/>
        <item x="753"/>
        <item x="266"/>
        <item x="875"/>
        <item x="519"/>
        <item x="728"/>
        <item x="201"/>
        <item x="299"/>
        <item x="942"/>
        <item x="358"/>
        <item x="436"/>
        <item x="281"/>
        <item x="735"/>
        <item x="805"/>
        <item x="435"/>
        <item x="620"/>
        <item x="492"/>
        <item x="792"/>
        <item x="850"/>
        <item x="905"/>
        <item x="121"/>
        <item x="867"/>
        <item x="349"/>
        <item x="749"/>
        <item x="188"/>
        <item x="1018"/>
        <item x="866"/>
        <item x="463"/>
        <item x="529"/>
        <item x="501"/>
        <item x="126"/>
        <item x="619"/>
        <item x="206"/>
        <item x="853"/>
        <item x="531"/>
        <item x="782"/>
        <item x="1019"/>
        <item x="711"/>
        <item x="928"/>
        <item x="294"/>
        <item x="469"/>
        <item x="338"/>
        <item x="989"/>
        <item x="638"/>
        <item x="856"/>
        <item x="884"/>
        <item x="550"/>
        <item x="241"/>
        <item x="552"/>
        <item x="509"/>
        <item x="943"/>
        <item x="427"/>
        <item x="647"/>
        <item x="716"/>
        <item x="185"/>
        <item x="873"/>
        <item x="888"/>
        <item x="326"/>
        <item x="564"/>
        <item x="408"/>
        <item x="680"/>
        <item x="662"/>
        <item x="706"/>
        <item x="287"/>
        <item x="734"/>
        <item x="730"/>
        <item x="449"/>
        <item x="532"/>
        <item x="572"/>
        <item x="963"/>
        <item x="277"/>
        <item x="628"/>
        <item x="657"/>
        <item x="193"/>
        <item x="60"/>
        <item x="722"/>
        <item x="600"/>
        <item x="591"/>
        <item x="780"/>
        <item x="922"/>
        <item x="4"/>
        <item x="667"/>
        <item x="688"/>
        <item x="226"/>
        <item x="1020"/>
        <item x="316"/>
        <item x="56"/>
        <item x="503"/>
        <item x="872"/>
        <item x="32"/>
        <item x="709"/>
        <item x="498"/>
        <item x="826"/>
        <item x="594"/>
        <item x="138"/>
        <item x="448"/>
        <item x="378"/>
        <item x="124"/>
        <item x="240"/>
        <item x="328"/>
        <item x="220"/>
        <item x="158"/>
        <item x="95"/>
        <item x="931"/>
        <item x="5"/>
        <item x="225"/>
        <item x="911"/>
        <item x="414"/>
        <item x="608"/>
        <item x="255"/>
        <item x="714"/>
        <item x="958"/>
        <item x="295"/>
        <item x="704"/>
        <item x="268"/>
        <item x="1021"/>
        <item x="186"/>
        <item x="771"/>
        <item x="997"/>
        <item x="656"/>
        <item x="309"/>
        <item x="66"/>
        <item x="71"/>
        <item x="346"/>
        <item x="860"/>
        <item x="229"/>
        <item x="47"/>
        <item x="97"/>
        <item x="90"/>
        <item x="500"/>
        <item x="1022"/>
        <item x="675"/>
        <item x="965"/>
        <item x="865"/>
        <item x="685"/>
        <item x="595"/>
        <item x="237"/>
        <item x="251"/>
        <item x="793"/>
        <item x="637"/>
        <item x="986"/>
        <item x="580"/>
        <item x="661"/>
        <item x="505"/>
        <item x="348"/>
        <item x="425"/>
        <item x="613"/>
        <item x="323"/>
        <item x="760"/>
        <item x="778"/>
        <item x="384"/>
        <item x="987"/>
        <item x="314"/>
        <item x="236"/>
        <item x="52"/>
        <item x="290"/>
        <item x="524"/>
        <item x="566"/>
        <item x="332"/>
        <item x="468"/>
        <item x="244"/>
        <item x="1023"/>
        <item x="135"/>
        <item x="520"/>
        <item x="934"/>
        <item x="192"/>
        <item x="160"/>
        <item x="588"/>
        <item x="847"/>
        <item x="317"/>
        <item x="380"/>
        <item x="437"/>
        <item x="457"/>
        <item x="683"/>
        <item x="936"/>
        <item x="166"/>
        <item x="374"/>
        <item x="1024"/>
        <item x="812"/>
        <item x="486"/>
        <item x="426"/>
        <item x="521"/>
        <item x="570"/>
        <item x="148"/>
        <item x="737"/>
        <item x="1025"/>
        <item x="640"/>
        <item x="781"/>
        <item x="651"/>
        <item x="518"/>
        <item x="1026"/>
        <item x="855"/>
        <item x="982"/>
        <item x="909"/>
        <item x="758"/>
        <item x="558"/>
        <item x="732"/>
        <item x="915"/>
        <item x="438"/>
        <item x="353"/>
        <item x="940"/>
        <item x="681"/>
        <item x="617"/>
        <item x="825"/>
        <item x="602"/>
        <item x="674"/>
        <item x="342"/>
        <item x="337"/>
        <item x="516"/>
        <item x="150"/>
        <item x="31"/>
        <item x="41"/>
        <item x="184"/>
        <item x="132"/>
        <item x="14"/>
        <item x="53"/>
        <item x="3"/>
        <item x="35"/>
        <item x="33"/>
        <item x="119"/>
        <item x="125"/>
        <item x="1027"/>
        <item x="83"/>
        <item x="1028"/>
        <item x="25"/>
        <item x="23"/>
        <item x="30"/>
        <item x="59"/>
        <item x="122"/>
        <item x="283"/>
        <item x="9"/>
        <item x="1"/>
        <item x="159"/>
        <item x="641"/>
        <item x="616"/>
        <item x="74"/>
        <item x="329"/>
        <item x="78"/>
        <item x="285"/>
        <item x="589"/>
        <item x="1029"/>
        <item x="100"/>
        <item x="1030"/>
        <item x="555"/>
        <item x="417"/>
        <item x="1031"/>
        <item x="202"/>
        <item x="327"/>
        <item x="11"/>
        <item x="1034"/>
        <item x="361"/>
        <item x="586"/>
        <item x="10"/>
        <item x="123"/>
        <item x="103"/>
        <item x="61"/>
        <item x="562"/>
        <item x="363"/>
        <item x="1032"/>
        <item x="291"/>
        <item x="93"/>
        <item x="22"/>
        <item x="388"/>
        <item x="304"/>
        <item x="557"/>
        <item x="697"/>
        <item x="750"/>
        <item x="879"/>
        <item x="430"/>
        <item x="517"/>
        <item x="360"/>
        <item x="1035"/>
        <item x="624"/>
        <item x="139"/>
        <item x="63"/>
        <item x="598"/>
        <item x="815"/>
        <item x="741"/>
        <item x="556"/>
        <item x="1036"/>
        <item x="261"/>
        <item x="275"/>
        <item x="465"/>
        <item x="1033"/>
        <item x="420"/>
        <item x="1037"/>
        <item x="478"/>
        <item x="335"/>
        <item x="739"/>
        <item x="250"/>
        <item x="217"/>
        <item x="368"/>
        <item x="79"/>
        <item x="223"/>
        <item x="1038"/>
        <item x="153"/>
        <item x="1039"/>
        <item x="279"/>
        <item x="210"/>
        <item x="276"/>
        <item x="18"/>
        <item x="16"/>
        <item x="411"/>
        <item x="224"/>
        <item x="769"/>
        <item x="370"/>
        <item x="92"/>
        <item x="102"/>
        <item x="104"/>
        <item x="402"/>
        <item x="272"/>
        <item x="7"/>
        <item x="111"/>
        <item x="743"/>
        <item x="646"/>
        <item x="451"/>
        <item x="120"/>
        <item x="632"/>
        <item x="796"/>
        <item x="507"/>
        <item x="810"/>
        <item x="611"/>
        <item x="333"/>
        <item x="322"/>
        <item x="923"/>
        <item x="649"/>
        <item x="218"/>
        <item x="643"/>
        <item x="650"/>
        <item x="310"/>
        <item x="833"/>
        <item x="897"/>
        <item x="746"/>
        <item x="547"/>
        <item x="375"/>
        <item x="751"/>
        <item x="385"/>
        <item x="407"/>
        <item x="932"/>
        <item x="618"/>
        <item x="6"/>
        <item x="494"/>
        <item x="36"/>
        <item x="1040"/>
        <item x="947"/>
        <item x="673"/>
        <item x="354"/>
        <item x="840"/>
        <item x="526"/>
        <item x="381"/>
        <item x="762"/>
        <item x="195"/>
        <item x="495"/>
        <item x="169"/>
        <item x="134"/>
        <item x="369"/>
        <item x="133"/>
        <item x="227"/>
        <item x="607"/>
        <item x="593"/>
        <item x="405"/>
        <item x="819"/>
        <item x="453"/>
        <item x="191"/>
        <item x="713"/>
        <item x="583"/>
        <item x="321"/>
        <item x="801"/>
        <item x="40"/>
        <item x="1041"/>
        <item x="383"/>
        <item x="459"/>
        <item x="73"/>
        <item x="101"/>
        <item x="94"/>
        <item x="62"/>
        <item x="12"/>
        <item x="19"/>
        <item x="21"/>
        <item x="231"/>
        <item x="432"/>
        <item x="96"/>
        <item x="42"/>
        <item x="525"/>
        <item x="298"/>
        <item x="669"/>
        <item x="990"/>
        <item x="968"/>
        <item x="622"/>
        <item x="747"/>
        <item x="265"/>
        <item x="678"/>
        <item x="838"/>
        <item x="345"/>
        <item x="296"/>
        <item x="254"/>
        <item x="253"/>
        <item x="214"/>
        <item x="1042"/>
        <item x="604"/>
        <item x="340"/>
        <item x="1043"/>
        <item x="536"/>
        <item x="571"/>
        <item x="392"/>
        <item x="483"/>
        <item x="1044"/>
        <item x="400"/>
        <item x="612"/>
        <item x="464"/>
        <item x="601"/>
        <item x="603"/>
        <item x="575"/>
        <item x="344"/>
        <item x="538"/>
        <item x="373"/>
        <item x="574"/>
        <item x="175"/>
        <item x="431"/>
        <item x="703"/>
        <item x="623"/>
        <item x="249"/>
        <item x="890"/>
        <item x="861"/>
        <item x="948"/>
        <item x="945"/>
        <item x="946"/>
        <item x="916"/>
        <item x="956"/>
        <item x="941"/>
        <item x="969"/>
        <item x="976"/>
        <item x="930"/>
        <item x="920"/>
        <item x="950"/>
        <item x="964"/>
        <item x="977"/>
        <item x="869"/>
        <item x="891"/>
        <item x="974"/>
        <item x="961"/>
        <item x="970"/>
        <item x="827"/>
        <item x="959"/>
        <item x="944"/>
        <item x="978"/>
        <item x="907"/>
        <item x="972"/>
        <item x="908"/>
        <item x="971"/>
        <item x="951"/>
        <item x="983"/>
        <item x="937"/>
        <item x="1045"/>
        <item x="109"/>
        <item x="423"/>
        <item x="1046"/>
        <item x="719"/>
        <item x="692"/>
        <item x="46"/>
        <item x="702"/>
        <item x="829"/>
        <item x="806"/>
        <item x="99"/>
        <item x="257"/>
        <item x="239"/>
        <item x="694"/>
        <item x="359"/>
        <item x="365"/>
        <item x="221"/>
        <item x="190"/>
        <item x="313"/>
        <item x="118"/>
        <item x="243"/>
        <item x="512"/>
        <item x="788"/>
        <item x="842"/>
        <item x="68"/>
        <item x="535"/>
        <item x="508"/>
        <item x="846"/>
        <item x="49"/>
        <item x="707"/>
        <item x="684"/>
        <item x="161"/>
        <item x="212"/>
        <item x="690"/>
        <item x="798"/>
        <item x="682"/>
        <item x="848"/>
        <item x="1048"/>
        <item x="1047"/>
        <item x="502"/>
        <item x="377"/>
        <item x="935"/>
        <item x="765"/>
        <item x="914"/>
        <item x="659"/>
        <item x="870"/>
        <item x="742"/>
        <item x="484"/>
        <item x="198"/>
        <item x="530"/>
        <item x="903"/>
        <item x="808"/>
        <item x="754"/>
        <item x="1049"/>
        <item x="479"/>
        <item x="553"/>
        <item x="625"/>
        <item x="652"/>
        <item x="522"/>
        <item x="991"/>
        <item x="691"/>
        <item x="772"/>
        <item x="1050"/>
        <item x="429"/>
        <item x="267"/>
        <item x="929"/>
        <item x="307"/>
        <item x="712"/>
        <item x="80"/>
        <item x="482"/>
        <item x="355"/>
        <item x="1051"/>
        <item x="474"/>
        <item x="979"/>
        <item x="871"/>
        <item x="773"/>
        <item x="776"/>
        <item x="476"/>
        <item x="576"/>
        <item x="315"/>
        <item x="444"/>
        <item x="597"/>
        <item x="194"/>
        <item x="880"/>
        <item x="513"/>
        <item x="412"/>
        <item x="242"/>
        <item x="447"/>
        <item x="216"/>
        <item x="187"/>
        <item x="15"/>
        <item x="116"/>
        <item x="45"/>
        <item x="271"/>
        <item x="77"/>
        <item x="1052"/>
        <item x="582"/>
        <item x="177"/>
        <item x="28"/>
        <item x="163"/>
        <item x="263"/>
        <item x="208"/>
        <item x="20"/>
        <item x="441"/>
        <item x="831"/>
        <item x="199"/>
        <item x="452"/>
        <item x="527"/>
        <item x="70"/>
        <item x="264"/>
        <item x="477"/>
        <item x="357"/>
        <item x="182"/>
        <item x="398"/>
        <item x="112"/>
        <item x="197"/>
        <item x="1000"/>
        <item x="973"/>
        <item x="775"/>
        <item x="569"/>
        <item x="511"/>
        <item x="523"/>
        <item x="339"/>
        <item x="699"/>
        <item x="343"/>
        <item x="419"/>
        <item x="410"/>
        <item x="403"/>
        <item x="415"/>
        <item x="55"/>
        <item x="777"/>
        <item x="859"/>
        <item x="1053"/>
        <item x="892"/>
        <item x="665"/>
        <item x="416"/>
        <item x="404"/>
        <item x="219"/>
        <item x="738"/>
        <item x="599"/>
        <item x="590"/>
        <item x="851"/>
        <item x="162"/>
        <item x="497"/>
        <item x="105"/>
        <item x="238"/>
        <item x="334"/>
        <item x="889"/>
        <item x="211"/>
        <item x="913"/>
        <item x="823"/>
        <item x="710"/>
        <item x="256"/>
        <item x="804"/>
        <item x="770"/>
        <item x="906"/>
        <item x="491"/>
        <item x="129"/>
        <item x="171"/>
        <item x="984"/>
        <item x="996"/>
        <item x="170"/>
        <item x="745"/>
        <item x="1054"/>
        <item x="234"/>
        <item x="980"/>
        <item x="993"/>
        <item x="44"/>
        <item x="460"/>
        <item x="768"/>
        <item x="878"/>
        <item x="615"/>
        <item x="689"/>
        <item x="924"/>
        <item x="137"/>
        <item x="813"/>
        <item x="830"/>
        <item x="413"/>
        <item x="858"/>
        <item x="630"/>
        <item x="962"/>
        <item x="917"/>
        <item x="356"/>
        <item x="26"/>
        <item x="568"/>
        <item x="258"/>
        <item x="985"/>
        <item x="1055"/>
        <item x="802"/>
        <item x="433"/>
        <item x="837"/>
        <item x="142"/>
        <item x="648"/>
        <item x="154"/>
        <item x="998"/>
        <item x="196"/>
        <item x="587"/>
        <item x="546"/>
        <item x="1056"/>
        <item x="864"/>
        <item x="834"/>
        <item x="504"/>
        <item x="666"/>
        <item x="173"/>
        <item x="270"/>
        <item x="183"/>
        <item x="701"/>
        <item x="473"/>
        <item x="816"/>
        <item x="966"/>
        <item x="541"/>
        <item x="677"/>
        <item x="286"/>
        <item x="489"/>
        <item x="364"/>
        <item x="904"/>
        <item x="606"/>
        <item x="726"/>
        <item x="367"/>
        <item x="573"/>
        <item x="390"/>
        <item x="488"/>
        <item x="814"/>
        <item x="64"/>
        <item x="663"/>
        <item x="325"/>
        <item x="85"/>
        <item x="456"/>
        <item x="695"/>
        <item x="50"/>
        <item x="577"/>
        <item x="146"/>
        <item x="462"/>
        <item x="887"/>
        <item x="696"/>
        <item x="189"/>
        <item x="89"/>
        <item x="372"/>
        <item x="654"/>
        <item x="836"/>
        <item x="791"/>
        <item x="554"/>
        <item x="645"/>
        <item x="563"/>
        <item x="549"/>
        <item x="585"/>
        <item x="766"/>
        <item x="113"/>
        <item x="744"/>
        <item x="151"/>
        <item x="721"/>
        <item x="442"/>
        <item x="852"/>
        <item x="918"/>
        <item x="967"/>
        <item x="1057"/>
        <item x="439"/>
        <item x="1058"/>
        <item x="81"/>
      </items>
    </pivotField>
    <pivotField compact="0" outline="0" multipleItemSelectionAllowed="1" showAll="0"/>
    <pivotField compact="0" outline="0" multipleItemSelectionAllowed="1" showAll="0"/>
    <pivotField axis="axisRow" compact="0" defaultSubtotal="0" outline="0" multipleItemSelectionAllowed="1" showAll="0">
      <items count="4">
        <item x="0"/>
        <item x="2"/>
        <item x="3"/>
        <item x="1"/>
      </items>
    </pivotField>
    <pivotField axis="axisRow" compact="0" defaultSubtotal="0" outline="0" multipleItemSelectionAllowed="1" showAll="0">
      <items count="82">
        <item x="46"/>
        <item x="38"/>
        <item x="65"/>
        <item x="32"/>
        <item x="33"/>
        <item x="60"/>
        <item x="61"/>
        <item x="57"/>
        <item x="53"/>
        <item x="76"/>
        <item x="13"/>
        <item x="31"/>
        <item x="51"/>
        <item x="11"/>
        <item x="63"/>
        <item x="29"/>
        <item x="10"/>
        <item x="75"/>
        <item x="36"/>
        <item x="48"/>
        <item x="68"/>
        <item x="67"/>
        <item x="7"/>
        <item x="69"/>
        <item x="42"/>
        <item x="25"/>
        <item x="45"/>
        <item x="80"/>
        <item x="41"/>
        <item x="55"/>
        <item x="64"/>
        <item x="39"/>
        <item x="0"/>
        <item x="34"/>
        <item x="27"/>
        <item x="23"/>
        <item x="79"/>
        <item x="78"/>
        <item x="26"/>
        <item x="47"/>
        <item x="81"/>
        <item x="56"/>
        <item x="43"/>
        <item x="22"/>
        <item x="54"/>
        <item x="44"/>
        <item x="2"/>
        <item x="8"/>
        <item x="20"/>
        <item x="16"/>
        <item x="9"/>
        <item x="12"/>
        <item x="21"/>
        <item x="59"/>
        <item x="19"/>
        <item x="30"/>
        <item x="66"/>
        <item x="17"/>
        <item x="62"/>
        <item x="52"/>
        <item x="72"/>
        <item x="58"/>
        <item x="28"/>
        <item x="24"/>
        <item x="35"/>
        <item x="49"/>
        <item x="74"/>
        <item x="15"/>
        <item x="40"/>
        <item x="70"/>
        <item x="3"/>
        <item x="73"/>
        <item x="4"/>
        <item x="77"/>
        <item x="5"/>
        <item x="14"/>
        <item x="37"/>
        <item x="50"/>
        <item x="18"/>
        <item x="6"/>
        <item x="71"/>
        <item x="1"/>
      </items>
    </pivotField>
    <pivotField compact="0" outline="0" multipleItemSelectionAllowed="1" showAll="0"/>
    <pivotField axis="axisRow" compact="0" outline="0" multipleItemSelectionAllowed="1" showAll="0">
      <items count="4">
        <item x="1"/>
        <item x="2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4">
    <field x="4"/>
    <field x="3"/>
    <field x="0"/>
    <field x="6"/>
  </rowFields>
  <rowItems count="1066">
    <i>
      <x/>
      <x v="2"/>
      <x v="504"/>
      <x/>
    </i>
    <i>
      <x v="1"/>
      <x v="1"/>
      <x v="519"/>
      <x v="2"/>
    </i>
    <i>
      <x v="2"/>
      <x/>
      <x v="145"/>
      <x/>
    </i>
    <i>
      <x v="3"/>
      <x v="2"/>
      <x v="300"/>
      <x v="2"/>
    </i>
    <i>
      <x v="4"/>
      <x/>
      <x v="982"/>
      <x v="1"/>
    </i>
    <i>
      <x v="5"/>
      <x v="2"/>
      <x v="340"/>
      <x/>
    </i>
    <i>
      <x v="6"/>
      <x v="3"/>
      <x v="930"/>
      <x v="2"/>
    </i>
    <i>
      <x v="7"/>
      <x/>
      <x v="531"/>
      <x/>
    </i>
    <i>
      <x v="8"/>
      <x v="3"/>
      <x v="186"/>
      <x v="2"/>
    </i>
    <i>
      <x v="9"/>
      <x v="1"/>
      <x v="838"/>
      <x v="2"/>
    </i>
    <i>
      <x v="10"/>
      <x v="1"/>
      <x v="118"/>
      <x/>
    </i>
    <i r="2">
      <x v="119"/>
      <x v="2"/>
    </i>
    <i>
      <x v="11"/>
      <x v="1"/>
      <x v="24"/>
      <x/>
    </i>
    <i>
      <x v="12"/>
      <x v="3"/>
      <x v="390"/>
      <x v="2"/>
    </i>
    <i>
      <x v="13"/>
      <x/>
      <x v="719"/>
      <x/>
    </i>
    <i>
      <x v="14"/>
      <x v="2"/>
      <x v="199"/>
      <x/>
    </i>
    <i>
      <x v="15"/>
      <x v="1"/>
      <x v="153"/>
      <x/>
    </i>
    <i r="2">
      <x v="154"/>
      <x/>
    </i>
    <i>
      <x v="16"/>
      <x v="3"/>
      <x v="163"/>
      <x v="2"/>
    </i>
    <i>
      <x v="17"/>
      <x v="1"/>
      <x v="159"/>
      <x v="2"/>
    </i>
    <i>
      <x v="18"/>
      <x/>
      <x v="213"/>
      <x/>
    </i>
    <i>
      <x v="19"/>
      <x/>
      <x v="101"/>
      <x v="2"/>
    </i>
    <i>
      <x v="20"/>
      <x/>
      <x v="201"/>
      <x v="2"/>
    </i>
    <i>
      <x v="21"/>
      <x/>
      <x v="169"/>
      <x v="2"/>
    </i>
    <i>
      <x v="22"/>
      <x v="3"/>
      <x v="308"/>
      <x v="2"/>
    </i>
    <i>
      <x v="23"/>
      <x v="1"/>
      <x v="274"/>
      <x v="2"/>
    </i>
    <i>
      <x v="24"/>
      <x v="1"/>
      <x v="241"/>
      <x v="1"/>
    </i>
    <i>
      <x v="25"/>
      <x v="1"/>
      <x v="4"/>
      <x/>
    </i>
    <i>
      <x v="26"/>
      <x v="3"/>
      <x v="97"/>
      <x v="2"/>
    </i>
    <i>
      <x v="27"/>
      <x/>
      <x v="330"/>
      <x v="2"/>
    </i>
    <i>
      <x v="28"/>
      <x v="1"/>
      <x v="116"/>
      <x/>
    </i>
    <i r="2">
      <x v="363"/>
      <x v="2"/>
    </i>
    <i>
      <x v="29"/>
      <x v="1"/>
      <x v="478"/>
      <x v="2"/>
    </i>
    <i>
      <x v="30"/>
      <x v="3"/>
      <x v="425"/>
      <x v="2"/>
    </i>
    <i>
      <x v="31"/>
      <x v="1"/>
      <x v="415"/>
      <x/>
    </i>
    <i r="2">
      <x v="506"/>
      <x/>
    </i>
    <i>
      <x v="32"/>
      <x/>
      <x v="99"/>
      <x v="2"/>
    </i>
    <i r="2">
      <x v="427"/>
      <x v="2"/>
    </i>
    <i>
      <x v="33"/>
      <x/>
      <x v="356"/>
      <x v="2"/>
    </i>
    <i>
      <x v="34"/>
      <x/>
      <x v="448"/>
      <x/>
    </i>
    <i>
      <x v="35"/>
      <x v="1"/>
      <x v="957"/>
      <x v="1"/>
    </i>
    <i>
      <x v="36"/>
      <x/>
      <x v="472"/>
      <x v="2"/>
    </i>
    <i>
      <x v="37"/>
      <x/>
      <x v="473"/>
      <x v="2"/>
    </i>
    <i>
      <x v="38"/>
      <x/>
      <x v="379"/>
      <x v="2"/>
    </i>
    <i>
      <x v="39"/>
      <x v="1"/>
      <x v="984"/>
      <x v="1"/>
    </i>
    <i>
      <x v="40"/>
      <x/>
      <x v="488"/>
      <x v="2"/>
    </i>
    <i>
      <x v="41"/>
      <x v="1"/>
      <x v="481"/>
      <x/>
    </i>
    <i>
      <x v="42"/>
      <x v="2"/>
      <x v="510"/>
      <x v="2"/>
    </i>
    <i>
      <x v="43"/>
      <x/>
      <x v="819"/>
      <x v="2"/>
    </i>
    <i>
      <x v="44"/>
      <x v="2"/>
      <x v="98"/>
      <x v="2"/>
    </i>
    <i>
      <x v="45"/>
      <x v="1"/>
      <x v="395"/>
      <x/>
    </i>
    <i>
      <x v="46"/>
      <x/>
      <x v="427"/>
      <x v="2"/>
    </i>
    <i>
      <x v="47"/>
      <x v="3"/>
      <x v="602"/>
      <x v="2"/>
    </i>
    <i>
      <x v="48"/>
      <x v="3"/>
      <x v="601"/>
      <x v="2"/>
    </i>
    <i>
      <x v="49"/>
      <x v="3"/>
      <x v="607"/>
      <x v="2"/>
    </i>
    <i>
      <x v="50"/>
      <x v="3"/>
      <x v="621"/>
      <x v="2"/>
    </i>
    <i>
      <x v="51"/>
      <x v="3"/>
      <x v="582"/>
      <x v="2"/>
    </i>
    <i>
      <x v="52"/>
      <x v="3"/>
      <x v="655"/>
      <x v="2"/>
    </i>
    <i>
      <x v="53"/>
      <x/>
      <x v="495"/>
      <x/>
    </i>
    <i>
      <x v="54"/>
      <x v="3"/>
      <x v="654"/>
      <x v="2"/>
    </i>
    <i>
      <x v="55"/>
      <x/>
      <x v="354"/>
      <x v="1"/>
    </i>
    <i>
      <x v="56"/>
      <x/>
      <x v="360"/>
      <x v="2"/>
    </i>
    <i>
      <x v="57"/>
      <x v="3"/>
      <x v="449"/>
      <x v="2"/>
    </i>
    <i>
      <x v="58"/>
      <x/>
      <x v="496"/>
      <x v="2"/>
    </i>
    <i>
      <x v="59"/>
      <x/>
      <x v="334"/>
      <x/>
    </i>
    <i>
      <x v="60"/>
      <x/>
      <x v="999"/>
      <x v="2"/>
    </i>
    <i>
      <x v="61"/>
      <x v="1"/>
      <x v="846"/>
      <x/>
    </i>
    <i>
      <x v="62"/>
      <x v="1"/>
      <x v="231"/>
      <x v="2"/>
    </i>
    <i r="2">
      <x v="863"/>
      <x v="2"/>
    </i>
    <i r="2">
      <x v="864"/>
      <x v="2"/>
    </i>
    <i>
      <x v="63"/>
      <x v="1"/>
      <x v="897"/>
      <x v="2"/>
    </i>
    <i>
      <x v="64"/>
      <x v="2"/>
      <x v="903"/>
      <x v="1"/>
    </i>
    <i>
      <x v="65"/>
      <x/>
      <x v="488"/>
      <x/>
    </i>
    <i>
      <x v="66"/>
      <x/>
      <x v="392"/>
      <x v="2"/>
    </i>
    <i>
      <x v="67"/>
      <x v="3"/>
      <x v="143"/>
      <x v="2"/>
    </i>
    <i>
      <x v="68"/>
      <x v="1"/>
      <x v="387"/>
      <x v="2"/>
    </i>
    <i>
      <x v="69"/>
      <x/>
      <x v="206"/>
      <x v="2"/>
    </i>
    <i>
      <x v="70"/>
      <x/>
      <x v="171"/>
      <x/>
    </i>
    <i>
      <x v="71"/>
      <x v="1"/>
      <x v="970"/>
      <x v="2"/>
    </i>
    <i>
      <x v="72"/>
      <x v="3"/>
      <x v="983"/>
      <x v="2"/>
    </i>
    <i>
      <x v="73"/>
      <x v="1"/>
      <x v="963"/>
      <x v="2"/>
    </i>
    <i>
      <x v="74"/>
      <x v="3"/>
      <x v="967"/>
      <x v="2"/>
    </i>
    <i>
      <x v="75"/>
      <x v="3"/>
      <x v="1058"/>
      <x v="2"/>
    </i>
    <i>
      <x v="76"/>
      <x/>
      <x v="1027"/>
      <x/>
    </i>
    <i>
      <x v="77"/>
      <x v="1"/>
      <x v="705"/>
      <x v="1"/>
    </i>
    <i>
      <x v="78"/>
      <x v="3"/>
      <x v="810"/>
      <x v="2"/>
    </i>
    <i>
      <x v="79"/>
      <x v="3"/>
      <x v="1029"/>
      <x v="2"/>
    </i>
    <i>
      <x v="80"/>
      <x v="2"/>
      <x v="1052"/>
      <x v="2"/>
    </i>
    <i>
      <x v="81"/>
      <x/>
      <x v="3"/>
      <x/>
    </i>
    <i r="2">
      <x v="5"/>
      <x v="2"/>
    </i>
    <i r="2">
      <x v="6"/>
      <x v="2"/>
    </i>
    <i r="2">
      <x v="7"/>
      <x v="1"/>
    </i>
    <i r="2">
      <x v="8"/>
      <x/>
    </i>
    <i r="2">
      <x v="10"/>
      <x/>
    </i>
    <i r="2">
      <x v="13"/>
      <x v="2"/>
    </i>
    <i r="2">
      <x v="15"/>
      <x/>
    </i>
    <i r="2">
      <x v="20"/>
      <x/>
    </i>
    <i r="2">
      <x v="21"/>
      <x/>
    </i>
    <i r="2">
      <x v="22"/>
      <x/>
    </i>
    <i r="2">
      <x v="23"/>
      <x v="2"/>
    </i>
    <i r="2">
      <x v="30"/>
      <x v="2"/>
    </i>
    <i r="2">
      <x v="31"/>
      <x/>
    </i>
    <i r="2">
      <x v="32"/>
      <x/>
    </i>
    <i r="2">
      <x v="34"/>
      <x v="2"/>
    </i>
    <i r="2">
      <x v="37"/>
      <x v="2"/>
    </i>
    <i r="2">
      <x v="38"/>
      <x v="2"/>
    </i>
    <i r="2">
      <x v="40"/>
      <x v="2"/>
    </i>
    <i r="2">
      <x v="43"/>
      <x v="2"/>
    </i>
    <i r="2">
      <x v="51"/>
      <x/>
    </i>
    <i r="2">
      <x v="53"/>
      <x/>
    </i>
    <i r="2">
      <x v="54"/>
      <x/>
    </i>
    <i r="2">
      <x v="55"/>
      <x/>
    </i>
    <i r="2">
      <x v="56"/>
      <x/>
    </i>
    <i r="2">
      <x v="59"/>
      <x/>
    </i>
    <i r="2">
      <x v="60"/>
      <x/>
    </i>
    <i r="2">
      <x v="61"/>
      <x v="2"/>
    </i>
    <i r="2">
      <x v="62"/>
      <x v="2"/>
    </i>
    <i r="2">
      <x v="67"/>
      <x/>
    </i>
    <i r="2">
      <x v="68"/>
      <x v="2"/>
    </i>
    <i r="2">
      <x v="69"/>
      <x v="2"/>
    </i>
    <i r="2">
      <x v="71"/>
      <x v="2"/>
    </i>
    <i r="2">
      <x v="73"/>
      <x v="1"/>
    </i>
    <i r="2">
      <x v="74"/>
      <x/>
    </i>
    <i r="2">
      <x v="76"/>
      <x/>
    </i>
    <i r="2">
      <x v="78"/>
      <x v="2"/>
    </i>
    <i r="2">
      <x v="79"/>
      <x v="2"/>
    </i>
    <i r="2">
      <x v="84"/>
      <x/>
    </i>
    <i r="2">
      <x v="85"/>
      <x/>
    </i>
    <i r="2">
      <x v="86"/>
      <x v="2"/>
    </i>
    <i r="2">
      <x v="90"/>
      <x v="2"/>
    </i>
    <i r="2">
      <x v="91"/>
      <x v="2"/>
    </i>
    <i r="2">
      <x v="93"/>
      <x v="2"/>
    </i>
    <i r="2">
      <x v="94"/>
      <x v="2"/>
    </i>
    <i r="2">
      <x v="100"/>
      <x/>
    </i>
    <i r="2">
      <x v="105"/>
      <x v="1"/>
    </i>
    <i r="2">
      <x v="113"/>
      <x v="2"/>
    </i>
    <i r="2">
      <x v="114"/>
      <x/>
    </i>
    <i r="2">
      <x v="120"/>
      <x v="2"/>
    </i>
    <i r="2">
      <x v="123"/>
      <x/>
    </i>
    <i r="2">
      <x v="125"/>
      <x v="2"/>
    </i>
    <i r="2">
      <x v="126"/>
      <x v="2"/>
    </i>
    <i r="2">
      <x v="131"/>
      <x/>
    </i>
    <i r="2">
      <x v="132"/>
      <x v="2"/>
    </i>
    <i r="2">
      <x v="134"/>
      <x v="2"/>
    </i>
    <i r="2">
      <x v="135"/>
      <x/>
    </i>
    <i r="2">
      <x v="136"/>
      <x/>
    </i>
    <i r="2">
      <x v="137"/>
      <x/>
    </i>
    <i r="2">
      <x v="138"/>
      <x/>
    </i>
    <i r="2">
      <x v="141"/>
      <x v="2"/>
    </i>
    <i r="2">
      <x v="142"/>
      <x v="2"/>
    </i>
    <i r="2">
      <x v="147"/>
      <x v="1"/>
    </i>
    <i r="2">
      <x v="148"/>
      <x v="1"/>
    </i>
    <i r="2">
      <x v="149"/>
      <x/>
    </i>
    <i r="2">
      <x v="150"/>
      <x/>
    </i>
    <i r="2">
      <x v="151"/>
      <x v="2"/>
    </i>
    <i r="2">
      <x v="152"/>
      <x/>
    </i>
    <i r="2">
      <x v="165"/>
      <x v="2"/>
    </i>
    <i r="2">
      <x v="166"/>
      <x v="2"/>
    </i>
    <i r="2">
      <x v="167"/>
      <x v="2"/>
    </i>
    <i r="2">
      <x v="168"/>
      <x v="2"/>
    </i>
    <i r="2">
      <x v="170"/>
      <x v="1"/>
    </i>
    <i r="2">
      <x v="172"/>
      <x/>
    </i>
    <i r="2">
      <x v="175"/>
      <x v="2"/>
    </i>
    <i r="2">
      <x v="180"/>
      <x/>
    </i>
    <i r="2">
      <x v="181"/>
      <x v="2"/>
    </i>
    <i r="2">
      <x v="183"/>
      <x/>
    </i>
    <i r="2">
      <x v="184"/>
      <x/>
    </i>
    <i r="2">
      <x v="187"/>
      <x/>
    </i>
    <i r="2">
      <x v="188"/>
      <x v="2"/>
    </i>
    <i r="2">
      <x v="189"/>
      <x v="2"/>
    </i>
    <i r="2">
      <x v="190"/>
      <x v="2"/>
    </i>
    <i r="2">
      <x v="191"/>
      <x v="2"/>
    </i>
    <i r="2">
      <x v="195"/>
      <x v="2"/>
    </i>
    <i r="2">
      <x v="205"/>
      <x/>
    </i>
    <i r="2">
      <x v="234"/>
      <x/>
    </i>
    <i r="2">
      <x v="236"/>
      <x v="1"/>
    </i>
    <i r="2">
      <x v="238"/>
      <x v="1"/>
    </i>
    <i r="2">
      <x v="239"/>
      <x v="2"/>
    </i>
    <i r="2">
      <x v="242"/>
      <x v="2"/>
    </i>
    <i r="2">
      <x v="243"/>
      <x v="2"/>
    </i>
    <i r="2">
      <x v="244"/>
      <x v="2"/>
    </i>
    <i r="2">
      <x v="245"/>
      <x v="1"/>
    </i>
    <i r="2">
      <x v="246"/>
      <x v="1"/>
    </i>
    <i r="2">
      <x v="248"/>
      <x v="1"/>
    </i>
    <i r="2">
      <x v="249"/>
      <x v="2"/>
    </i>
    <i r="2">
      <x v="250"/>
      <x v="1"/>
    </i>
    <i r="2">
      <x v="252"/>
      <x v="2"/>
    </i>
    <i r="2">
      <x v="254"/>
      <x v="2"/>
    </i>
    <i r="2">
      <x v="255"/>
      <x v="1"/>
    </i>
    <i r="2">
      <x v="256"/>
      <x v="1"/>
    </i>
    <i r="2">
      <x v="257"/>
      <x v="1"/>
    </i>
    <i r="2">
      <x v="265"/>
      <x v="2"/>
    </i>
    <i r="2">
      <x v="266"/>
      <x v="2"/>
    </i>
    <i r="2">
      <x v="267"/>
      <x v="1"/>
    </i>
    <i r="2">
      <x v="269"/>
      <x v="2"/>
    </i>
    <i r="2">
      <x v="270"/>
      <x v="2"/>
    </i>
    <i r="2">
      <x v="271"/>
      <x v="2"/>
    </i>
    <i r="2">
      <x v="273"/>
      <x v="1"/>
    </i>
    <i r="2">
      <x v="275"/>
      <x v="1"/>
    </i>
    <i r="2">
      <x v="277"/>
      <x v="2"/>
    </i>
    <i r="2">
      <x v="278"/>
      <x v="2"/>
    </i>
    <i r="2">
      <x v="279"/>
      <x v="1"/>
    </i>
    <i r="2">
      <x v="280"/>
      <x v="1"/>
    </i>
    <i r="2">
      <x v="281"/>
      <x v="2"/>
    </i>
    <i r="2">
      <x v="287"/>
      <x v="1"/>
    </i>
    <i r="2">
      <x v="292"/>
      <x v="2"/>
    </i>
    <i r="2">
      <x v="294"/>
      <x v="2"/>
    </i>
    <i r="2">
      <x v="301"/>
      <x v="1"/>
    </i>
    <i r="2">
      <x v="302"/>
      <x v="2"/>
    </i>
    <i r="2">
      <x v="303"/>
      <x v="2"/>
    </i>
    <i r="2">
      <x v="304"/>
      <x v="2"/>
    </i>
    <i r="2">
      <x v="305"/>
      <x/>
    </i>
    <i r="2">
      <x v="309"/>
      <x/>
    </i>
    <i r="2">
      <x v="312"/>
      <x v="1"/>
    </i>
    <i r="2">
      <x v="313"/>
      <x v="1"/>
    </i>
    <i r="2">
      <x v="316"/>
      <x/>
    </i>
    <i r="2">
      <x v="318"/>
      <x/>
    </i>
    <i r="2">
      <x v="321"/>
      <x v="2"/>
    </i>
    <i r="2">
      <x v="322"/>
      <x/>
    </i>
    <i r="2">
      <x v="324"/>
      <x v="2"/>
    </i>
    <i r="2">
      <x v="325"/>
      <x/>
    </i>
    <i r="2">
      <x v="326"/>
      <x/>
    </i>
    <i r="2">
      <x v="329"/>
      <x/>
    </i>
    <i r="2">
      <x v="331"/>
      <x/>
    </i>
    <i r="2">
      <x v="333"/>
      <x/>
    </i>
    <i r="2">
      <x v="335"/>
      <x v="2"/>
    </i>
    <i r="2">
      <x v="337"/>
      <x/>
    </i>
    <i r="2">
      <x v="338"/>
      <x v="2"/>
    </i>
    <i r="2">
      <x v="339"/>
      <x/>
    </i>
    <i r="2">
      <x v="343"/>
      <x v="2"/>
    </i>
    <i r="2">
      <x v="344"/>
      <x v="2"/>
    </i>
    <i r="2">
      <x v="346"/>
      <x/>
    </i>
    <i r="2">
      <x v="347"/>
      <x v="2"/>
    </i>
    <i r="2">
      <x v="350"/>
      <x v="2"/>
    </i>
    <i r="2">
      <x v="351"/>
      <x/>
    </i>
    <i r="2">
      <x v="352"/>
      <x v="2"/>
    </i>
    <i r="2">
      <x v="353"/>
      <x v="2"/>
    </i>
    <i r="2">
      <x v="355"/>
      <x v="2"/>
    </i>
    <i r="2">
      <x v="357"/>
      <x/>
    </i>
    <i r="2">
      <x v="359"/>
      <x/>
    </i>
    <i r="2">
      <x v="361"/>
      <x v="2"/>
    </i>
    <i r="2">
      <x v="364"/>
      <x v="2"/>
    </i>
    <i r="2">
      <x v="365"/>
      <x v="2"/>
    </i>
    <i r="2">
      <x v="366"/>
      <x v="2"/>
    </i>
    <i r="2">
      <x v="369"/>
      <x v="2"/>
    </i>
    <i r="2">
      <x v="370"/>
      <x v="2"/>
    </i>
    <i r="2">
      <x v="372"/>
      <x/>
    </i>
    <i r="2">
      <x v="373"/>
      <x v="2"/>
    </i>
    <i r="2">
      <x v="376"/>
      <x/>
    </i>
    <i r="2">
      <x v="377"/>
      <x v="2"/>
    </i>
    <i r="2">
      <x v="378"/>
      <x v="2"/>
    </i>
    <i r="2">
      <x v="380"/>
      <x v="2"/>
    </i>
    <i r="2">
      <x v="382"/>
      <x/>
    </i>
    <i r="2">
      <x v="383"/>
      <x/>
    </i>
    <i r="2">
      <x v="384"/>
      <x/>
    </i>
    <i r="2">
      <x v="385"/>
      <x/>
    </i>
    <i r="2">
      <x v="389"/>
      <x v="2"/>
    </i>
    <i r="2">
      <x v="393"/>
      <x/>
    </i>
    <i r="2">
      <x v="397"/>
      <x/>
    </i>
    <i r="2">
      <x v="398"/>
      <x/>
    </i>
    <i r="2">
      <x v="399"/>
      <x v="2"/>
    </i>
    <i r="2">
      <x v="401"/>
      <x v="2"/>
    </i>
    <i r="2">
      <x v="402"/>
      <x/>
    </i>
    <i r="2">
      <x v="403"/>
      <x v="2"/>
    </i>
    <i r="2">
      <x v="405"/>
      <x/>
    </i>
    <i r="2">
      <x v="406"/>
      <x/>
    </i>
    <i r="2">
      <x v="407"/>
      <x v="2"/>
    </i>
    <i r="2">
      <x v="408"/>
      <x/>
    </i>
    <i r="2">
      <x v="409"/>
      <x v="2"/>
    </i>
    <i r="2">
      <x v="411"/>
      <x v="2"/>
    </i>
    <i r="2">
      <x v="413"/>
      <x/>
    </i>
    <i r="2">
      <x v="414"/>
      <x/>
    </i>
    <i r="2">
      <x v="416"/>
      <x/>
    </i>
    <i r="2">
      <x v="422"/>
      <x v="2"/>
    </i>
    <i r="2">
      <x v="423"/>
      <x v="2"/>
    </i>
    <i r="2">
      <x v="426"/>
      <x v="2"/>
    </i>
    <i r="2">
      <x v="428"/>
      <x/>
    </i>
    <i r="2">
      <x v="430"/>
      <x v="2"/>
    </i>
    <i r="2">
      <x v="431"/>
      <x/>
    </i>
    <i r="2">
      <x v="434"/>
      <x v="1"/>
    </i>
    <i r="2">
      <x v="436"/>
      <x v="2"/>
    </i>
    <i r="2">
      <x v="437"/>
      <x v="2"/>
    </i>
    <i r="2">
      <x v="438"/>
      <x/>
    </i>
    <i r="2">
      <x v="439"/>
      <x v="2"/>
    </i>
    <i r="2">
      <x v="440"/>
      <x/>
    </i>
    <i r="2">
      <x v="441"/>
      <x v="2"/>
    </i>
    <i r="2">
      <x v="442"/>
      <x/>
    </i>
    <i r="2">
      <x v="448"/>
      <x v="2"/>
    </i>
    <i r="2">
      <x v="450"/>
      <x v="2"/>
    </i>
    <i r="2">
      <x v="451"/>
      <x/>
    </i>
    <i r="2">
      <x v="453"/>
      <x/>
    </i>
    <i r="2">
      <x v="456"/>
      <x/>
    </i>
    <i r="2">
      <x v="457"/>
      <x/>
    </i>
    <i r="2">
      <x v="458"/>
      <x/>
    </i>
    <i r="2">
      <x v="459"/>
      <x v="2"/>
    </i>
    <i r="2">
      <x v="460"/>
      <x v="2"/>
    </i>
    <i r="2">
      <x v="461"/>
      <x v="2"/>
    </i>
    <i r="2">
      <x v="463"/>
      <x/>
    </i>
    <i r="2">
      <x v="464"/>
      <x v="2"/>
    </i>
    <i r="2">
      <x v="465"/>
      <x v="2"/>
    </i>
    <i r="2">
      <x v="466"/>
      <x/>
    </i>
    <i r="2">
      <x v="472"/>
      <x v="2"/>
    </i>
    <i r="2">
      <x v="473"/>
      <x v="2"/>
    </i>
    <i r="2">
      <x v="475"/>
      <x/>
    </i>
    <i r="2">
      <x v="476"/>
      <x/>
    </i>
    <i r="2">
      <x v="483"/>
      <x/>
    </i>
    <i r="2">
      <x v="484"/>
      <x/>
    </i>
    <i r="2">
      <x v="485"/>
      <x v="2"/>
    </i>
    <i r="2">
      <x v="486"/>
      <x v="2"/>
    </i>
    <i r="2">
      <x v="487"/>
      <x/>
    </i>
    <i r="2">
      <x v="489"/>
      <x v="1"/>
    </i>
    <i r="2">
      <x v="500"/>
      <x/>
    </i>
    <i r="2">
      <x v="501"/>
      <x/>
    </i>
    <i r="2">
      <x v="507"/>
      <x/>
    </i>
    <i r="2">
      <x v="508"/>
      <x/>
    </i>
    <i r="2">
      <x v="511"/>
      <x v="2"/>
    </i>
    <i r="2">
      <x v="515"/>
      <x v="2"/>
    </i>
    <i r="2">
      <x v="517"/>
      <x/>
    </i>
    <i r="2">
      <x v="523"/>
      <x v="2"/>
    </i>
    <i r="2">
      <x v="524"/>
      <x/>
    </i>
    <i r="2">
      <x v="527"/>
      <x/>
    </i>
    <i r="2">
      <x v="534"/>
      <x/>
    </i>
    <i r="2">
      <x v="535"/>
      <x v="2"/>
    </i>
    <i r="2">
      <x v="536"/>
      <x v="2"/>
    </i>
    <i r="2">
      <x v="537"/>
      <x v="2"/>
    </i>
    <i r="2">
      <x v="538"/>
      <x v="2"/>
    </i>
    <i r="2">
      <x v="539"/>
      <x/>
    </i>
    <i r="2">
      <x v="546"/>
      <x/>
    </i>
    <i r="2">
      <x v="547"/>
      <x/>
    </i>
    <i r="2">
      <x v="549"/>
      <x/>
    </i>
    <i r="2">
      <x v="550"/>
      <x/>
    </i>
    <i r="2">
      <x v="551"/>
      <x v="2"/>
    </i>
    <i r="2">
      <x v="552"/>
      <x/>
    </i>
    <i r="2">
      <x v="555"/>
      <x v="1"/>
    </i>
    <i r="2">
      <x v="581"/>
      <x v="2"/>
    </i>
    <i r="2">
      <x v="669"/>
      <x/>
    </i>
    <i r="2">
      <x v="670"/>
      <x/>
    </i>
    <i r="2">
      <x v="679"/>
      <x v="1"/>
    </i>
    <i r="2">
      <x v="683"/>
      <x v="1"/>
    </i>
    <i r="2">
      <x v="684"/>
      <x v="1"/>
    </i>
    <i r="2">
      <x v="685"/>
      <x v="2"/>
    </i>
    <i r="2">
      <x v="686"/>
      <x v="2"/>
    </i>
    <i r="2">
      <x v="687"/>
      <x v="2"/>
    </i>
    <i r="2">
      <x v="688"/>
      <x/>
    </i>
    <i r="2">
      <x v="689"/>
      <x/>
    </i>
    <i r="2">
      <x v="690"/>
      <x/>
    </i>
    <i r="2">
      <x v="693"/>
      <x/>
    </i>
    <i r="2">
      <x v="694"/>
      <x/>
    </i>
    <i r="2">
      <x v="697"/>
      <x/>
    </i>
    <i r="2">
      <x v="699"/>
      <x v="1"/>
    </i>
    <i r="2">
      <x v="700"/>
      <x v="2"/>
    </i>
    <i r="2">
      <x v="701"/>
      <x v="2"/>
    </i>
    <i r="2">
      <x v="702"/>
      <x v="1"/>
    </i>
    <i r="2">
      <x v="703"/>
      <x v="2"/>
    </i>
    <i r="2">
      <x v="706"/>
      <x/>
    </i>
    <i r="2">
      <x v="707"/>
      <x v="1"/>
    </i>
    <i r="2">
      <x v="711"/>
      <x v="2"/>
    </i>
    <i r="2">
      <x v="712"/>
      <x v="1"/>
    </i>
    <i r="2">
      <x v="718"/>
      <x/>
    </i>
    <i r="2">
      <x v="732"/>
      <x/>
    </i>
    <i r="2">
      <x v="733"/>
      <x/>
    </i>
    <i r="2">
      <x v="734"/>
      <x/>
    </i>
    <i r="2">
      <x v="764"/>
      <x v="2"/>
    </i>
    <i r="2">
      <x v="765"/>
      <x v="1"/>
    </i>
    <i r="2">
      <x v="766"/>
      <x v="2"/>
    </i>
    <i r="2">
      <x v="767"/>
      <x v="2"/>
    </i>
    <i r="2">
      <x v="768"/>
      <x v="1"/>
    </i>
    <i r="2">
      <x v="803"/>
      <x v="2"/>
    </i>
    <i r="2">
      <x v="808"/>
      <x v="2"/>
    </i>
    <i r="2">
      <x v="809"/>
      <x v="2"/>
    </i>
    <i r="2">
      <x v="815"/>
      <x v="2"/>
    </i>
    <i r="2">
      <x v="820"/>
      <x v="2"/>
    </i>
    <i r="2">
      <x v="822"/>
      <x/>
    </i>
    <i r="2">
      <x v="823"/>
      <x v="2"/>
    </i>
    <i r="2">
      <x v="825"/>
      <x/>
    </i>
    <i r="2">
      <x v="827"/>
      <x v="2"/>
    </i>
    <i r="2">
      <x v="830"/>
      <x/>
    </i>
    <i r="2">
      <x v="833"/>
      <x/>
    </i>
    <i r="2">
      <x v="834"/>
      <x v="2"/>
    </i>
    <i r="2">
      <x v="836"/>
      <x v="2"/>
    </i>
    <i r="2">
      <x v="839"/>
      <x/>
    </i>
    <i r="2">
      <x v="842"/>
      <x v="2"/>
    </i>
    <i r="2">
      <x v="844"/>
      <x/>
    </i>
    <i r="2">
      <x v="845"/>
      <x v="2"/>
    </i>
    <i r="2">
      <x v="847"/>
      <x/>
    </i>
    <i r="2">
      <x v="849"/>
      <x v="1"/>
    </i>
    <i r="2">
      <x v="850"/>
      <x v="2"/>
    </i>
    <i r="2">
      <x v="851"/>
      <x v="2"/>
    </i>
    <i r="2">
      <x v="852"/>
      <x v="2"/>
    </i>
    <i r="2">
      <x v="853"/>
      <x v="2"/>
    </i>
    <i r="2">
      <x v="854"/>
      <x v="2"/>
    </i>
    <i r="2">
      <x v="856"/>
      <x v="2"/>
    </i>
    <i r="2">
      <x v="857"/>
      <x v="2"/>
    </i>
    <i r="2">
      <x v="860"/>
      <x/>
    </i>
    <i r="2">
      <x v="861"/>
      <x v="2"/>
    </i>
    <i r="2">
      <x v="862"/>
      <x v="2"/>
    </i>
    <i r="2">
      <x v="865"/>
      <x v="2"/>
    </i>
    <i r="2">
      <x v="867"/>
      <x/>
    </i>
    <i r="2">
      <x v="869"/>
      <x v="2"/>
    </i>
    <i r="2">
      <x v="872"/>
      <x v="2"/>
    </i>
    <i r="2">
      <x v="873"/>
      <x v="2"/>
    </i>
    <i r="2">
      <x v="874"/>
      <x v="2"/>
    </i>
    <i r="2">
      <x v="876"/>
      <x v="2"/>
    </i>
    <i r="2">
      <x v="878"/>
      <x/>
    </i>
    <i r="2">
      <x v="880"/>
      <x/>
    </i>
    <i r="2">
      <x v="881"/>
      <x/>
    </i>
    <i r="2">
      <x v="883"/>
      <x v="2"/>
    </i>
    <i r="2">
      <x v="886"/>
      <x/>
    </i>
    <i r="2">
      <x v="887"/>
      <x v="1"/>
    </i>
    <i r="2">
      <x v="888"/>
      <x v="2"/>
    </i>
    <i r="2">
      <x v="895"/>
      <x v="2"/>
    </i>
    <i r="2">
      <x v="896"/>
      <x v="1"/>
    </i>
    <i r="2">
      <x v="899"/>
      <x v="2"/>
    </i>
    <i r="2">
      <x v="900"/>
      <x v="1"/>
    </i>
    <i r="2">
      <x v="904"/>
      <x v="2"/>
    </i>
    <i r="2">
      <x v="906"/>
      <x v="1"/>
    </i>
    <i r="2">
      <x v="907"/>
      <x v="1"/>
    </i>
    <i r="2">
      <x v="911"/>
      <x v="1"/>
    </i>
    <i r="2">
      <x v="912"/>
      <x v="1"/>
    </i>
    <i r="2">
      <x v="913"/>
      <x v="1"/>
    </i>
    <i r="2">
      <x v="916"/>
      <x v="2"/>
    </i>
    <i r="2">
      <x v="923"/>
      <x v="2"/>
    </i>
    <i r="2">
      <x v="933"/>
      <x/>
    </i>
    <i r="2">
      <x v="936"/>
      <x v="1"/>
    </i>
    <i r="2">
      <x v="940"/>
      <x v="2"/>
    </i>
    <i r="2">
      <x v="942"/>
      <x v="2"/>
    </i>
    <i r="2">
      <x v="943"/>
      <x/>
    </i>
    <i r="2">
      <x v="944"/>
      <x/>
    </i>
    <i r="2">
      <x v="947"/>
      <x/>
    </i>
    <i r="2">
      <x v="948"/>
      <x v="2"/>
    </i>
    <i r="2">
      <x v="949"/>
      <x v="2"/>
    </i>
    <i r="2">
      <x v="950"/>
      <x v="2"/>
    </i>
    <i r="2">
      <x v="952"/>
      <x/>
    </i>
    <i r="2">
      <x v="958"/>
      <x v="1"/>
    </i>
    <i r="2">
      <x v="959"/>
      <x v="2"/>
    </i>
    <i r="2">
      <x v="960"/>
      <x v="2"/>
    </i>
    <i r="2">
      <x v="962"/>
      <x/>
    </i>
    <i r="2">
      <x v="965"/>
      <x v="2"/>
    </i>
    <i r="2">
      <x v="968"/>
      <x/>
    </i>
    <i r="2">
      <x v="975"/>
      <x v="2"/>
    </i>
    <i r="2">
      <x v="976"/>
      <x v="2"/>
    </i>
    <i r="2">
      <x v="980"/>
      <x v="2"/>
    </i>
    <i r="2">
      <x v="981"/>
      <x v="2"/>
    </i>
    <i r="2">
      <x v="985"/>
      <x v="1"/>
    </i>
    <i r="2">
      <x v="986"/>
      <x/>
    </i>
    <i r="2">
      <x v="988"/>
      <x v="2"/>
    </i>
    <i r="2">
      <x v="989"/>
      <x v="1"/>
    </i>
    <i r="2">
      <x v="991"/>
      <x v="2"/>
    </i>
    <i r="2">
      <x v="992"/>
      <x/>
    </i>
    <i r="2">
      <x v="993"/>
      <x v="2"/>
    </i>
    <i r="2">
      <x v="994"/>
      <x/>
    </i>
    <i r="2">
      <x v="996"/>
      <x v="1"/>
    </i>
    <i r="2">
      <x v="997"/>
      <x/>
    </i>
    <i r="2">
      <x v="998"/>
      <x v="2"/>
    </i>
    <i r="2">
      <x v="1003"/>
      <x v="2"/>
    </i>
    <i r="2">
      <x v="1012"/>
      <x v="2"/>
    </i>
    <i r="2">
      <x v="1015"/>
      <x v="2"/>
    </i>
    <i r="2">
      <x v="1016"/>
      <x/>
    </i>
    <i r="2">
      <x v="1017"/>
      <x v="2"/>
    </i>
    <i r="2">
      <x v="1019"/>
      <x v="2"/>
    </i>
    <i r="2">
      <x v="1020"/>
      <x/>
    </i>
    <i r="2">
      <x v="1028"/>
      <x v="2"/>
    </i>
    <i r="2">
      <x v="1036"/>
      <x/>
    </i>
    <i r="2">
      <x v="1041"/>
      <x v="1"/>
    </i>
    <i r="2">
      <x v="1042"/>
      <x v="1"/>
    </i>
    <i r="2">
      <x v="1043"/>
      <x v="1"/>
    </i>
    <i r="2">
      <x v="1044"/>
      <x v="1"/>
    </i>
    <i r="2">
      <x v="1045"/>
      <x v="1"/>
    </i>
    <i r="2">
      <x v="1046"/>
      <x v="1"/>
    </i>
    <i r="2">
      <x v="1048"/>
      <x v="1"/>
    </i>
    <i r="2">
      <x v="1049"/>
      <x v="2"/>
    </i>
    <i r="2">
      <x v="1056"/>
      <x v="2"/>
    </i>
    <i r="2">
      <x v="1057"/>
      <x v="2"/>
    </i>
    <i r="1">
      <x v="1"/>
      <x v="505"/>
      <x v="2"/>
    </i>
    <i r="1">
      <x v="2"/>
      <x v="65"/>
      <x/>
    </i>
    <i r="2">
      <x v="70"/>
      <x/>
    </i>
    <i r="2">
      <x v="204"/>
      <x/>
    </i>
    <i r="2">
      <x v="219"/>
      <x/>
    </i>
    <i r="2">
      <x v="394"/>
      <x/>
    </i>
    <i r="2">
      <x v="455"/>
      <x/>
    </i>
    <i r="2">
      <x v="470"/>
      <x/>
    </i>
    <i r="2">
      <x v="471"/>
      <x/>
    </i>
    <i r="2">
      <x v="479"/>
      <x/>
    </i>
    <i r="2">
      <x v="661"/>
      <x v="2"/>
    </i>
    <i r="2">
      <x v="668"/>
      <x/>
    </i>
    <i r="2">
      <x v="671"/>
      <x/>
    </i>
    <i r="2">
      <x v="672"/>
      <x/>
    </i>
    <i r="2">
      <x v="674"/>
      <x/>
    </i>
    <i r="2">
      <x v="676"/>
      <x/>
    </i>
    <i r="2">
      <x v="680"/>
      <x/>
    </i>
    <i r="2">
      <x v="681"/>
      <x/>
    </i>
    <i r="2">
      <x v="682"/>
      <x/>
    </i>
    <i r="2">
      <x v="692"/>
      <x/>
    </i>
    <i r="2">
      <x v="695"/>
      <x/>
    </i>
    <i r="2">
      <x v="696"/>
      <x/>
    </i>
    <i r="2">
      <x v="714"/>
      <x v="2"/>
    </i>
    <i r="2">
      <x v="875"/>
      <x/>
    </i>
    <i r="2">
      <x v="877"/>
      <x/>
    </i>
    <i r="2">
      <x v="882"/>
      <x v="2"/>
    </i>
    <i r="1">
      <x v="3"/>
      <x/>
      <x v="2"/>
    </i>
    <i r="2">
      <x v="1"/>
      <x v="2"/>
    </i>
    <i r="2">
      <x v="2"/>
      <x v="2"/>
    </i>
    <i r="2">
      <x v="9"/>
      <x/>
    </i>
    <i r="2">
      <x v="11"/>
      <x v="2"/>
    </i>
    <i r="2">
      <x v="12"/>
      <x v="2"/>
    </i>
    <i r="2">
      <x v="14"/>
      <x v="2"/>
    </i>
    <i r="2">
      <x v="16"/>
      <x v="2"/>
    </i>
    <i r="2">
      <x v="17"/>
      <x v="2"/>
    </i>
    <i r="2">
      <x v="18"/>
      <x v="2"/>
    </i>
    <i r="2">
      <x v="19"/>
      <x v="2"/>
    </i>
    <i r="2">
      <x v="25"/>
      <x v="2"/>
    </i>
    <i r="2">
      <x v="26"/>
      <x v="2"/>
    </i>
    <i r="2">
      <x v="27"/>
      <x v="2"/>
    </i>
    <i r="2">
      <x v="28"/>
      <x/>
    </i>
    <i r="2">
      <x v="29"/>
      <x v="2"/>
    </i>
    <i r="2">
      <x v="33"/>
      <x v="2"/>
    </i>
    <i r="2">
      <x v="35"/>
      <x v="2"/>
    </i>
    <i r="2">
      <x v="36"/>
      <x v="2"/>
    </i>
    <i r="2">
      <x v="39"/>
      <x v="2"/>
    </i>
    <i r="2">
      <x v="41"/>
      <x v="2"/>
    </i>
    <i r="2">
      <x v="42"/>
      <x v="2"/>
    </i>
    <i r="2">
      <x v="44"/>
      <x v="2"/>
    </i>
    <i r="2">
      <x v="45"/>
      <x v="2"/>
    </i>
    <i r="2">
      <x v="46"/>
      <x v="2"/>
    </i>
    <i r="2">
      <x v="47"/>
      <x v="2"/>
    </i>
    <i r="2">
      <x v="48"/>
      <x v="2"/>
    </i>
    <i r="2">
      <x v="49"/>
      <x v="2"/>
    </i>
    <i r="2">
      <x v="50"/>
      <x v="2"/>
    </i>
    <i r="2">
      <x v="52"/>
      <x v="2"/>
    </i>
    <i r="2">
      <x v="57"/>
      <x v="2"/>
    </i>
    <i r="2">
      <x v="58"/>
      <x v="2"/>
    </i>
    <i r="2">
      <x v="63"/>
      <x v="2"/>
    </i>
    <i r="2">
      <x v="64"/>
      <x v="2"/>
    </i>
    <i r="2">
      <x v="66"/>
      <x v="2"/>
    </i>
    <i r="2">
      <x v="72"/>
      <x v="2"/>
    </i>
    <i r="2">
      <x v="75"/>
      <x v="2"/>
    </i>
    <i r="2">
      <x v="77"/>
      <x v="2"/>
    </i>
    <i r="2">
      <x v="80"/>
      <x v="2"/>
    </i>
    <i r="2">
      <x v="81"/>
      <x v="2"/>
    </i>
    <i r="2">
      <x v="82"/>
      <x v="2"/>
    </i>
    <i r="2">
      <x v="83"/>
      <x v="2"/>
    </i>
    <i r="2">
      <x v="87"/>
      <x v="2"/>
    </i>
    <i r="2">
      <x v="88"/>
      <x v="2"/>
    </i>
    <i r="2">
      <x v="89"/>
      <x v="2"/>
    </i>
    <i r="2">
      <x v="92"/>
      <x v="2"/>
    </i>
    <i r="2">
      <x v="95"/>
      <x v="2"/>
    </i>
    <i r="2">
      <x v="96"/>
      <x v="2"/>
    </i>
    <i r="2">
      <x v="102"/>
      <x v="2"/>
    </i>
    <i r="2">
      <x v="103"/>
      <x v="2"/>
    </i>
    <i r="2">
      <x v="104"/>
      <x v="2"/>
    </i>
    <i r="2">
      <x v="106"/>
      <x v="2"/>
    </i>
    <i r="2">
      <x v="107"/>
      <x v="2"/>
    </i>
    <i r="2">
      <x v="108"/>
      <x v="2"/>
    </i>
    <i r="2">
      <x v="109"/>
      <x v="2"/>
    </i>
    <i r="2">
      <x v="110"/>
      <x v="2"/>
    </i>
    <i r="2">
      <x v="111"/>
      <x v="2"/>
    </i>
    <i r="2">
      <x v="112"/>
      <x v="2"/>
    </i>
    <i r="2">
      <x v="115"/>
      <x v="2"/>
    </i>
    <i r="2">
      <x v="117"/>
      <x v="2"/>
    </i>
    <i r="2">
      <x v="121"/>
      <x v="2"/>
    </i>
    <i r="2">
      <x v="122"/>
      <x v="2"/>
    </i>
    <i r="2">
      <x v="124"/>
      <x v="2"/>
    </i>
    <i r="2">
      <x v="127"/>
      <x v="2"/>
    </i>
    <i r="2">
      <x v="128"/>
      <x v="2"/>
    </i>
    <i r="2">
      <x v="129"/>
      <x v="2"/>
    </i>
    <i r="2">
      <x v="130"/>
      <x v="2"/>
    </i>
    <i r="2">
      <x v="133"/>
      <x v="2"/>
    </i>
    <i r="2">
      <x v="139"/>
      <x v="2"/>
    </i>
    <i r="2">
      <x v="140"/>
      <x v="2"/>
    </i>
    <i r="2">
      <x v="144"/>
      <x v="2"/>
    </i>
    <i r="2">
      <x v="146"/>
      <x v="2"/>
    </i>
    <i r="2">
      <x v="155"/>
      <x v="2"/>
    </i>
    <i r="2">
      <x v="156"/>
      <x v="2"/>
    </i>
    <i r="2">
      <x v="157"/>
      <x v="2"/>
    </i>
    <i r="2">
      <x v="158"/>
      <x v="2"/>
    </i>
    <i r="2">
      <x v="160"/>
      <x v="2"/>
    </i>
    <i r="2">
      <x v="161"/>
      <x v="2"/>
    </i>
    <i r="2">
      <x v="162"/>
      <x v="2"/>
    </i>
    <i r="2">
      <x v="164"/>
      <x v="2"/>
    </i>
    <i r="2">
      <x v="173"/>
      <x v="2"/>
    </i>
    <i r="2">
      <x v="174"/>
      <x v="2"/>
    </i>
    <i r="2">
      <x v="176"/>
      <x v="2"/>
    </i>
    <i r="2">
      <x v="177"/>
      <x v="2"/>
    </i>
    <i r="2">
      <x v="178"/>
      <x v="2"/>
    </i>
    <i r="2">
      <x v="179"/>
      <x v="2"/>
    </i>
    <i r="2">
      <x v="182"/>
      <x v="2"/>
    </i>
    <i r="2">
      <x v="185"/>
      <x/>
    </i>
    <i r="2">
      <x v="192"/>
      <x v="2"/>
    </i>
    <i r="2">
      <x v="193"/>
      <x v="2"/>
    </i>
    <i r="2">
      <x v="194"/>
      <x v="2"/>
    </i>
    <i r="2">
      <x v="196"/>
      <x v="2"/>
    </i>
    <i r="2">
      <x v="197"/>
      <x v="2"/>
    </i>
    <i r="2">
      <x v="198"/>
      <x v="2"/>
    </i>
    <i r="2">
      <x v="200"/>
      <x v="2"/>
    </i>
    <i r="2">
      <x v="202"/>
      <x v="2"/>
    </i>
    <i r="2">
      <x v="203"/>
      <x v="2"/>
    </i>
    <i r="2">
      <x v="207"/>
      <x v="2"/>
    </i>
    <i r="2">
      <x v="208"/>
      <x v="2"/>
    </i>
    <i r="2">
      <x v="209"/>
      <x v="2"/>
    </i>
    <i r="2">
      <x v="210"/>
      <x v="2"/>
    </i>
    <i r="2">
      <x v="211"/>
      <x v="2"/>
    </i>
    <i r="2">
      <x v="212"/>
      <x v="2"/>
    </i>
    <i r="2">
      <x v="214"/>
      <x v="2"/>
    </i>
    <i r="2">
      <x v="215"/>
      <x v="2"/>
    </i>
    <i r="2">
      <x v="216"/>
      <x v="2"/>
    </i>
    <i r="2">
      <x v="217"/>
      <x v="2"/>
    </i>
    <i r="2">
      <x v="218"/>
      <x v="2"/>
    </i>
    <i r="2">
      <x v="220"/>
      <x v="2"/>
    </i>
    <i r="2">
      <x v="221"/>
      <x v="2"/>
    </i>
    <i r="2">
      <x v="222"/>
      <x v="2"/>
    </i>
    <i r="2">
      <x v="223"/>
      <x v="2"/>
    </i>
    <i r="2">
      <x v="224"/>
      <x v="2"/>
    </i>
    <i r="2">
      <x v="225"/>
      <x v="2"/>
    </i>
    <i r="2">
      <x v="226"/>
      <x v="2"/>
    </i>
    <i r="2">
      <x v="227"/>
      <x v="2"/>
    </i>
    <i r="2">
      <x v="228"/>
      <x v="2"/>
    </i>
    <i r="2">
      <x v="229"/>
      <x v="2"/>
    </i>
    <i r="2">
      <x v="230"/>
      <x v="2"/>
    </i>
    <i r="2">
      <x v="232"/>
      <x v="2"/>
    </i>
    <i r="2">
      <x v="233"/>
      <x v="2"/>
    </i>
    <i r="2">
      <x v="235"/>
      <x v="2"/>
    </i>
    <i r="2">
      <x v="237"/>
      <x v="2"/>
    </i>
    <i r="2">
      <x v="240"/>
      <x v="2"/>
    </i>
    <i r="2">
      <x v="247"/>
      <x v="2"/>
    </i>
    <i r="2">
      <x v="251"/>
      <x v="2"/>
    </i>
    <i r="2">
      <x v="253"/>
      <x v="2"/>
    </i>
    <i r="2">
      <x v="258"/>
      <x v="2"/>
    </i>
    <i r="2">
      <x v="259"/>
      <x v="2"/>
    </i>
    <i r="2">
      <x v="260"/>
      <x v="2"/>
    </i>
    <i r="2">
      <x v="261"/>
      <x v="2"/>
    </i>
    <i r="2">
      <x v="262"/>
      <x v="2"/>
    </i>
    <i r="2">
      <x v="263"/>
      <x v="2"/>
    </i>
    <i r="2">
      <x v="264"/>
      <x v="2"/>
    </i>
    <i r="2">
      <x v="268"/>
      <x v="2"/>
    </i>
    <i r="2">
      <x v="272"/>
      <x v="2"/>
    </i>
    <i r="2">
      <x v="276"/>
      <x v="2"/>
    </i>
    <i r="2">
      <x v="282"/>
      <x v="2"/>
    </i>
    <i r="2">
      <x v="283"/>
      <x v="2"/>
    </i>
    <i r="2">
      <x v="284"/>
      <x v="2"/>
    </i>
    <i r="2">
      <x v="285"/>
      <x v="2"/>
    </i>
    <i r="2">
      <x v="286"/>
      <x v="2"/>
    </i>
    <i r="2">
      <x v="288"/>
      <x v="2"/>
    </i>
    <i r="2">
      <x v="289"/>
      <x v="2"/>
    </i>
    <i r="2">
      <x v="290"/>
      <x v="2"/>
    </i>
    <i r="2">
      <x v="291"/>
      <x v="2"/>
    </i>
    <i r="2">
      <x v="293"/>
      <x v="2"/>
    </i>
    <i r="2">
      <x v="295"/>
      <x v="2"/>
    </i>
    <i r="2">
      <x v="296"/>
      <x v="2"/>
    </i>
    <i r="2">
      <x v="297"/>
      <x v="2"/>
    </i>
    <i r="2">
      <x v="298"/>
      <x v="2"/>
    </i>
    <i r="2">
      <x v="299"/>
      <x v="2"/>
    </i>
    <i r="2">
      <x v="306"/>
      <x v="2"/>
    </i>
    <i r="2">
      <x v="307"/>
      <x v="2"/>
    </i>
    <i r="2">
      <x v="310"/>
      <x v="2"/>
    </i>
    <i r="2">
      <x v="311"/>
      <x v="2"/>
    </i>
    <i r="2">
      <x v="314"/>
      <x v="2"/>
    </i>
    <i r="2">
      <x v="315"/>
      <x v="2"/>
    </i>
    <i r="2">
      <x v="317"/>
      <x v="2"/>
    </i>
    <i r="2">
      <x v="319"/>
      <x v="2"/>
    </i>
    <i r="2">
      <x v="320"/>
      <x v="2"/>
    </i>
    <i r="2">
      <x v="323"/>
      <x v="2"/>
    </i>
    <i r="2">
      <x v="327"/>
      <x v="2"/>
    </i>
    <i r="2">
      <x v="328"/>
      <x v="2"/>
    </i>
    <i r="2">
      <x v="330"/>
      <x v="2"/>
    </i>
    <i r="2">
      <x v="332"/>
      <x v="2"/>
    </i>
    <i r="2">
      <x v="336"/>
      <x v="2"/>
    </i>
    <i r="2">
      <x v="341"/>
      <x v="2"/>
    </i>
    <i r="2">
      <x v="342"/>
      <x v="2"/>
    </i>
    <i r="2">
      <x v="345"/>
      <x v="2"/>
    </i>
    <i r="2">
      <x v="348"/>
      <x v="2"/>
    </i>
    <i r="2">
      <x v="349"/>
      <x v="2"/>
    </i>
    <i r="2">
      <x v="358"/>
      <x v="2"/>
    </i>
    <i r="2">
      <x v="362"/>
      <x v="2"/>
    </i>
    <i r="2">
      <x v="367"/>
      <x v="2"/>
    </i>
    <i r="2">
      <x v="368"/>
      <x v="1"/>
    </i>
    <i r="2">
      <x v="371"/>
      <x v="2"/>
    </i>
    <i r="2">
      <x v="374"/>
      <x v="2"/>
    </i>
    <i r="2">
      <x v="375"/>
      <x v="2"/>
    </i>
    <i r="2">
      <x v="381"/>
      <x v="2"/>
    </i>
    <i r="2">
      <x v="386"/>
      <x v="2"/>
    </i>
    <i r="2">
      <x v="388"/>
      <x v="2"/>
    </i>
    <i r="2">
      <x v="391"/>
      <x v="2"/>
    </i>
    <i r="2">
      <x v="396"/>
      <x v="2"/>
    </i>
    <i r="2">
      <x v="400"/>
      <x v="2"/>
    </i>
    <i r="2">
      <x v="404"/>
      <x v="2"/>
    </i>
    <i r="2">
      <x v="410"/>
      <x v="2"/>
    </i>
    <i r="2">
      <x v="412"/>
      <x v="2"/>
    </i>
    <i r="2">
      <x v="417"/>
      <x v="2"/>
    </i>
    <i r="2">
      <x v="418"/>
      <x v="2"/>
    </i>
    <i r="2">
      <x v="419"/>
      <x v="2"/>
    </i>
    <i r="2">
      <x v="420"/>
      <x v="2"/>
    </i>
    <i r="2">
      <x v="421"/>
      <x v="2"/>
    </i>
    <i r="2">
      <x v="424"/>
      <x v="2"/>
    </i>
    <i r="2">
      <x v="429"/>
      <x v="2"/>
    </i>
    <i r="2">
      <x v="432"/>
      <x v="2"/>
    </i>
    <i r="2">
      <x v="433"/>
      <x v="2"/>
    </i>
    <i r="2">
      <x v="435"/>
      <x v="2"/>
    </i>
    <i r="2">
      <x v="443"/>
      <x v="2"/>
    </i>
    <i r="2">
      <x v="444"/>
      <x v="2"/>
    </i>
    <i r="2">
      <x v="445"/>
      <x v="2"/>
    </i>
    <i r="2">
      <x v="446"/>
      <x v="2"/>
    </i>
    <i r="2">
      <x v="447"/>
      <x v="2"/>
    </i>
    <i r="2">
      <x v="452"/>
      <x v="2"/>
    </i>
    <i r="2">
      <x v="454"/>
      <x v="2"/>
    </i>
    <i r="2">
      <x v="462"/>
      <x v="2"/>
    </i>
    <i r="2">
      <x v="467"/>
      <x v="2"/>
    </i>
    <i r="2">
      <x v="468"/>
      <x v="2"/>
    </i>
    <i r="2">
      <x v="469"/>
      <x v="2"/>
    </i>
    <i r="2">
      <x v="474"/>
      <x v="2"/>
    </i>
    <i r="2">
      <x v="477"/>
      <x v="2"/>
    </i>
    <i r="2">
      <x v="480"/>
      <x v="2"/>
    </i>
    <i r="2">
      <x v="482"/>
      <x v="2"/>
    </i>
    <i r="2">
      <x v="490"/>
      <x v="2"/>
    </i>
    <i r="2">
      <x v="491"/>
      <x v="2"/>
    </i>
    <i r="2">
      <x v="492"/>
      <x v="2"/>
    </i>
    <i r="2">
      <x v="493"/>
      <x v="2"/>
    </i>
    <i r="2">
      <x v="494"/>
      <x v="2"/>
    </i>
    <i r="2">
      <x v="497"/>
      <x v="2"/>
    </i>
    <i r="2">
      <x v="498"/>
      <x v="2"/>
    </i>
    <i r="2">
      <x v="499"/>
      <x v="2"/>
    </i>
    <i r="2">
      <x v="502"/>
      <x v="2"/>
    </i>
    <i r="2">
      <x v="503"/>
      <x v="2"/>
    </i>
    <i r="2">
      <x v="509"/>
      <x v="2"/>
    </i>
    <i r="2">
      <x v="512"/>
      <x v="2"/>
    </i>
    <i r="2">
      <x v="513"/>
      <x v="2"/>
    </i>
    <i r="2">
      <x v="514"/>
      <x v="2"/>
    </i>
    <i r="2">
      <x v="516"/>
      <x v="2"/>
    </i>
    <i r="2">
      <x v="518"/>
      <x v="2"/>
    </i>
    <i r="2">
      <x v="520"/>
      <x v="2"/>
    </i>
    <i r="2">
      <x v="521"/>
      <x v="2"/>
    </i>
    <i r="2">
      <x v="522"/>
      <x v="2"/>
    </i>
    <i r="2">
      <x v="525"/>
      <x v="2"/>
    </i>
    <i r="2">
      <x v="526"/>
      <x v="2"/>
    </i>
    <i r="2">
      <x v="528"/>
      <x v="2"/>
    </i>
    <i r="2">
      <x v="529"/>
      <x v="2"/>
    </i>
    <i r="2">
      <x v="530"/>
      <x v="2"/>
    </i>
    <i r="2">
      <x v="532"/>
      <x v="2"/>
    </i>
    <i r="2">
      <x v="533"/>
      <x v="2"/>
    </i>
    <i r="2">
      <x v="540"/>
      <x v="2"/>
    </i>
    <i r="2">
      <x v="541"/>
      <x v="2"/>
    </i>
    <i r="2">
      <x v="542"/>
      <x v="2"/>
    </i>
    <i r="2">
      <x v="543"/>
      <x v="2"/>
    </i>
    <i r="2">
      <x v="544"/>
      <x v="2"/>
    </i>
    <i r="2">
      <x v="545"/>
      <x v="2"/>
    </i>
    <i r="2">
      <x v="548"/>
      <x v="2"/>
    </i>
    <i r="2">
      <x v="553"/>
      <x v="2"/>
    </i>
    <i r="2">
      <x v="554"/>
      <x v="2"/>
    </i>
    <i r="2">
      <x v="556"/>
      <x v="2"/>
    </i>
    <i r="2">
      <x v="557"/>
      <x v="2"/>
    </i>
    <i r="2">
      <x v="558"/>
      <x v="2"/>
    </i>
    <i r="2">
      <x v="559"/>
      <x v="2"/>
    </i>
    <i r="2">
      <x v="560"/>
      <x v="2"/>
    </i>
    <i r="2">
      <x v="561"/>
      <x v="2"/>
    </i>
    <i r="2">
      <x v="562"/>
      <x v="2"/>
    </i>
    <i r="2">
      <x v="563"/>
      <x v="2"/>
    </i>
    <i r="2">
      <x v="564"/>
      <x v="2"/>
    </i>
    <i r="2">
      <x v="565"/>
      <x v="2"/>
    </i>
    <i r="2">
      <x v="566"/>
      <x v="2"/>
    </i>
    <i r="2">
      <x v="567"/>
      <x v="2"/>
    </i>
    <i r="2">
      <x v="568"/>
      <x v="2"/>
    </i>
    <i r="2">
      <x v="569"/>
      <x v="2"/>
    </i>
    <i r="2">
      <x v="570"/>
      <x v="2"/>
    </i>
    <i r="2">
      <x v="571"/>
      <x v="2"/>
    </i>
    <i r="2">
      <x v="572"/>
      <x v="2"/>
    </i>
    <i r="2">
      <x v="573"/>
      <x v="2"/>
    </i>
    <i r="2">
      <x v="574"/>
      <x v="2"/>
    </i>
    <i r="2">
      <x v="575"/>
      <x v="2"/>
    </i>
    <i r="2">
      <x v="576"/>
      <x v="2"/>
    </i>
    <i r="2">
      <x v="577"/>
      <x v="2"/>
    </i>
    <i r="2">
      <x v="578"/>
      <x v="2"/>
    </i>
    <i r="2">
      <x v="579"/>
      <x v="2"/>
    </i>
    <i r="2">
      <x v="580"/>
      <x v="2"/>
    </i>
    <i r="2">
      <x v="583"/>
      <x v="2"/>
    </i>
    <i r="2">
      <x v="584"/>
      <x v="2"/>
    </i>
    <i r="2">
      <x v="585"/>
      <x v="2"/>
    </i>
    <i r="2">
      <x v="586"/>
      <x v="2"/>
    </i>
    <i r="2">
      <x v="587"/>
      <x v="2"/>
    </i>
    <i r="2">
      <x v="588"/>
      <x v="2"/>
    </i>
    <i r="2">
      <x v="589"/>
      <x v="2"/>
    </i>
    <i r="2">
      <x v="590"/>
      <x v="2"/>
    </i>
    <i r="2">
      <x v="591"/>
      <x v="2"/>
    </i>
    <i r="2">
      <x v="592"/>
      <x v="2"/>
    </i>
    <i r="2">
      <x v="593"/>
      <x v="2"/>
    </i>
    <i r="2">
      <x v="594"/>
      <x v="2"/>
    </i>
    <i r="2">
      <x v="595"/>
      <x v="2"/>
    </i>
    <i r="2">
      <x v="596"/>
      <x v="2"/>
    </i>
    <i r="2">
      <x v="597"/>
      <x v="2"/>
    </i>
    <i r="2">
      <x v="598"/>
      <x v="2"/>
    </i>
    <i r="2">
      <x v="599"/>
      <x v="2"/>
    </i>
    <i r="2">
      <x v="600"/>
      <x v="2"/>
    </i>
    <i r="2">
      <x v="603"/>
      <x v="2"/>
    </i>
    <i r="2">
      <x v="604"/>
      <x v="2"/>
    </i>
    <i r="2">
      <x v="605"/>
      <x v="2"/>
    </i>
    <i r="2">
      <x v="606"/>
      <x v="2"/>
    </i>
    <i r="2">
      <x v="608"/>
      <x v="2"/>
    </i>
    <i r="2">
      <x v="609"/>
      <x v="2"/>
    </i>
    <i r="2">
      <x v="610"/>
      <x v="2"/>
    </i>
    <i r="2">
      <x v="611"/>
      <x v="2"/>
    </i>
    <i r="2">
      <x v="612"/>
      <x v="2"/>
    </i>
    <i r="2">
      <x v="613"/>
      <x v="2"/>
    </i>
    <i r="2">
      <x v="614"/>
      <x v="2"/>
    </i>
    <i r="2">
      <x v="615"/>
      <x v="2"/>
    </i>
    <i r="2">
      <x v="616"/>
      <x v="2"/>
    </i>
    <i r="2">
      <x v="617"/>
      <x v="2"/>
    </i>
    <i r="2">
      <x v="618"/>
      <x v="2"/>
    </i>
    <i r="2">
      <x v="619"/>
      <x v="2"/>
    </i>
    <i r="2">
      <x v="620"/>
      <x v="2"/>
    </i>
    <i r="2">
      <x v="622"/>
      <x v="2"/>
    </i>
    <i r="2">
      <x v="623"/>
      <x v="2"/>
    </i>
    <i r="2">
      <x v="624"/>
      <x v="2"/>
    </i>
    <i r="2">
      <x v="625"/>
      <x v="2"/>
    </i>
    <i r="2">
      <x v="626"/>
      <x v="2"/>
    </i>
    <i r="2">
      <x v="627"/>
      <x v="2"/>
    </i>
    <i r="2">
      <x v="628"/>
      <x v="2"/>
    </i>
    <i r="2">
      <x v="629"/>
      <x v="2"/>
    </i>
    <i r="2">
      <x v="630"/>
      <x v="2"/>
    </i>
    <i r="2">
      <x v="631"/>
      <x v="2"/>
    </i>
    <i r="2">
      <x v="632"/>
      <x v="2"/>
    </i>
    <i r="2">
      <x v="633"/>
      <x v="2"/>
    </i>
    <i r="2">
      <x v="634"/>
      <x v="2"/>
    </i>
    <i r="2">
      <x v="635"/>
      <x v="2"/>
    </i>
    <i r="2">
      <x v="636"/>
      <x v="2"/>
    </i>
    <i r="2">
      <x v="637"/>
      <x v="2"/>
    </i>
    <i r="2">
      <x v="638"/>
      <x v="2"/>
    </i>
    <i r="2">
      <x v="639"/>
      <x v="2"/>
    </i>
    <i r="2">
      <x v="640"/>
      <x v="2"/>
    </i>
    <i r="2">
      <x v="641"/>
      <x v="2"/>
    </i>
    <i r="2">
      <x v="642"/>
      <x v="2"/>
    </i>
    <i r="2">
      <x v="643"/>
      <x v="2"/>
    </i>
    <i r="2">
      <x v="644"/>
      <x v="2"/>
    </i>
    <i r="2">
      <x v="645"/>
      <x v="2"/>
    </i>
    <i r="2">
      <x v="646"/>
      <x v="2"/>
    </i>
    <i r="2">
      <x v="647"/>
      <x v="2"/>
    </i>
    <i r="2">
      <x v="648"/>
      <x v="2"/>
    </i>
    <i r="2">
      <x v="649"/>
      <x v="2"/>
    </i>
    <i r="2">
      <x v="650"/>
      <x v="2"/>
    </i>
    <i r="2">
      <x v="651"/>
      <x v="2"/>
    </i>
    <i r="2">
      <x v="652"/>
      <x v="2"/>
    </i>
    <i r="2">
      <x v="653"/>
      <x v="2"/>
    </i>
    <i r="2">
      <x v="656"/>
      <x v="2"/>
    </i>
    <i r="2">
      <x v="657"/>
      <x v="2"/>
    </i>
    <i r="2">
      <x v="658"/>
      <x v="2"/>
    </i>
    <i r="2">
      <x v="659"/>
      <x v="2"/>
    </i>
    <i r="2">
      <x v="660"/>
      <x v="2"/>
    </i>
    <i r="2">
      <x v="662"/>
      <x/>
    </i>
    <i r="2">
      <x v="663"/>
      <x v="2"/>
    </i>
    <i r="2">
      <x v="664"/>
      <x v="2"/>
    </i>
    <i r="2">
      <x v="665"/>
      <x v="2"/>
    </i>
    <i r="2">
      <x v="666"/>
      <x v="2"/>
    </i>
    <i r="2">
      <x v="667"/>
      <x v="2"/>
    </i>
    <i r="2">
      <x v="673"/>
      <x v="2"/>
    </i>
    <i r="2">
      <x v="675"/>
      <x v="2"/>
    </i>
    <i r="2">
      <x v="677"/>
      <x v="2"/>
    </i>
    <i r="2">
      <x v="678"/>
      <x v="2"/>
    </i>
    <i r="2">
      <x v="691"/>
      <x v="2"/>
    </i>
    <i r="2">
      <x v="698"/>
      <x v="2"/>
    </i>
    <i r="2">
      <x v="704"/>
      <x v="2"/>
    </i>
    <i r="2">
      <x v="708"/>
      <x v="2"/>
    </i>
    <i r="2">
      <x v="709"/>
      <x v="2"/>
    </i>
    <i r="2">
      <x v="710"/>
      <x v="1"/>
    </i>
    <i r="2">
      <x v="713"/>
      <x v="2"/>
    </i>
    <i r="2">
      <x v="715"/>
      <x v="2"/>
    </i>
    <i r="2">
      <x v="716"/>
      <x v="2"/>
    </i>
    <i r="2">
      <x v="717"/>
      <x v="2"/>
    </i>
    <i r="2">
      <x v="720"/>
      <x v="2"/>
    </i>
    <i r="2">
      <x v="721"/>
      <x v="2"/>
    </i>
    <i r="2">
      <x v="722"/>
      <x v="2"/>
    </i>
    <i r="2">
      <x v="723"/>
      <x v="2"/>
    </i>
    <i r="2">
      <x v="724"/>
      <x v="2"/>
    </i>
    <i r="2">
      <x v="725"/>
      <x v="2"/>
    </i>
    <i r="2">
      <x v="726"/>
      <x v="2"/>
    </i>
    <i r="2">
      <x v="727"/>
      <x v="2"/>
    </i>
    <i r="2">
      <x v="728"/>
      <x v="2"/>
    </i>
    <i r="2">
      <x v="729"/>
      <x v="2"/>
    </i>
    <i r="2">
      <x v="730"/>
      <x v="2"/>
    </i>
    <i r="2">
      <x v="731"/>
      <x v="2"/>
    </i>
    <i r="2">
      <x v="735"/>
      <x v="2"/>
    </i>
    <i r="2">
      <x v="736"/>
      <x v="2"/>
    </i>
    <i r="2">
      <x v="737"/>
      <x v="2"/>
    </i>
    <i r="2">
      <x v="738"/>
      <x v="2"/>
    </i>
    <i r="2">
      <x v="739"/>
      <x v="2"/>
    </i>
    <i r="2">
      <x v="740"/>
      <x v="2"/>
    </i>
    <i r="2">
      <x v="741"/>
      <x v="2"/>
    </i>
    <i r="2">
      <x v="742"/>
      <x v="2"/>
    </i>
    <i r="2">
      <x v="743"/>
      <x v="2"/>
    </i>
    <i r="2">
      <x v="744"/>
      <x v="2"/>
    </i>
    <i r="2">
      <x v="745"/>
      <x v="2"/>
    </i>
    <i r="2">
      <x v="746"/>
      <x v="2"/>
    </i>
    <i r="2">
      <x v="747"/>
      <x v="2"/>
    </i>
    <i r="2">
      <x v="748"/>
      <x v="2"/>
    </i>
    <i r="2">
      <x v="749"/>
      <x v="2"/>
    </i>
    <i r="2">
      <x v="750"/>
      <x v="2"/>
    </i>
    <i r="2">
      <x v="751"/>
      <x v="2"/>
    </i>
    <i r="2">
      <x v="752"/>
      <x v="2"/>
    </i>
    <i r="2">
      <x v="753"/>
      <x v="2"/>
    </i>
    <i r="2">
      <x v="754"/>
      <x v="2"/>
    </i>
    <i r="2">
      <x v="755"/>
      <x v="2"/>
    </i>
    <i r="2">
      <x v="756"/>
      <x v="2"/>
    </i>
    <i r="2">
      <x v="757"/>
      <x v="2"/>
    </i>
    <i r="2">
      <x v="758"/>
      <x v="2"/>
    </i>
    <i r="2">
      <x v="759"/>
      <x v="2"/>
    </i>
    <i r="2">
      <x v="760"/>
      <x v="2"/>
    </i>
    <i r="2">
      <x v="761"/>
      <x v="2"/>
    </i>
    <i r="2">
      <x v="762"/>
      <x v="2"/>
    </i>
    <i r="2">
      <x v="763"/>
      <x v="2"/>
    </i>
    <i r="2">
      <x v="769"/>
      <x v="2"/>
    </i>
    <i r="2">
      <x v="770"/>
      <x v="2"/>
    </i>
    <i r="2">
      <x v="771"/>
      <x v="2"/>
    </i>
    <i r="2">
      <x v="772"/>
      <x v="2"/>
    </i>
    <i r="2">
      <x v="773"/>
      <x v="2"/>
    </i>
    <i r="2">
      <x v="774"/>
      <x v="2"/>
    </i>
    <i r="2">
      <x v="775"/>
      <x v="2"/>
    </i>
    <i r="2">
      <x v="776"/>
      <x v="2"/>
    </i>
    <i r="2">
      <x v="777"/>
      <x v="2"/>
    </i>
    <i r="2">
      <x v="778"/>
      <x v="2"/>
    </i>
    <i r="2">
      <x v="779"/>
      <x v="2"/>
    </i>
    <i r="2">
      <x v="780"/>
      <x v="2"/>
    </i>
    <i r="2">
      <x v="781"/>
      <x v="2"/>
    </i>
    <i r="2">
      <x v="782"/>
      <x v="2"/>
    </i>
    <i r="2">
      <x v="783"/>
      <x v="2"/>
    </i>
    <i r="2">
      <x v="784"/>
      <x v="2"/>
    </i>
    <i r="2">
      <x v="785"/>
      <x v="2"/>
    </i>
    <i r="2">
      <x v="786"/>
      <x v="2"/>
    </i>
    <i r="2">
      <x v="787"/>
      <x v="2"/>
    </i>
    <i r="2">
      <x v="788"/>
      <x v="2"/>
    </i>
    <i r="2">
      <x v="789"/>
      <x v="2"/>
    </i>
    <i r="2">
      <x v="790"/>
      <x v="2"/>
    </i>
    <i r="2">
      <x v="791"/>
      <x v="2"/>
    </i>
    <i r="2">
      <x v="792"/>
      <x v="2"/>
    </i>
    <i r="2">
      <x v="793"/>
      <x v="2"/>
    </i>
    <i r="2">
      <x v="794"/>
      <x v="2"/>
    </i>
    <i r="2">
      <x v="795"/>
      <x v="2"/>
    </i>
    <i r="2">
      <x v="796"/>
      <x v="2"/>
    </i>
    <i r="2">
      <x v="797"/>
      <x v="2"/>
    </i>
    <i r="2">
      <x v="798"/>
      <x v="2"/>
    </i>
    <i r="2">
      <x v="799"/>
      <x v="2"/>
    </i>
    <i r="2">
      <x v="800"/>
      <x v="2"/>
    </i>
    <i r="2">
      <x v="801"/>
      <x v="2"/>
    </i>
    <i r="2">
      <x v="802"/>
      <x/>
    </i>
    <i r="2">
      <x v="804"/>
      <x v="2"/>
    </i>
    <i r="2">
      <x v="805"/>
      <x v="2"/>
    </i>
    <i r="2">
      <x v="806"/>
      <x v="2"/>
    </i>
    <i r="2">
      <x v="807"/>
      <x v="2"/>
    </i>
    <i r="2">
      <x v="811"/>
      <x v="2"/>
    </i>
    <i r="2">
      <x v="812"/>
      <x v="2"/>
    </i>
    <i r="2">
      <x v="813"/>
      <x v="2"/>
    </i>
    <i r="2">
      <x v="814"/>
      <x v="2"/>
    </i>
    <i r="2">
      <x v="816"/>
      <x v="2"/>
    </i>
    <i r="2">
      <x v="817"/>
      <x v="2"/>
    </i>
    <i r="2">
      <x v="818"/>
      <x v="2"/>
    </i>
    <i r="2">
      <x v="821"/>
      <x v="2"/>
    </i>
    <i r="2">
      <x v="824"/>
      <x v="2"/>
    </i>
    <i r="2">
      <x v="826"/>
      <x v="2"/>
    </i>
    <i r="2">
      <x v="828"/>
      <x v="2"/>
    </i>
    <i r="2">
      <x v="829"/>
      <x v="2"/>
    </i>
    <i r="2">
      <x v="831"/>
      <x v="2"/>
    </i>
    <i r="2">
      <x v="832"/>
      <x v="2"/>
    </i>
    <i r="2">
      <x v="835"/>
      <x v="2"/>
    </i>
    <i r="2">
      <x v="837"/>
      <x v="2"/>
    </i>
    <i r="2">
      <x v="840"/>
      <x v="2"/>
    </i>
    <i r="2">
      <x v="841"/>
      <x v="2"/>
    </i>
    <i r="2">
      <x v="843"/>
      <x v="2"/>
    </i>
    <i r="2">
      <x v="848"/>
      <x v="2"/>
    </i>
    <i r="2">
      <x v="855"/>
      <x v="2"/>
    </i>
    <i r="2">
      <x v="858"/>
      <x v="2"/>
    </i>
    <i r="2">
      <x v="859"/>
      <x v="2"/>
    </i>
    <i r="2">
      <x v="866"/>
      <x v="2"/>
    </i>
    <i r="2">
      <x v="868"/>
      <x v="2"/>
    </i>
    <i r="2">
      <x v="870"/>
      <x v="2"/>
    </i>
    <i r="2">
      <x v="871"/>
      <x v="2"/>
    </i>
    <i r="2">
      <x v="879"/>
      <x v="2"/>
    </i>
    <i r="2">
      <x v="884"/>
      <x v="2"/>
    </i>
    <i r="2">
      <x v="885"/>
      <x v="2"/>
    </i>
    <i r="2">
      <x v="889"/>
      <x v="2"/>
    </i>
    <i r="2">
      <x v="890"/>
      <x v="2"/>
    </i>
    <i r="2">
      <x v="891"/>
      <x v="2"/>
    </i>
    <i r="2">
      <x v="892"/>
      <x v="2"/>
    </i>
    <i r="2">
      <x v="893"/>
      <x v="2"/>
    </i>
    <i r="2">
      <x v="894"/>
      <x v="2"/>
    </i>
    <i r="2">
      <x v="898"/>
      <x v="2"/>
    </i>
    <i r="2">
      <x v="901"/>
      <x v="2"/>
    </i>
    <i r="2">
      <x v="902"/>
      <x v="2"/>
    </i>
    <i r="2">
      <x v="905"/>
      <x v="2"/>
    </i>
    <i r="2">
      <x v="908"/>
      <x v="2"/>
    </i>
    <i r="2">
      <x v="909"/>
      <x v="2"/>
    </i>
    <i r="2">
      <x v="910"/>
      <x v="2"/>
    </i>
    <i r="2">
      <x v="914"/>
      <x v="2"/>
    </i>
    <i r="2">
      <x v="915"/>
      <x v="2"/>
    </i>
    <i r="2">
      <x v="917"/>
      <x v="2"/>
    </i>
    <i r="2">
      <x v="918"/>
      <x v="2"/>
    </i>
    <i r="2">
      <x v="919"/>
      <x v="2"/>
    </i>
    <i r="2">
      <x v="920"/>
      <x v="2"/>
    </i>
    <i r="2">
      <x v="921"/>
      <x v="2"/>
    </i>
    <i r="2">
      <x v="922"/>
      <x v="2"/>
    </i>
    <i r="2">
      <x v="924"/>
      <x v="2"/>
    </i>
    <i r="2">
      <x v="925"/>
      <x v="2"/>
    </i>
    <i r="2">
      <x v="926"/>
      <x v="2"/>
    </i>
    <i r="2">
      <x v="927"/>
      <x v="2"/>
    </i>
    <i r="2">
      <x v="928"/>
      <x v="2"/>
    </i>
    <i r="2">
      <x v="929"/>
      <x v="2"/>
    </i>
    <i r="2">
      <x v="931"/>
      <x v="2"/>
    </i>
    <i r="2">
      <x v="932"/>
      <x v="2"/>
    </i>
    <i r="2">
      <x v="934"/>
      <x v="2"/>
    </i>
    <i r="2">
      <x v="935"/>
      <x v="2"/>
    </i>
    <i r="2">
      <x v="937"/>
      <x v="2"/>
    </i>
    <i r="2">
      <x v="938"/>
      <x v="2"/>
    </i>
    <i r="2">
      <x v="939"/>
      <x v="2"/>
    </i>
    <i r="2">
      <x v="941"/>
      <x v="2"/>
    </i>
    <i r="2">
      <x v="945"/>
      <x v="2"/>
    </i>
    <i r="2">
      <x v="946"/>
      <x v="2"/>
    </i>
    <i r="2">
      <x v="951"/>
      <x v="2"/>
    </i>
    <i r="2">
      <x v="953"/>
      <x v="2"/>
    </i>
    <i r="2">
      <x v="954"/>
      <x v="2"/>
    </i>
    <i r="2">
      <x v="955"/>
      <x v="2"/>
    </i>
    <i r="2">
      <x v="956"/>
      <x v="2"/>
    </i>
    <i r="2">
      <x v="961"/>
      <x v="2"/>
    </i>
    <i r="2">
      <x v="964"/>
      <x v="2"/>
    </i>
    <i r="2">
      <x v="966"/>
      <x v="2"/>
    </i>
    <i r="2">
      <x v="969"/>
      <x v="2"/>
    </i>
    <i r="2">
      <x v="971"/>
      <x v="2"/>
    </i>
    <i r="2">
      <x v="972"/>
      <x v="2"/>
    </i>
    <i r="2">
      <x v="973"/>
      <x v="2"/>
    </i>
    <i r="2">
      <x v="974"/>
      <x v="2"/>
    </i>
    <i r="2">
      <x v="977"/>
      <x v="2"/>
    </i>
    <i r="2">
      <x v="978"/>
      <x v="2"/>
    </i>
    <i r="2">
      <x v="979"/>
      <x v="2"/>
    </i>
    <i r="2">
      <x v="987"/>
      <x v="2"/>
    </i>
    <i r="2">
      <x v="990"/>
      <x v="2"/>
    </i>
    <i r="2">
      <x v="995"/>
      <x v="2"/>
    </i>
    <i r="2">
      <x v="1000"/>
      <x v="2"/>
    </i>
    <i r="2">
      <x v="1001"/>
      <x v="2"/>
    </i>
    <i r="2">
      <x v="1002"/>
      <x v="2"/>
    </i>
    <i r="2">
      <x v="1004"/>
      <x v="2"/>
    </i>
    <i r="2">
      <x v="1005"/>
      <x v="2"/>
    </i>
    <i r="2">
      <x v="1006"/>
      <x v="2"/>
    </i>
    <i r="2">
      <x v="1007"/>
      <x v="2"/>
    </i>
    <i r="2">
      <x v="1008"/>
      <x v="2"/>
    </i>
    <i r="2">
      <x v="1009"/>
      <x v="2"/>
    </i>
    <i r="2">
      <x v="1010"/>
      <x v="2"/>
    </i>
    <i r="2">
      <x v="1011"/>
      <x v="2"/>
    </i>
    <i r="2">
      <x v="1013"/>
      <x v="2"/>
    </i>
    <i r="2">
      <x v="1014"/>
      <x v="2"/>
    </i>
    <i r="2">
      <x v="1018"/>
      <x v="2"/>
    </i>
    <i r="2">
      <x v="1021"/>
      <x v="2"/>
    </i>
    <i r="2">
      <x v="1022"/>
      <x v="2"/>
    </i>
    <i r="2">
      <x v="1023"/>
      <x v="2"/>
    </i>
    <i r="2">
      <x v="1024"/>
      <x v="2"/>
    </i>
    <i r="2">
      <x v="1025"/>
      <x v="2"/>
    </i>
    <i r="2">
      <x v="1026"/>
      <x v="2"/>
    </i>
    <i r="2">
      <x v="1030"/>
      <x v="2"/>
    </i>
    <i r="2">
      <x v="1031"/>
      <x v="2"/>
    </i>
    <i r="2">
      <x v="1032"/>
      <x v="2"/>
    </i>
    <i r="2">
      <x v="1033"/>
      <x v="2"/>
    </i>
    <i r="2">
      <x v="1034"/>
      <x v="2"/>
    </i>
    <i r="2">
      <x v="1035"/>
      <x v="2"/>
    </i>
    <i r="2">
      <x v="1037"/>
      <x v="2"/>
    </i>
    <i r="2">
      <x v="1038"/>
      <x v="2"/>
    </i>
    <i r="2">
      <x v="1039"/>
      <x v="2"/>
    </i>
    <i r="2">
      <x v="1040"/>
      <x v="2"/>
    </i>
    <i r="2">
      <x v="1047"/>
      <x v="2"/>
    </i>
    <i r="2">
      <x v="1050"/>
      <x v="2"/>
    </i>
    <i r="2">
      <x v="1051"/>
      <x v="2"/>
    </i>
    <i r="2">
      <x v="1053"/>
      <x v="2"/>
    </i>
    <i r="2">
      <x v="1054"/>
      <x v="2"/>
    </i>
    <i r="2">
      <x v="1055"/>
      <x v="2"/>
    </i>
    <i t="grand">
      <x/>
    </i>
  </rowItems>
  <colItems count="1">
    <i/>
  </colItem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Gerenciamento" cacheId="0" dataPosition="1" autoFormatId="1" applyNumberFormats="0" applyBorderFormats="0" applyFontFormats="0" applyPatternFormats="0" applyAlignmentFormats="0" applyWidthHeightFormats="1" dataCaption="" updatedVersion="5" compact="0" compactData="0" showDrill="1">
  <location ref="A1:O8" firstHeaderRow="1" firstDataRow="3" firstDataCol="1"/>
  <pivotFields count="43">
    <pivotField compact="0" outline="0" multipleItemSelectionAllowed="1" showAll="0">
      <items count="1060">
        <item x="895"/>
        <item x="581"/>
        <item x="676"/>
        <item x="881"/>
        <item x="204"/>
        <item x="817"/>
        <item x="957"/>
        <item x="440"/>
        <item x="835"/>
        <item x="938"/>
        <item x="305"/>
        <item x="733"/>
        <item x="472"/>
        <item x="168"/>
        <item x="490"/>
        <item x="748"/>
        <item x="783"/>
        <item x="424"/>
        <item x="422"/>
        <item x="551"/>
        <item x="2"/>
        <item x="418"/>
        <item x="246"/>
        <item x="37"/>
        <item x="311"/>
        <item x="854"/>
        <item x="994"/>
        <item x="720"/>
        <item x="893"/>
        <item x="1001"/>
        <item x="1002"/>
        <item x="828"/>
        <item x="644"/>
        <item x="731"/>
        <item x="207"/>
        <item x="233"/>
        <item x="147"/>
        <item x="114"/>
        <item x="366"/>
        <item x="303"/>
        <item x="247"/>
        <item x="763"/>
        <item x="809"/>
        <item x="1003"/>
        <item x="149"/>
        <item x="727"/>
        <item x="379"/>
        <item x="179"/>
        <item x="51"/>
        <item x="174"/>
        <item x="1004"/>
        <item x="609"/>
        <item x="700"/>
        <item x="797"/>
        <item x="896"/>
        <item x="715"/>
        <item x="560"/>
        <item x="155"/>
        <item x="209"/>
        <item x="461"/>
        <item x="273"/>
        <item x="54"/>
        <item x="764"/>
        <item x="143"/>
        <item x="1005"/>
        <item x="76"/>
        <item x="882"/>
        <item x="926"/>
        <item x="679"/>
        <item x="899"/>
        <item x="382"/>
        <item x="144"/>
        <item x="534"/>
        <item x="260"/>
        <item x="717"/>
        <item x="292"/>
        <item x="544"/>
        <item x="843"/>
        <item x="849"/>
        <item x="921"/>
        <item x="565"/>
        <item x="443"/>
        <item x="235"/>
        <item x="245"/>
        <item x="658"/>
        <item x="671"/>
        <item x="634"/>
        <item x="953"/>
        <item x="393"/>
        <item x="409"/>
        <item x="302"/>
        <item x="528"/>
        <item x="164"/>
        <item x="635"/>
        <item x="1006"/>
        <item x="446"/>
        <item x="785"/>
        <item x="561"/>
        <item x="670"/>
        <item x="0"/>
        <item x="496"/>
        <item x="579"/>
        <item x="318"/>
        <item x="901"/>
        <item x="65"/>
        <item x="386"/>
        <item x="391"/>
        <item x="178"/>
        <item x="34"/>
        <item x="686"/>
        <item x="862"/>
        <item x="845"/>
        <item x="1007"/>
        <item x="693"/>
        <item x="389"/>
        <item x="82"/>
        <item x="471"/>
        <item x="537"/>
        <item x="98"/>
        <item x="75"/>
        <item x="627"/>
        <item x="282"/>
        <item x="156"/>
        <item x="351"/>
        <item x="319"/>
        <item x="885"/>
        <item x="898"/>
        <item x="288"/>
        <item x="172"/>
        <item x="811"/>
        <item x="69"/>
        <item x="605"/>
        <item x="756"/>
        <item x="548"/>
        <item x="919"/>
        <item x="499"/>
        <item x="857"/>
        <item x="559"/>
        <item x="832"/>
        <item x="1008"/>
        <item x="578"/>
        <item x="252"/>
        <item x="110"/>
        <item x="84"/>
        <item x="278"/>
        <item x="795"/>
        <item x="107"/>
        <item x="592"/>
        <item x="514"/>
        <item x="698"/>
        <item x="450"/>
        <item x="821"/>
        <item x="248"/>
        <item x="927"/>
        <item x="274"/>
        <item x="13"/>
        <item x="29"/>
        <item x="868"/>
        <item x="280"/>
        <item x="1009"/>
        <item x="421"/>
        <item x="115"/>
        <item x="352"/>
        <item x="67"/>
        <item x="127"/>
        <item x="794"/>
        <item x="886"/>
        <item x="789"/>
        <item x="960"/>
        <item x="807"/>
        <item x="626"/>
        <item x="24"/>
        <item x="203"/>
        <item x="38"/>
        <item x="43"/>
        <item x="106"/>
        <item x="660"/>
        <item x="152"/>
        <item x="176"/>
        <item x="653"/>
        <item x="434"/>
        <item x="215"/>
        <item x="481"/>
        <item x="784"/>
        <item x="933"/>
        <item x="394"/>
        <item x="664"/>
        <item x="767"/>
        <item x="949"/>
        <item x="883"/>
        <item x="955"/>
        <item x="874"/>
        <item x="157"/>
        <item x="39"/>
        <item x="387"/>
        <item x="117"/>
        <item x="629"/>
        <item x="818"/>
        <item x="614"/>
        <item x="779"/>
        <item x="542"/>
        <item x="820"/>
        <item x="466"/>
        <item x="181"/>
        <item x="636"/>
        <item x="397"/>
        <item x="844"/>
        <item x="88"/>
        <item x="222"/>
        <item x="284"/>
        <item x="17"/>
        <item x="395"/>
        <item x="128"/>
        <item x="445"/>
        <item x="362"/>
        <item x="1010"/>
        <item x="57"/>
        <item x="167"/>
        <item x="141"/>
        <item x="803"/>
        <item x="902"/>
        <item x="774"/>
        <item x="910"/>
        <item x="306"/>
        <item x="752"/>
        <item x="72"/>
        <item x="925"/>
        <item x="668"/>
        <item x="729"/>
        <item x="877"/>
        <item x="480"/>
        <item x="800"/>
        <item x="1011"/>
        <item x="841"/>
        <item x="350"/>
        <item x="136"/>
        <item x="510"/>
        <item x="293"/>
        <item x="787"/>
        <item x="165"/>
        <item x="487"/>
        <item x="506"/>
        <item x="822"/>
        <item x="621"/>
        <item x="131"/>
        <item x="371"/>
        <item x="725"/>
        <item x="108"/>
        <item x="952"/>
        <item x="1012"/>
        <item x="631"/>
        <item x="232"/>
        <item x="839"/>
        <item x="324"/>
        <item x="954"/>
        <item x="470"/>
        <item x="428"/>
        <item x="475"/>
        <item x="8"/>
        <item x="331"/>
        <item x="228"/>
        <item x="91"/>
        <item x="48"/>
        <item x="336"/>
        <item x="205"/>
        <item x="633"/>
        <item x="992"/>
        <item x="376"/>
        <item x="87"/>
        <item x="759"/>
        <item x="130"/>
        <item x="757"/>
        <item x="27"/>
        <item x="736"/>
        <item x="824"/>
        <item x="493"/>
        <item x="330"/>
        <item x="485"/>
        <item x="297"/>
        <item x="900"/>
        <item x="540"/>
        <item x="894"/>
        <item x="341"/>
        <item x="724"/>
        <item x="740"/>
        <item x="399"/>
        <item x="863"/>
        <item x="262"/>
        <item x="269"/>
        <item x="790"/>
        <item x="786"/>
        <item x="755"/>
        <item x="1013"/>
        <item x="876"/>
        <item x="708"/>
        <item x="140"/>
        <item x="454"/>
        <item x="312"/>
        <item x="567"/>
        <item x="200"/>
        <item x="347"/>
        <item x="396"/>
        <item x="912"/>
        <item x="300"/>
        <item x="981"/>
        <item x="543"/>
        <item x="455"/>
        <item x="610"/>
        <item x="58"/>
        <item x="545"/>
        <item x="289"/>
        <item x="180"/>
        <item x="533"/>
        <item x="584"/>
        <item x="639"/>
        <item x="213"/>
        <item x="1014"/>
        <item x="687"/>
        <item x="458"/>
        <item x="539"/>
        <item x="406"/>
        <item x="799"/>
        <item x="939"/>
        <item x="145"/>
        <item x="308"/>
        <item x="705"/>
        <item x="723"/>
        <item x="515"/>
        <item x="259"/>
        <item x="401"/>
        <item x="86"/>
        <item x="230"/>
        <item x="596"/>
        <item x="655"/>
        <item x="642"/>
        <item x="320"/>
        <item x="467"/>
        <item x="995"/>
        <item x="672"/>
        <item x="718"/>
        <item x="761"/>
        <item x="1015"/>
        <item x="975"/>
        <item x="1016"/>
        <item x="999"/>
        <item x="1017"/>
        <item x="988"/>
        <item x="301"/>
        <item x="753"/>
        <item x="266"/>
        <item x="875"/>
        <item x="519"/>
        <item x="728"/>
        <item x="201"/>
        <item x="299"/>
        <item x="942"/>
        <item x="358"/>
        <item x="436"/>
        <item x="281"/>
        <item x="735"/>
        <item x="805"/>
        <item x="435"/>
        <item x="620"/>
        <item x="492"/>
        <item x="792"/>
        <item x="850"/>
        <item x="905"/>
        <item x="121"/>
        <item x="867"/>
        <item x="349"/>
        <item x="749"/>
        <item x="188"/>
        <item x="1018"/>
        <item x="866"/>
        <item x="463"/>
        <item x="529"/>
        <item x="501"/>
        <item x="126"/>
        <item x="619"/>
        <item x="206"/>
        <item x="853"/>
        <item x="531"/>
        <item x="782"/>
        <item x="1019"/>
        <item x="711"/>
        <item x="928"/>
        <item x="294"/>
        <item x="469"/>
        <item x="338"/>
        <item x="989"/>
        <item x="638"/>
        <item x="856"/>
        <item x="884"/>
        <item x="550"/>
        <item x="241"/>
        <item x="552"/>
        <item x="509"/>
        <item x="943"/>
        <item x="427"/>
        <item x="647"/>
        <item x="716"/>
        <item x="185"/>
        <item x="873"/>
        <item x="888"/>
        <item x="326"/>
        <item x="564"/>
        <item x="408"/>
        <item x="680"/>
        <item x="662"/>
        <item x="706"/>
        <item x="287"/>
        <item x="734"/>
        <item x="730"/>
        <item x="449"/>
        <item x="532"/>
        <item x="572"/>
        <item x="963"/>
        <item x="277"/>
        <item x="628"/>
        <item x="657"/>
        <item x="193"/>
        <item x="60"/>
        <item x="722"/>
        <item x="600"/>
        <item x="591"/>
        <item x="780"/>
        <item x="922"/>
        <item x="4"/>
        <item x="667"/>
        <item x="688"/>
        <item x="226"/>
        <item x="1020"/>
        <item x="316"/>
        <item x="56"/>
        <item x="503"/>
        <item x="872"/>
        <item x="32"/>
        <item x="709"/>
        <item x="498"/>
        <item x="826"/>
        <item x="594"/>
        <item x="138"/>
        <item x="448"/>
        <item x="378"/>
        <item x="124"/>
        <item x="240"/>
        <item x="328"/>
        <item x="220"/>
        <item x="158"/>
        <item x="95"/>
        <item x="931"/>
        <item x="5"/>
        <item x="225"/>
        <item x="911"/>
        <item x="414"/>
        <item x="608"/>
        <item x="255"/>
        <item x="714"/>
        <item x="958"/>
        <item x="295"/>
        <item x="704"/>
        <item x="268"/>
        <item x="1021"/>
        <item x="186"/>
        <item x="771"/>
        <item x="997"/>
        <item x="656"/>
        <item x="309"/>
        <item x="66"/>
        <item x="71"/>
        <item x="346"/>
        <item x="860"/>
        <item x="229"/>
        <item x="47"/>
        <item x="97"/>
        <item x="90"/>
        <item x="500"/>
        <item x="1022"/>
        <item x="675"/>
        <item x="965"/>
        <item x="865"/>
        <item x="685"/>
        <item x="595"/>
        <item x="237"/>
        <item x="251"/>
        <item x="793"/>
        <item x="637"/>
        <item x="986"/>
        <item x="580"/>
        <item x="661"/>
        <item x="505"/>
        <item x="348"/>
        <item x="425"/>
        <item x="613"/>
        <item x="323"/>
        <item x="760"/>
        <item x="778"/>
        <item x="384"/>
        <item x="987"/>
        <item x="314"/>
        <item x="236"/>
        <item x="52"/>
        <item x="290"/>
        <item x="524"/>
        <item x="566"/>
        <item x="332"/>
        <item x="468"/>
        <item x="244"/>
        <item x="1023"/>
        <item x="135"/>
        <item x="520"/>
        <item x="934"/>
        <item x="192"/>
        <item x="160"/>
        <item x="588"/>
        <item x="847"/>
        <item x="317"/>
        <item x="380"/>
        <item x="437"/>
        <item x="457"/>
        <item x="683"/>
        <item x="936"/>
        <item x="166"/>
        <item x="374"/>
        <item x="1024"/>
        <item x="812"/>
        <item x="486"/>
        <item x="426"/>
        <item x="521"/>
        <item x="570"/>
        <item x="148"/>
        <item x="737"/>
        <item x="1025"/>
        <item x="640"/>
        <item x="781"/>
        <item x="651"/>
        <item x="518"/>
        <item x="1026"/>
        <item x="855"/>
        <item x="982"/>
        <item x="909"/>
        <item x="758"/>
        <item x="558"/>
        <item x="732"/>
        <item x="915"/>
        <item x="438"/>
        <item x="353"/>
        <item x="940"/>
        <item x="681"/>
        <item x="617"/>
        <item x="825"/>
        <item x="602"/>
        <item x="674"/>
        <item x="342"/>
        <item x="337"/>
        <item x="516"/>
        <item x="150"/>
        <item x="31"/>
        <item x="41"/>
        <item x="184"/>
        <item x="132"/>
        <item x="14"/>
        <item x="53"/>
        <item x="3"/>
        <item x="35"/>
        <item x="33"/>
        <item x="119"/>
        <item x="125"/>
        <item x="1027"/>
        <item x="83"/>
        <item x="1028"/>
        <item x="25"/>
        <item x="23"/>
        <item x="30"/>
        <item x="59"/>
        <item x="122"/>
        <item x="283"/>
        <item x="9"/>
        <item x="1"/>
        <item x="159"/>
        <item x="641"/>
        <item x="616"/>
        <item x="74"/>
        <item x="329"/>
        <item x="78"/>
        <item x="285"/>
        <item x="589"/>
        <item x="1029"/>
        <item x="100"/>
        <item x="1030"/>
        <item x="555"/>
        <item x="417"/>
        <item x="1031"/>
        <item x="202"/>
        <item x="327"/>
        <item x="11"/>
        <item x="1034"/>
        <item x="361"/>
        <item x="586"/>
        <item x="10"/>
        <item x="123"/>
        <item x="103"/>
        <item x="61"/>
        <item x="562"/>
        <item x="363"/>
        <item x="1032"/>
        <item x="291"/>
        <item x="93"/>
        <item x="22"/>
        <item x="388"/>
        <item x="304"/>
        <item x="557"/>
        <item x="697"/>
        <item x="750"/>
        <item x="879"/>
        <item x="430"/>
        <item x="517"/>
        <item x="360"/>
        <item x="1035"/>
        <item x="624"/>
        <item x="139"/>
        <item x="63"/>
        <item x="598"/>
        <item x="815"/>
        <item x="741"/>
        <item x="556"/>
        <item x="1036"/>
        <item x="261"/>
        <item x="275"/>
        <item x="465"/>
        <item x="1033"/>
        <item x="420"/>
        <item x="1037"/>
        <item x="478"/>
        <item x="335"/>
        <item x="739"/>
        <item x="250"/>
        <item x="217"/>
        <item x="368"/>
        <item x="79"/>
        <item x="223"/>
        <item x="1038"/>
        <item x="153"/>
        <item x="1039"/>
        <item x="279"/>
        <item x="210"/>
        <item x="276"/>
        <item x="18"/>
        <item x="16"/>
        <item x="411"/>
        <item x="224"/>
        <item x="769"/>
        <item x="370"/>
        <item x="92"/>
        <item x="102"/>
        <item x="104"/>
        <item x="402"/>
        <item x="272"/>
        <item x="7"/>
        <item x="111"/>
        <item x="743"/>
        <item x="646"/>
        <item x="451"/>
        <item x="120"/>
        <item x="632"/>
        <item x="796"/>
        <item x="507"/>
        <item x="810"/>
        <item x="611"/>
        <item x="333"/>
        <item x="322"/>
        <item x="923"/>
        <item x="649"/>
        <item x="218"/>
        <item x="643"/>
        <item x="650"/>
        <item x="310"/>
        <item x="833"/>
        <item x="897"/>
        <item x="746"/>
        <item x="547"/>
        <item x="375"/>
        <item x="751"/>
        <item x="385"/>
        <item x="407"/>
        <item x="932"/>
        <item x="618"/>
        <item x="6"/>
        <item x="494"/>
        <item x="36"/>
        <item x="1040"/>
        <item x="947"/>
        <item x="673"/>
        <item x="354"/>
        <item x="840"/>
        <item x="526"/>
        <item x="381"/>
        <item x="762"/>
        <item x="195"/>
        <item x="495"/>
        <item x="169"/>
        <item x="134"/>
        <item x="369"/>
        <item x="133"/>
        <item x="227"/>
        <item x="607"/>
        <item x="593"/>
        <item x="405"/>
        <item x="819"/>
        <item x="453"/>
        <item x="191"/>
        <item x="713"/>
        <item x="583"/>
        <item x="321"/>
        <item x="801"/>
        <item x="40"/>
        <item x="1041"/>
        <item x="383"/>
        <item x="459"/>
        <item x="73"/>
        <item x="101"/>
        <item x="94"/>
        <item x="62"/>
        <item x="12"/>
        <item x="19"/>
        <item x="21"/>
        <item x="231"/>
        <item x="432"/>
        <item x="96"/>
        <item x="42"/>
        <item x="525"/>
        <item x="298"/>
        <item x="669"/>
        <item x="990"/>
        <item x="968"/>
        <item x="622"/>
        <item x="747"/>
        <item x="265"/>
        <item x="678"/>
        <item x="838"/>
        <item x="345"/>
        <item x="296"/>
        <item x="254"/>
        <item x="253"/>
        <item x="214"/>
        <item x="1042"/>
        <item x="604"/>
        <item x="340"/>
        <item x="1043"/>
        <item x="536"/>
        <item x="571"/>
        <item x="392"/>
        <item x="483"/>
        <item x="1044"/>
        <item x="400"/>
        <item x="612"/>
        <item x="464"/>
        <item x="601"/>
        <item x="603"/>
        <item x="575"/>
        <item x="344"/>
        <item x="538"/>
        <item x="373"/>
        <item x="574"/>
        <item x="175"/>
        <item x="431"/>
        <item x="703"/>
        <item x="623"/>
        <item x="249"/>
        <item x="890"/>
        <item x="861"/>
        <item x="948"/>
        <item x="945"/>
        <item x="946"/>
        <item x="916"/>
        <item x="956"/>
        <item x="941"/>
        <item x="969"/>
        <item x="976"/>
        <item x="930"/>
        <item x="920"/>
        <item x="950"/>
        <item x="964"/>
        <item x="977"/>
        <item x="869"/>
        <item x="891"/>
        <item x="974"/>
        <item x="961"/>
        <item x="970"/>
        <item x="827"/>
        <item x="959"/>
        <item x="944"/>
        <item x="978"/>
        <item x="907"/>
        <item x="972"/>
        <item x="908"/>
        <item x="971"/>
        <item x="951"/>
        <item x="983"/>
        <item x="937"/>
        <item x="1045"/>
        <item x="109"/>
        <item x="423"/>
        <item x="1046"/>
        <item x="719"/>
        <item x="692"/>
        <item x="46"/>
        <item x="702"/>
        <item x="829"/>
        <item x="806"/>
        <item x="99"/>
        <item x="257"/>
        <item x="239"/>
        <item x="694"/>
        <item x="359"/>
        <item x="365"/>
        <item x="221"/>
        <item x="190"/>
        <item x="313"/>
        <item x="118"/>
        <item x="243"/>
        <item x="512"/>
        <item x="788"/>
        <item x="842"/>
        <item x="68"/>
        <item x="535"/>
        <item x="508"/>
        <item x="846"/>
        <item x="49"/>
        <item x="707"/>
        <item x="684"/>
        <item x="161"/>
        <item x="212"/>
        <item x="690"/>
        <item x="798"/>
        <item x="682"/>
        <item x="848"/>
        <item x="1048"/>
        <item x="1047"/>
        <item x="502"/>
        <item x="377"/>
        <item x="935"/>
        <item x="765"/>
        <item x="914"/>
        <item x="659"/>
        <item x="870"/>
        <item x="742"/>
        <item x="484"/>
        <item x="198"/>
        <item x="530"/>
        <item x="903"/>
        <item x="808"/>
        <item x="754"/>
        <item x="1049"/>
        <item x="479"/>
        <item x="553"/>
        <item x="625"/>
        <item x="652"/>
        <item x="522"/>
        <item x="991"/>
        <item x="691"/>
        <item x="772"/>
        <item x="1050"/>
        <item x="429"/>
        <item x="267"/>
        <item x="929"/>
        <item x="307"/>
        <item x="712"/>
        <item x="80"/>
        <item x="482"/>
        <item x="355"/>
        <item x="1051"/>
        <item x="474"/>
        <item x="979"/>
        <item x="871"/>
        <item x="773"/>
        <item x="776"/>
        <item x="476"/>
        <item x="576"/>
        <item x="315"/>
        <item x="444"/>
        <item x="597"/>
        <item x="194"/>
        <item x="880"/>
        <item x="513"/>
        <item x="412"/>
        <item x="242"/>
        <item x="447"/>
        <item x="216"/>
        <item x="187"/>
        <item x="15"/>
        <item x="116"/>
        <item x="45"/>
        <item x="271"/>
        <item x="77"/>
        <item x="1052"/>
        <item x="582"/>
        <item x="177"/>
        <item x="28"/>
        <item x="163"/>
        <item x="263"/>
        <item x="208"/>
        <item x="20"/>
        <item x="441"/>
        <item x="831"/>
        <item x="199"/>
        <item x="452"/>
        <item x="527"/>
        <item x="70"/>
        <item x="264"/>
        <item x="477"/>
        <item x="357"/>
        <item x="182"/>
        <item x="398"/>
        <item x="112"/>
        <item x="197"/>
        <item x="1000"/>
        <item x="973"/>
        <item x="775"/>
        <item x="569"/>
        <item x="511"/>
        <item x="523"/>
        <item x="339"/>
        <item x="699"/>
        <item x="343"/>
        <item x="419"/>
        <item x="410"/>
        <item x="403"/>
        <item x="415"/>
        <item x="55"/>
        <item x="777"/>
        <item x="859"/>
        <item x="1053"/>
        <item x="892"/>
        <item x="665"/>
        <item x="416"/>
        <item x="404"/>
        <item x="219"/>
        <item x="738"/>
        <item x="599"/>
        <item x="590"/>
        <item x="851"/>
        <item x="162"/>
        <item x="497"/>
        <item x="105"/>
        <item x="238"/>
        <item x="334"/>
        <item x="889"/>
        <item x="211"/>
        <item x="913"/>
        <item x="823"/>
        <item x="710"/>
        <item x="256"/>
        <item x="804"/>
        <item x="770"/>
        <item x="906"/>
        <item x="491"/>
        <item x="129"/>
        <item x="171"/>
        <item x="984"/>
        <item x="996"/>
        <item x="170"/>
        <item x="745"/>
        <item x="1054"/>
        <item x="234"/>
        <item x="980"/>
        <item x="993"/>
        <item x="44"/>
        <item x="460"/>
        <item x="768"/>
        <item x="878"/>
        <item x="615"/>
        <item x="689"/>
        <item x="924"/>
        <item x="137"/>
        <item x="813"/>
        <item x="830"/>
        <item x="413"/>
        <item x="858"/>
        <item x="630"/>
        <item x="962"/>
        <item x="917"/>
        <item x="356"/>
        <item x="26"/>
        <item x="568"/>
        <item x="258"/>
        <item x="985"/>
        <item x="1055"/>
        <item x="802"/>
        <item x="433"/>
        <item x="837"/>
        <item x="142"/>
        <item x="648"/>
        <item x="154"/>
        <item x="998"/>
        <item x="196"/>
        <item x="587"/>
        <item x="546"/>
        <item x="1056"/>
        <item x="864"/>
        <item x="834"/>
        <item x="504"/>
        <item x="666"/>
        <item x="173"/>
        <item x="270"/>
        <item x="183"/>
        <item x="701"/>
        <item x="473"/>
        <item x="816"/>
        <item x="966"/>
        <item x="541"/>
        <item x="677"/>
        <item x="286"/>
        <item x="489"/>
        <item x="364"/>
        <item x="904"/>
        <item x="606"/>
        <item x="726"/>
        <item x="367"/>
        <item x="573"/>
        <item x="390"/>
        <item x="488"/>
        <item x="814"/>
        <item x="64"/>
        <item x="663"/>
        <item x="325"/>
        <item x="85"/>
        <item x="456"/>
        <item x="695"/>
        <item x="50"/>
        <item x="577"/>
        <item x="146"/>
        <item x="462"/>
        <item x="887"/>
        <item x="696"/>
        <item x="189"/>
        <item x="89"/>
        <item x="372"/>
        <item x="654"/>
        <item x="836"/>
        <item x="791"/>
        <item x="554"/>
        <item x="645"/>
        <item x="563"/>
        <item x="549"/>
        <item x="585"/>
        <item x="766"/>
        <item x="113"/>
        <item x="744"/>
        <item x="151"/>
        <item x="721"/>
        <item x="442"/>
        <item x="852"/>
        <item x="918"/>
        <item x="967"/>
        <item x="1057"/>
        <item x="439"/>
        <item x="1058"/>
        <item x="81"/>
        <item t="default"/>
      </items>
    </pivotField>
    <pivotField axis="axisRow" compact="0" outline="0" multipleItemSelectionAllowed="1" showAll="0">
      <items count="5">
        <item x="1"/>
        <item x="3"/>
        <item x="2"/>
        <item x="0"/>
        <item t="default"/>
      </items>
    </pivotField>
    <pivotField axis="axisCol" compact="0" outline="0" multipleItemSelectionAllowed="1" showAll="0">
      <items count="7">
        <item x="2"/>
        <item x="1"/>
        <item x="5"/>
        <item x="0"/>
        <item x="3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COUNT of id_temp" fld="18" subtotal="countNums" showDataAs="percentOfRow" baseField="0" baseItem="0" numFmtId="10"/>
    <dataField name="COUNT of id_temp2" fld="18" subtotal="countNums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Gerenciamento 2" cacheId="0" autoFormatId="1" applyNumberFormats="0" applyBorderFormats="0" applyFontFormats="0" applyPatternFormats="0" applyAlignmentFormats="0" applyWidthHeightFormats="1" dataCaption="" updatedVersion="5" compact="0" compactData="0" showDrill="1">
  <location ref="A41:C49" firstHeaderRow="1" firstDataRow="2" firstDataCol="1"/>
  <pivotFields count="43">
    <pivotField compact="0" outline="0" multipleItemSelectionAllowed="1" showAll="0">
      <items count="1060">
        <item x="895"/>
        <item x="581"/>
        <item x="676"/>
        <item x="881"/>
        <item x="204"/>
        <item x="817"/>
        <item x="957"/>
        <item x="440"/>
        <item x="835"/>
        <item x="938"/>
        <item x="305"/>
        <item x="733"/>
        <item x="472"/>
        <item x="168"/>
        <item x="490"/>
        <item x="748"/>
        <item x="783"/>
        <item x="424"/>
        <item x="422"/>
        <item x="551"/>
        <item x="2"/>
        <item x="418"/>
        <item x="246"/>
        <item x="37"/>
        <item x="311"/>
        <item x="854"/>
        <item x="994"/>
        <item x="720"/>
        <item x="893"/>
        <item x="1001"/>
        <item x="1002"/>
        <item x="828"/>
        <item x="644"/>
        <item x="731"/>
        <item x="207"/>
        <item x="233"/>
        <item x="147"/>
        <item x="114"/>
        <item x="366"/>
        <item x="303"/>
        <item x="247"/>
        <item x="763"/>
        <item x="809"/>
        <item x="1003"/>
        <item x="149"/>
        <item x="727"/>
        <item x="379"/>
        <item x="179"/>
        <item x="51"/>
        <item x="174"/>
        <item x="1004"/>
        <item x="609"/>
        <item x="700"/>
        <item x="797"/>
        <item x="896"/>
        <item x="715"/>
        <item x="560"/>
        <item x="155"/>
        <item x="209"/>
        <item x="461"/>
        <item x="273"/>
        <item x="54"/>
        <item x="764"/>
        <item x="143"/>
        <item x="1005"/>
        <item x="76"/>
        <item x="882"/>
        <item x="926"/>
        <item x="679"/>
        <item x="899"/>
        <item x="382"/>
        <item x="144"/>
        <item x="534"/>
        <item x="260"/>
        <item x="717"/>
        <item x="292"/>
        <item x="544"/>
        <item x="843"/>
        <item x="849"/>
        <item x="921"/>
        <item x="565"/>
        <item x="443"/>
        <item x="235"/>
        <item x="245"/>
        <item x="658"/>
        <item x="671"/>
        <item x="634"/>
        <item x="953"/>
        <item x="393"/>
        <item x="409"/>
        <item x="302"/>
        <item x="528"/>
        <item x="164"/>
        <item x="635"/>
        <item x="1006"/>
        <item x="446"/>
        <item x="785"/>
        <item x="561"/>
        <item x="670"/>
        <item x="0"/>
        <item x="496"/>
        <item x="579"/>
        <item x="318"/>
        <item x="901"/>
        <item x="65"/>
        <item x="386"/>
        <item x="391"/>
        <item x="178"/>
        <item x="34"/>
        <item x="686"/>
        <item x="862"/>
        <item x="845"/>
        <item x="1007"/>
        <item x="693"/>
        <item x="389"/>
        <item x="82"/>
        <item x="471"/>
        <item x="537"/>
        <item x="98"/>
        <item x="75"/>
        <item x="627"/>
        <item x="282"/>
        <item x="156"/>
        <item x="351"/>
        <item x="319"/>
        <item x="885"/>
        <item x="898"/>
        <item x="288"/>
        <item x="172"/>
        <item x="811"/>
        <item x="69"/>
        <item x="605"/>
        <item x="756"/>
        <item x="548"/>
        <item x="919"/>
        <item x="499"/>
        <item x="857"/>
        <item x="559"/>
        <item x="832"/>
        <item x="1008"/>
        <item x="578"/>
        <item x="252"/>
        <item x="110"/>
        <item x="84"/>
        <item x="278"/>
        <item x="795"/>
        <item x="107"/>
        <item x="592"/>
        <item x="514"/>
        <item x="698"/>
        <item x="450"/>
        <item x="821"/>
        <item x="248"/>
        <item x="927"/>
        <item x="274"/>
        <item x="13"/>
        <item x="29"/>
        <item x="868"/>
        <item x="280"/>
        <item x="1009"/>
        <item x="421"/>
        <item x="115"/>
        <item x="352"/>
        <item x="67"/>
        <item x="127"/>
        <item x="794"/>
        <item x="886"/>
        <item x="789"/>
        <item x="960"/>
        <item x="807"/>
        <item x="626"/>
        <item x="24"/>
        <item x="203"/>
        <item x="38"/>
        <item x="43"/>
        <item x="106"/>
        <item x="660"/>
        <item x="152"/>
        <item x="176"/>
        <item x="653"/>
        <item x="434"/>
        <item x="215"/>
        <item x="481"/>
        <item x="784"/>
        <item x="933"/>
        <item x="394"/>
        <item x="664"/>
        <item x="767"/>
        <item x="949"/>
        <item x="883"/>
        <item x="955"/>
        <item x="874"/>
        <item x="157"/>
        <item x="39"/>
        <item x="387"/>
        <item x="117"/>
        <item x="629"/>
        <item x="818"/>
        <item x="614"/>
        <item x="779"/>
        <item x="542"/>
        <item x="820"/>
        <item x="466"/>
        <item x="181"/>
        <item x="636"/>
        <item x="397"/>
        <item x="844"/>
        <item x="88"/>
        <item x="222"/>
        <item x="284"/>
        <item x="17"/>
        <item x="395"/>
        <item x="128"/>
        <item x="445"/>
        <item x="362"/>
        <item x="1010"/>
        <item x="57"/>
        <item x="167"/>
        <item x="141"/>
        <item x="803"/>
        <item x="902"/>
        <item x="774"/>
        <item x="910"/>
        <item x="306"/>
        <item x="752"/>
        <item x="72"/>
        <item x="925"/>
        <item x="668"/>
        <item x="729"/>
        <item x="877"/>
        <item x="480"/>
        <item x="800"/>
        <item x="1011"/>
        <item x="841"/>
        <item x="350"/>
        <item x="136"/>
        <item x="510"/>
        <item x="293"/>
        <item x="787"/>
        <item x="165"/>
        <item x="487"/>
        <item x="506"/>
        <item x="822"/>
        <item x="621"/>
        <item x="131"/>
        <item x="371"/>
        <item x="725"/>
        <item x="108"/>
        <item x="952"/>
        <item x="1012"/>
        <item x="631"/>
        <item x="232"/>
        <item x="839"/>
        <item x="324"/>
        <item x="954"/>
        <item x="470"/>
        <item x="428"/>
        <item x="475"/>
        <item x="8"/>
        <item x="331"/>
        <item x="228"/>
        <item x="91"/>
        <item x="48"/>
        <item x="336"/>
        <item x="205"/>
        <item x="633"/>
        <item x="992"/>
        <item x="376"/>
        <item x="87"/>
        <item x="759"/>
        <item x="130"/>
        <item x="757"/>
        <item x="27"/>
        <item x="736"/>
        <item x="824"/>
        <item x="493"/>
        <item x="330"/>
        <item x="485"/>
        <item x="297"/>
        <item x="900"/>
        <item x="540"/>
        <item x="894"/>
        <item x="341"/>
        <item x="724"/>
        <item x="740"/>
        <item x="399"/>
        <item x="863"/>
        <item x="262"/>
        <item x="269"/>
        <item x="790"/>
        <item x="786"/>
        <item x="755"/>
        <item x="1013"/>
        <item x="876"/>
        <item x="708"/>
        <item x="140"/>
        <item x="454"/>
        <item x="312"/>
        <item x="567"/>
        <item x="200"/>
        <item x="347"/>
        <item x="396"/>
        <item x="912"/>
        <item x="300"/>
        <item x="981"/>
        <item x="543"/>
        <item x="455"/>
        <item x="610"/>
        <item x="58"/>
        <item x="545"/>
        <item x="289"/>
        <item x="180"/>
        <item x="533"/>
        <item x="584"/>
        <item x="639"/>
        <item x="213"/>
        <item x="1014"/>
        <item x="687"/>
        <item x="458"/>
        <item x="539"/>
        <item x="406"/>
        <item x="799"/>
        <item x="939"/>
        <item x="145"/>
        <item x="308"/>
        <item x="705"/>
        <item x="723"/>
        <item x="515"/>
        <item x="259"/>
        <item x="401"/>
        <item x="86"/>
        <item x="230"/>
        <item x="596"/>
        <item x="655"/>
        <item x="642"/>
        <item x="320"/>
        <item x="467"/>
        <item x="995"/>
        <item x="672"/>
        <item x="718"/>
        <item x="761"/>
        <item x="1015"/>
        <item x="975"/>
        <item x="1016"/>
        <item x="999"/>
        <item x="1017"/>
        <item x="988"/>
        <item x="301"/>
        <item x="753"/>
        <item x="266"/>
        <item x="875"/>
        <item x="519"/>
        <item x="728"/>
        <item x="201"/>
        <item x="299"/>
        <item x="942"/>
        <item x="358"/>
        <item x="436"/>
        <item x="281"/>
        <item x="735"/>
        <item x="805"/>
        <item x="435"/>
        <item x="620"/>
        <item x="492"/>
        <item x="792"/>
        <item x="850"/>
        <item x="905"/>
        <item x="121"/>
        <item x="867"/>
        <item x="349"/>
        <item x="749"/>
        <item x="188"/>
        <item x="1018"/>
        <item x="866"/>
        <item x="463"/>
        <item x="529"/>
        <item x="501"/>
        <item x="126"/>
        <item x="619"/>
        <item x="206"/>
        <item x="853"/>
        <item x="531"/>
        <item x="782"/>
        <item x="1019"/>
        <item x="711"/>
        <item x="928"/>
        <item x="294"/>
        <item x="469"/>
        <item x="338"/>
        <item x="989"/>
        <item x="638"/>
        <item x="856"/>
        <item x="884"/>
        <item x="550"/>
        <item x="241"/>
        <item x="552"/>
        <item x="509"/>
        <item x="943"/>
        <item x="427"/>
        <item x="647"/>
        <item x="716"/>
        <item x="185"/>
        <item x="873"/>
        <item x="888"/>
        <item x="326"/>
        <item x="564"/>
        <item x="408"/>
        <item x="680"/>
        <item x="662"/>
        <item x="706"/>
        <item x="287"/>
        <item x="734"/>
        <item x="730"/>
        <item x="449"/>
        <item x="532"/>
        <item x="572"/>
        <item x="963"/>
        <item x="277"/>
        <item x="628"/>
        <item x="657"/>
        <item x="193"/>
        <item x="60"/>
        <item x="722"/>
        <item x="600"/>
        <item x="591"/>
        <item x="780"/>
        <item x="922"/>
        <item x="4"/>
        <item x="667"/>
        <item x="688"/>
        <item x="226"/>
        <item x="1020"/>
        <item x="316"/>
        <item x="56"/>
        <item x="503"/>
        <item x="872"/>
        <item x="32"/>
        <item x="709"/>
        <item x="498"/>
        <item x="826"/>
        <item x="594"/>
        <item x="138"/>
        <item x="448"/>
        <item x="378"/>
        <item x="124"/>
        <item x="240"/>
        <item x="328"/>
        <item x="220"/>
        <item x="158"/>
        <item x="95"/>
        <item x="931"/>
        <item x="5"/>
        <item x="225"/>
        <item x="911"/>
        <item x="414"/>
        <item x="608"/>
        <item x="255"/>
        <item x="714"/>
        <item x="958"/>
        <item x="295"/>
        <item x="704"/>
        <item x="268"/>
        <item x="1021"/>
        <item x="186"/>
        <item x="771"/>
        <item x="997"/>
        <item x="656"/>
        <item x="309"/>
        <item x="66"/>
        <item x="71"/>
        <item x="346"/>
        <item x="860"/>
        <item x="229"/>
        <item x="47"/>
        <item x="97"/>
        <item x="90"/>
        <item x="500"/>
        <item x="1022"/>
        <item x="675"/>
        <item x="965"/>
        <item x="865"/>
        <item x="685"/>
        <item x="595"/>
        <item x="237"/>
        <item x="251"/>
        <item x="793"/>
        <item x="637"/>
        <item x="986"/>
        <item x="580"/>
        <item x="661"/>
        <item x="505"/>
        <item x="348"/>
        <item x="425"/>
        <item x="613"/>
        <item x="323"/>
        <item x="760"/>
        <item x="778"/>
        <item x="384"/>
        <item x="987"/>
        <item x="314"/>
        <item x="236"/>
        <item x="52"/>
        <item x="290"/>
        <item x="524"/>
        <item x="566"/>
        <item x="332"/>
        <item x="468"/>
        <item x="244"/>
        <item x="1023"/>
        <item x="135"/>
        <item x="520"/>
        <item x="934"/>
        <item x="192"/>
        <item x="160"/>
        <item x="588"/>
        <item x="847"/>
        <item x="317"/>
        <item x="380"/>
        <item x="437"/>
        <item x="457"/>
        <item x="683"/>
        <item x="936"/>
        <item x="166"/>
        <item x="374"/>
        <item x="1024"/>
        <item x="812"/>
        <item x="486"/>
        <item x="426"/>
        <item x="521"/>
        <item x="570"/>
        <item x="148"/>
        <item x="737"/>
        <item x="1025"/>
        <item x="640"/>
        <item x="781"/>
        <item x="651"/>
        <item x="518"/>
        <item x="1026"/>
        <item x="855"/>
        <item x="982"/>
        <item x="909"/>
        <item x="758"/>
        <item x="558"/>
        <item x="732"/>
        <item x="915"/>
        <item x="438"/>
        <item x="353"/>
        <item x="940"/>
        <item x="681"/>
        <item x="617"/>
        <item x="825"/>
        <item x="602"/>
        <item x="674"/>
        <item x="342"/>
        <item x="337"/>
        <item x="516"/>
        <item x="150"/>
        <item x="31"/>
        <item x="41"/>
        <item x="184"/>
        <item x="132"/>
        <item x="14"/>
        <item x="53"/>
        <item x="3"/>
        <item x="35"/>
        <item x="33"/>
        <item x="119"/>
        <item x="125"/>
        <item x="1027"/>
        <item x="83"/>
        <item x="1028"/>
        <item x="25"/>
        <item x="23"/>
        <item x="30"/>
        <item x="59"/>
        <item x="122"/>
        <item x="283"/>
        <item x="9"/>
        <item x="1"/>
        <item x="159"/>
        <item x="641"/>
        <item x="616"/>
        <item x="74"/>
        <item x="329"/>
        <item x="78"/>
        <item x="285"/>
        <item x="589"/>
        <item x="1029"/>
        <item x="100"/>
        <item x="1030"/>
        <item x="555"/>
        <item x="417"/>
        <item x="1031"/>
        <item x="202"/>
        <item x="327"/>
        <item x="11"/>
        <item x="1034"/>
        <item x="361"/>
        <item x="586"/>
        <item x="10"/>
        <item x="123"/>
        <item x="103"/>
        <item x="61"/>
        <item x="562"/>
        <item x="363"/>
        <item x="1032"/>
        <item x="291"/>
        <item x="93"/>
        <item x="22"/>
        <item x="388"/>
        <item x="304"/>
        <item x="557"/>
        <item x="697"/>
        <item x="750"/>
        <item x="879"/>
        <item x="430"/>
        <item x="517"/>
        <item x="360"/>
        <item x="1035"/>
        <item x="624"/>
        <item x="139"/>
        <item x="63"/>
        <item x="598"/>
        <item x="815"/>
        <item x="741"/>
        <item x="556"/>
        <item x="1036"/>
        <item x="261"/>
        <item x="275"/>
        <item x="465"/>
        <item x="1033"/>
        <item x="420"/>
        <item x="1037"/>
        <item x="478"/>
        <item x="335"/>
        <item x="739"/>
        <item x="250"/>
        <item x="217"/>
        <item x="368"/>
        <item x="79"/>
        <item x="223"/>
        <item x="1038"/>
        <item x="153"/>
        <item x="1039"/>
        <item x="279"/>
        <item x="210"/>
        <item x="276"/>
        <item x="18"/>
        <item x="16"/>
        <item x="411"/>
        <item x="224"/>
        <item x="769"/>
        <item x="370"/>
        <item x="92"/>
        <item x="102"/>
        <item x="104"/>
        <item x="402"/>
        <item x="272"/>
        <item x="7"/>
        <item x="111"/>
        <item x="743"/>
        <item x="646"/>
        <item x="451"/>
        <item x="120"/>
        <item x="632"/>
        <item x="796"/>
        <item x="507"/>
        <item x="810"/>
        <item x="611"/>
        <item x="333"/>
        <item x="322"/>
        <item x="923"/>
        <item x="649"/>
        <item x="218"/>
        <item x="643"/>
        <item x="650"/>
        <item x="310"/>
        <item x="833"/>
        <item x="897"/>
        <item x="746"/>
        <item x="547"/>
        <item x="375"/>
        <item x="751"/>
        <item x="385"/>
        <item x="407"/>
        <item x="932"/>
        <item x="618"/>
        <item x="6"/>
        <item x="494"/>
        <item x="36"/>
        <item x="1040"/>
        <item x="947"/>
        <item x="673"/>
        <item x="354"/>
        <item x="840"/>
        <item x="526"/>
        <item x="381"/>
        <item x="762"/>
        <item x="195"/>
        <item x="495"/>
        <item x="169"/>
        <item x="134"/>
        <item x="369"/>
        <item x="133"/>
        <item x="227"/>
        <item x="607"/>
        <item x="593"/>
        <item x="405"/>
        <item x="819"/>
        <item x="453"/>
        <item x="191"/>
        <item x="713"/>
        <item x="583"/>
        <item x="321"/>
        <item x="801"/>
        <item x="40"/>
        <item x="1041"/>
        <item x="383"/>
        <item x="459"/>
        <item x="73"/>
        <item x="101"/>
        <item x="94"/>
        <item x="62"/>
        <item x="12"/>
        <item x="19"/>
        <item x="21"/>
        <item x="231"/>
        <item x="432"/>
        <item x="96"/>
        <item x="42"/>
        <item x="525"/>
        <item x="298"/>
        <item x="669"/>
        <item x="990"/>
        <item x="968"/>
        <item x="622"/>
        <item x="747"/>
        <item x="265"/>
        <item x="678"/>
        <item x="838"/>
        <item x="345"/>
        <item x="296"/>
        <item x="254"/>
        <item x="253"/>
        <item x="214"/>
        <item x="1042"/>
        <item x="604"/>
        <item x="340"/>
        <item x="1043"/>
        <item x="536"/>
        <item x="571"/>
        <item x="392"/>
        <item x="483"/>
        <item x="1044"/>
        <item x="400"/>
        <item x="612"/>
        <item x="464"/>
        <item x="601"/>
        <item x="603"/>
        <item x="575"/>
        <item x="344"/>
        <item x="538"/>
        <item x="373"/>
        <item x="574"/>
        <item x="175"/>
        <item x="431"/>
        <item x="703"/>
        <item x="623"/>
        <item x="249"/>
        <item x="890"/>
        <item x="861"/>
        <item x="948"/>
        <item x="945"/>
        <item x="946"/>
        <item x="916"/>
        <item x="956"/>
        <item x="941"/>
        <item x="969"/>
        <item x="976"/>
        <item x="930"/>
        <item x="920"/>
        <item x="950"/>
        <item x="964"/>
        <item x="977"/>
        <item x="869"/>
        <item x="891"/>
        <item x="974"/>
        <item x="961"/>
        <item x="970"/>
        <item x="827"/>
        <item x="959"/>
        <item x="944"/>
        <item x="978"/>
        <item x="907"/>
        <item x="972"/>
        <item x="908"/>
        <item x="971"/>
        <item x="951"/>
        <item x="983"/>
        <item x="937"/>
        <item x="1045"/>
        <item x="109"/>
        <item x="423"/>
        <item x="1046"/>
        <item x="719"/>
        <item x="692"/>
        <item x="46"/>
        <item x="702"/>
        <item x="829"/>
        <item x="806"/>
        <item x="99"/>
        <item x="257"/>
        <item x="239"/>
        <item x="694"/>
        <item x="359"/>
        <item x="365"/>
        <item x="221"/>
        <item x="190"/>
        <item x="313"/>
        <item x="118"/>
        <item x="243"/>
        <item x="512"/>
        <item x="788"/>
        <item x="842"/>
        <item x="68"/>
        <item x="535"/>
        <item x="508"/>
        <item x="846"/>
        <item x="49"/>
        <item x="707"/>
        <item x="684"/>
        <item x="161"/>
        <item x="212"/>
        <item x="690"/>
        <item x="798"/>
        <item x="682"/>
        <item x="848"/>
        <item x="1048"/>
        <item x="1047"/>
        <item x="502"/>
        <item x="377"/>
        <item x="935"/>
        <item x="765"/>
        <item x="914"/>
        <item x="659"/>
        <item x="870"/>
        <item x="742"/>
        <item x="484"/>
        <item x="198"/>
        <item x="530"/>
        <item x="903"/>
        <item x="808"/>
        <item x="754"/>
        <item x="1049"/>
        <item x="479"/>
        <item x="553"/>
        <item x="625"/>
        <item x="652"/>
        <item x="522"/>
        <item x="991"/>
        <item x="691"/>
        <item x="772"/>
        <item x="1050"/>
        <item x="429"/>
        <item x="267"/>
        <item x="929"/>
        <item x="307"/>
        <item x="712"/>
        <item x="80"/>
        <item x="482"/>
        <item x="355"/>
        <item x="1051"/>
        <item x="474"/>
        <item x="979"/>
        <item x="871"/>
        <item x="773"/>
        <item x="776"/>
        <item x="476"/>
        <item x="576"/>
        <item x="315"/>
        <item x="444"/>
        <item x="597"/>
        <item x="194"/>
        <item x="880"/>
        <item x="513"/>
        <item x="412"/>
        <item x="242"/>
        <item x="447"/>
        <item x="216"/>
        <item x="187"/>
        <item x="15"/>
        <item x="116"/>
        <item x="45"/>
        <item x="271"/>
        <item x="77"/>
        <item x="1052"/>
        <item x="582"/>
        <item x="177"/>
        <item x="28"/>
        <item x="163"/>
        <item x="263"/>
        <item x="208"/>
        <item x="20"/>
        <item x="441"/>
        <item x="831"/>
        <item x="199"/>
        <item x="452"/>
        <item x="527"/>
        <item x="70"/>
        <item x="264"/>
        <item x="477"/>
        <item x="357"/>
        <item x="182"/>
        <item x="398"/>
        <item x="112"/>
        <item x="197"/>
        <item x="1000"/>
        <item x="973"/>
        <item x="775"/>
        <item x="569"/>
        <item x="511"/>
        <item x="523"/>
        <item x="339"/>
        <item x="699"/>
        <item x="343"/>
        <item x="419"/>
        <item x="410"/>
        <item x="403"/>
        <item x="415"/>
        <item x="55"/>
        <item x="777"/>
        <item x="859"/>
        <item x="1053"/>
        <item x="892"/>
        <item x="665"/>
        <item x="416"/>
        <item x="404"/>
        <item x="219"/>
        <item x="738"/>
        <item x="599"/>
        <item x="590"/>
        <item x="851"/>
        <item x="162"/>
        <item x="497"/>
        <item x="105"/>
        <item x="238"/>
        <item x="334"/>
        <item x="889"/>
        <item x="211"/>
        <item x="913"/>
        <item x="823"/>
        <item x="710"/>
        <item x="256"/>
        <item x="804"/>
        <item x="770"/>
        <item x="906"/>
        <item x="491"/>
        <item x="129"/>
        <item x="171"/>
        <item x="984"/>
        <item x="996"/>
        <item x="170"/>
        <item x="745"/>
        <item x="1054"/>
        <item x="234"/>
        <item x="980"/>
        <item x="993"/>
        <item x="44"/>
        <item x="460"/>
        <item x="768"/>
        <item x="878"/>
        <item x="615"/>
        <item x="689"/>
        <item x="924"/>
        <item x="137"/>
        <item x="813"/>
        <item x="830"/>
        <item x="413"/>
        <item x="858"/>
        <item x="630"/>
        <item x="962"/>
        <item x="917"/>
        <item x="356"/>
        <item x="26"/>
        <item x="568"/>
        <item x="258"/>
        <item x="985"/>
        <item x="1055"/>
        <item x="802"/>
        <item x="433"/>
        <item x="837"/>
        <item x="142"/>
        <item x="648"/>
        <item x="154"/>
        <item x="998"/>
        <item x="196"/>
        <item x="587"/>
        <item x="546"/>
        <item x="1056"/>
        <item x="864"/>
        <item x="834"/>
        <item x="504"/>
        <item x="666"/>
        <item x="173"/>
        <item x="270"/>
        <item x="183"/>
        <item x="701"/>
        <item x="473"/>
        <item x="816"/>
        <item x="966"/>
        <item x="541"/>
        <item x="677"/>
        <item x="286"/>
        <item x="489"/>
        <item x="364"/>
        <item x="904"/>
        <item x="606"/>
        <item x="726"/>
        <item x="367"/>
        <item x="573"/>
        <item x="390"/>
        <item x="488"/>
        <item x="814"/>
        <item x="64"/>
        <item x="663"/>
        <item x="325"/>
        <item x="85"/>
        <item x="456"/>
        <item x="695"/>
        <item x="50"/>
        <item x="577"/>
        <item x="146"/>
        <item x="462"/>
        <item x="887"/>
        <item x="696"/>
        <item x="189"/>
        <item x="89"/>
        <item x="372"/>
        <item x="654"/>
        <item x="836"/>
        <item x="791"/>
        <item x="554"/>
        <item x="645"/>
        <item x="563"/>
        <item x="549"/>
        <item x="585"/>
        <item x="766"/>
        <item x="113"/>
        <item x="744"/>
        <item x="151"/>
        <item x="721"/>
        <item x="442"/>
        <item x="852"/>
        <item x="918"/>
        <item x="967"/>
        <item x="1057"/>
        <item x="439"/>
        <item x="1058"/>
        <item x="81"/>
        <item t="default"/>
      </items>
    </pivotField>
    <pivotField compact="0" outline="0" multipleItemSelectionAllowed="1" showAll="0"/>
    <pivotField axis="axisRow" compact="0" outline="0" multipleItemSelectionAllowed="1" showAll="0">
      <items count="7">
        <item x="2"/>
        <item x="1"/>
        <item x="5"/>
        <item x="0"/>
        <item x="3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_temp" fld="18" subtotal="countNums" baseField="0" baseItem="0"/>
    <dataField name="COUNT of id_temp2" fld="18" subtotal="countNums" showDataAs="percentOfCol" baseField="0" baseItem="0" numFmtId="10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Tabela dinâmica 3" cacheId="0" autoFormatId="1" applyNumberFormats="0" applyBorderFormats="0" applyFontFormats="0" applyPatternFormats="0" applyAlignmentFormats="0" applyWidthHeightFormats="1" dataCaption="" updatedVersion="5" compact="0" compactData="0" showDrill="1">
  <location ref="A1:C1062" firstHeaderRow="1" firstDataRow="1" firstDataCol="2"/>
  <pivotFields count="43">
    <pivotField axis="axisRow" compact="0" defaultSubtotal="0" outline="0" multipleItemSelectionAllowed="1" showAll="0">
      <items count="1059">
        <item x="895"/>
        <item x="581"/>
        <item x="676"/>
        <item x="881"/>
        <item x="204"/>
        <item x="817"/>
        <item x="957"/>
        <item x="440"/>
        <item x="835"/>
        <item x="938"/>
        <item x="305"/>
        <item x="733"/>
        <item x="472"/>
        <item x="168"/>
        <item x="490"/>
        <item x="748"/>
        <item x="783"/>
        <item x="424"/>
        <item x="422"/>
        <item x="551"/>
        <item x="2"/>
        <item x="418"/>
        <item x="246"/>
        <item x="37"/>
        <item x="311"/>
        <item x="854"/>
        <item x="994"/>
        <item x="720"/>
        <item x="893"/>
        <item x="1001"/>
        <item x="1002"/>
        <item x="828"/>
        <item x="644"/>
        <item x="731"/>
        <item x="207"/>
        <item x="233"/>
        <item x="147"/>
        <item x="114"/>
        <item x="366"/>
        <item x="303"/>
        <item x="247"/>
        <item x="763"/>
        <item x="809"/>
        <item x="1003"/>
        <item x="149"/>
        <item x="727"/>
        <item x="379"/>
        <item x="179"/>
        <item x="51"/>
        <item x="174"/>
        <item x="1004"/>
        <item x="609"/>
        <item x="700"/>
        <item x="797"/>
        <item x="896"/>
        <item x="715"/>
        <item x="560"/>
        <item x="155"/>
        <item x="209"/>
        <item x="461"/>
        <item x="273"/>
        <item x="54"/>
        <item x="764"/>
        <item x="143"/>
        <item x="1005"/>
        <item x="76"/>
        <item x="882"/>
        <item x="926"/>
        <item x="679"/>
        <item x="899"/>
        <item x="382"/>
        <item x="144"/>
        <item x="534"/>
        <item x="260"/>
        <item x="717"/>
        <item x="292"/>
        <item x="544"/>
        <item x="843"/>
        <item x="849"/>
        <item x="921"/>
        <item x="565"/>
        <item x="443"/>
        <item x="235"/>
        <item x="245"/>
        <item x="658"/>
        <item x="671"/>
        <item x="634"/>
        <item x="953"/>
        <item x="393"/>
        <item x="409"/>
        <item x="302"/>
        <item x="528"/>
        <item x="164"/>
        <item x="635"/>
        <item x="1006"/>
        <item x="446"/>
        <item x="785"/>
        <item x="561"/>
        <item x="670"/>
        <item x="0"/>
        <item x="496"/>
        <item x="579"/>
        <item x="318"/>
        <item x="901"/>
        <item x="65"/>
        <item x="386"/>
        <item x="391"/>
        <item x="178"/>
        <item x="34"/>
        <item x="686"/>
        <item x="862"/>
        <item x="845"/>
        <item x="1007"/>
        <item x="693"/>
        <item x="389"/>
        <item x="82"/>
        <item x="471"/>
        <item x="537"/>
        <item x="98"/>
        <item x="75"/>
        <item x="627"/>
        <item x="282"/>
        <item x="156"/>
        <item x="351"/>
        <item x="319"/>
        <item x="885"/>
        <item x="898"/>
        <item x="288"/>
        <item x="172"/>
        <item x="811"/>
        <item x="69"/>
        <item x="605"/>
        <item x="756"/>
        <item x="548"/>
        <item x="919"/>
        <item x="499"/>
        <item x="857"/>
        <item x="559"/>
        <item x="832"/>
        <item x="1008"/>
        <item x="578"/>
        <item x="252"/>
        <item x="110"/>
        <item x="84"/>
        <item x="278"/>
        <item x="795"/>
        <item x="107"/>
        <item x="592"/>
        <item x="514"/>
        <item x="698"/>
        <item x="450"/>
        <item x="821"/>
        <item x="248"/>
        <item x="927"/>
        <item x="274"/>
        <item x="13"/>
        <item x="29"/>
        <item x="868"/>
        <item x="280"/>
        <item x="1009"/>
        <item x="421"/>
        <item x="115"/>
        <item x="352"/>
        <item x="67"/>
        <item x="127"/>
        <item x="794"/>
        <item x="886"/>
        <item x="789"/>
        <item x="960"/>
        <item x="807"/>
        <item x="626"/>
        <item x="24"/>
        <item x="203"/>
        <item x="38"/>
        <item x="43"/>
        <item x="106"/>
        <item x="660"/>
        <item x="152"/>
        <item x="176"/>
        <item x="653"/>
        <item x="434"/>
        <item x="215"/>
        <item x="481"/>
        <item x="784"/>
        <item x="933"/>
        <item x="394"/>
        <item x="664"/>
        <item x="767"/>
        <item x="949"/>
        <item x="883"/>
        <item x="955"/>
        <item x="874"/>
        <item x="157"/>
        <item x="39"/>
        <item x="387"/>
        <item x="117"/>
        <item x="629"/>
        <item x="818"/>
        <item x="614"/>
        <item x="779"/>
        <item x="542"/>
        <item x="820"/>
        <item x="466"/>
        <item x="181"/>
        <item x="636"/>
        <item x="397"/>
        <item x="844"/>
        <item x="88"/>
        <item x="222"/>
        <item x="284"/>
        <item x="17"/>
        <item x="395"/>
        <item x="128"/>
        <item x="445"/>
        <item x="362"/>
        <item x="1010"/>
        <item x="57"/>
        <item x="167"/>
        <item x="141"/>
        <item x="803"/>
        <item x="902"/>
        <item x="774"/>
        <item x="910"/>
        <item x="306"/>
        <item x="752"/>
        <item x="72"/>
        <item x="925"/>
        <item x="668"/>
        <item x="729"/>
        <item x="877"/>
        <item x="480"/>
        <item x="800"/>
        <item x="1011"/>
        <item x="841"/>
        <item x="350"/>
        <item x="136"/>
        <item x="510"/>
        <item x="293"/>
        <item x="787"/>
        <item x="165"/>
        <item x="487"/>
        <item x="506"/>
        <item x="822"/>
        <item x="621"/>
        <item x="131"/>
        <item x="371"/>
        <item x="725"/>
        <item x="108"/>
        <item x="952"/>
        <item x="1012"/>
        <item x="631"/>
        <item x="232"/>
        <item x="839"/>
        <item x="324"/>
        <item x="954"/>
        <item x="470"/>
        <item x="428"/>
        <item x="475"/>
        <item x="8"/>
        <item x="331"/>
        <item x="228"/>
        <item x="91"/>
        <item x="48"/>
        <item x="336"/>
        <item x="205"/>
        <item x="633"/>
        <item x="992"/>
        <item x="376"/>
        <item x="87"/>
        <item x="759"/>
        <item x="130"/>
        <item x="757"/>
        <item x="27"/>
        <item x="736"/>
        <item x="824"/>
        <item x="493"/>
        <item x="330"/>
        <item x="485"/>
        <item x="297"/>
        <item x="900"/>
        <item x="540"/>
        <item x="894"/>
        <item x="341"/>
        <item x="724"/>
        <item x="740"/>
        <item x="399"/>
        <item x="863"/>
        <item x="262"/>
        <item x="269"/>
        <item x="790"/>
        <item x="786"/>
        <item x="755"/>
        <item x="1013"/>
        <item x="876"/>
        <item x="708"/>
        <item x="140"/>
        <item x="454"/>
        <item x="312"/>
        <item x="567"/>
        <item x="200"/>
        <item x="347"/>
        <item x="396"/>
        <item x="912"/>
        <item x="300"/>
        <item x="981"/>
        <item x="543"/>
        <item x="455"/>
        <item x="610"/>
        <item x="58"/>
        <item x="545"/>
        <item x="289"/>
        <item x="180"/>
        <item x="533"/>
        <item x="584"/>
        <item x="639"/>
        <item x="213"/>
        <item x="1014"/>
        <item x="687"/>
        <item x="458"/>
        <item x="539"/>
        <item x="406"/>
        <item x="799"/>
        <item x="939"/>
        <item x="145"/>
        <item x="308"/>
        <item x="705"/>
        <item x="723"/>
        <item x="515"/>
        <item x="259"/>
        <item x="401"/>
        <item x="86"/>
        <item x="230"/>
        <item x="596"/>
        <item x="655"/>
        <item x="642"/>
        <item x="320"/>
        <item x="467"/>
        <item x="995"/>
        <item x="672"/>
        <item x="718"/>
        <item x="761"/>
        <item x="1015"/>
        <item x="975"/>
        <item x="1016"/>
        <item x="999"/>
        <item x="1017"/>
        <item x="988"/>
        <item x="301"/>
        <item x="753"/>
        <item x="266"/>
        <item x="875"/>
        <item x="519"/>
        <item x="728"/>
        <item x="201"/>
        <item x="299"/>
        <item x="942"/>
        <item x="358"/>
        <item x="436"/>
        <item x="281"/>
        <item x="735"/>
        <item x="805"/>
        <item x="435"/>
        <item x="620"/>
        <item x="492"/>
        <item x="792"/>
        <item x="850"/>
        <item x="905"/>
        <item x="121"/>
        <item x="867"/>
        <item x="349"/>
        <item x="749"/>
        <item x="188"/>
        <item x="1018"/>
        <item x="866"/>
        <item x="463"/>
        <item x="529"/>
        <item x="501"/>
        <item x="126"/>
        <item x="619"/>
        <item x="206"/>
        <item x="853"/>
        <item x="531"/>
        <item x="782"/>
        <item x="1019"/>
        <item x="711"/>
        <item x="928"/>
        <item x="294"/>
        <item x="469"/>
        <item x="338"/>
        <item x="989"/>
        <item x="638"/>
        <item x="856"/>
        <item x="884"/>
        <item x="550"/>
        <item x="241"/>
        <item x="552"/>
        <item x="509"/>
        <item x="943"/>
        <item x="427"/>
        <item x="647"/>
        <item x="716"/>
        <item x="185"/>
        <item x="873"/>
        <item x="888"/>
        <item x="326"/>
        <item x="564"/>
        <item x="408"/>
        <item x="680"/>
        <item x="662"/>
        <item x="706"/>
        <item x="287"/>
        <item x="734"/>
        <item x="730"/>
        <item x="449"/>
        <item x="532"/>
        <item x="572"/>
        <item x="963"/>
        <item x="277"/>
        <item x="628"/>
        <item x="657"/>
        <item x="193"/>
        <item x="60"/>
        <item x="722"/>
        <item x="600"/>
        <item x="591"/>
        <item x="780"/>
        <item x="922"/>
        <item x="4"/>
        <item x="667"/>
        <item x="688"/>
        <item x="226"/>
        <item x="1020"/>
        <item x="316"/>
        <item x="56"/>
        <item x="503"/>
        <item x="872"/>
        <item x="32"/>
        <item x="709"/>
        <item x="498"/>
        <item x="826"/>
        <item x="594"/>
        <item x="138"/>
        <item x="448"/>
        <item x="378"/>
        <item x="124"/>
        <item x="240"/>
        <item x="328"/>
        <item x="220"/>
        <item x="158"/>
        <item x="95"/>
        <item x="931"/>
        <item x="5"/>
        <item x="225"/>
        <item x="911"/>
        <item x="414"/>
        <item x="608"/>
        <item x="255"/>
        <item x="714"/>
        <item x="958"/>
        <item x="295"/>
        <item x="704"/>
        <item x="268"/>
        <item x="1021"/>
        <item x="186"/>
        <item x="771"/>
        <item x="997"/>
        <item x="656"/>
        <item x="309"/>
        <item x="66"/>
        <item x="71"/>
        <item x="346"/>
        <item x="860"/>
        <item x="229"/>
        <item x="47"/>
        <item x="97"/>
        <item x="90"/>
        <item x="500"/>
        <item x="1022"/>
        <item x="675"/>
        <item x="965"/>
        <item x="865"/>
        <item x="685"/>
        <item x="595"/>
        <item x="237"/>
        <item x="251"/>
        <item x="793"/>
        <item x="637"/>
        <item x="986"/>
        <item x="580"/>
        <item x="661"/>
        <item x="505"/>
        <item x="348"/>
        <item x="425"/>
        <item x="613"/>
        <item x="323"/>
        <item x="760"/>
        <item x="778"/>
        <item x="384"/>
        <item x="987"/>
        <item x="314"/>
        <item x="236"/>
        <item x="52"/>
        <item x="290"/>
        <item x="524"/>
        <item x="566"/>
        <item x="332"/>
        <item x="468"/>
        <item x="244"/>
        <item x="1023"/>
        <item x="135"/>
        <item x="520"/>
        <item x="934"/>
        <item x="192"/>
        <item x="160"/>
        <item x="588"/>
        <item x="847"/>
        <item x="317"/>
        <item x="380"/>
        <item x="437"/>
        <item x="457"/>
        <item x="683"/>
        <item x="936"/>
        <item x="166"/>
        <item x="374"/>
        <item x="1024"/>
        <item x="812"/>
        <item x="486"/>
        <item x="426"/>
        <item x="521"/>
        <item x="570"/>
        <item x="148"/>
        <item x="737"/>
        <item x="1025"/>
        <item x="640"/>
        <item x="781"/>
        <item x="651"/>
        <item x="518"/>
        <item x="1026"/>
        <item x="855"/>
        <item x="982"/>
        <item x="909"/>
        <item x="758"/>
        <item x="558"/>
        <item x="732"/>
        <item x="915"/>
        <item x="438"/>
        <item x="353"/>
        <item x="940"/>
        <item x="681"/>
        <item x="617"/>
        <item x="825"/>
        <item x="602"/>
        <item x="674"/>
        <item x="342"/>
        <item x="337"/>
        <item x="516"/>
        <item x="150"/>
        <item x="31"/>
        <item x="41"/>
        <item x="184"/>
        <item x="132"/>
        <item x="14"/>
        <item x="53"/>
        <item x="3"/>
        <item x="35"/>
        <item x="33"/>
        <item x="119"/>
        <item x="125"/>
        <item x="1027"/>
        <item x="83"/>
        <item x="1028"/>
        <item x="25"/>
        <item x="23"/>
        <item x="30"/>
        <item x="59"/>
        <item x="122"/>
        <item x="283"/>
        <item x="9"/>
        <item x="1"/>
        <item x="159"/>
        <item x="641"/>
        <item x="616"/>
        <item x="74"/>
        <item x="329"/>
        <item x="78"/>
        <item x="285"/>
        <item x="589"/>
        <item x="1029"/>
        <item x="100"/>
        <item x="1030"/>
        <item x="555"/>
        <item x="417"/>
        <item x="1031"/>
        <item x="202"/>
        <item x="327"/>
        <item x="11"/>
        <item x="1034"/>
        <item x="361"/>
        <item x="586"/>
        <item x="10"/>
        <item x="123"/>
        <item x="103"/>
        <item x="61"/>
        <item x="562"/>
        <item x="363"/>
        <item x="1032"/>
        <item x="291"/>
        <item x="93"/>
        <item x="22"/>
        <item x="388"/>
        <item x="304"/>
        <item x="557"/>
        <item x="697"/>
        <item x="750"/>
        <item x="879"/>
        <item x="430"/>
        <item x="517"/>
        <item x="360"/>
        <item x="1035"/>
        <item x="624"/>
        <item x="139"/>
        <item x="63"/>
        <item x="598"/>
        <item x="815"/>
        <item x="741"/>
        <item x="556"/>
        <item x="1036"/>
        <item x="261"/>
        <item x="275"/>
        <item x="465"/>
        <item x="1033"/>
        <item x="420"/>
        <item x="1037"/>
        <item x="478"/>
        <item x="335"/>
        <item x="739"/>
        <item x="250"/>
        <item x="217"/>
        <item x="368"/>
        <item x="79"/>
        <item x="223"/>
        <item x="1038"/>
        <item x="153"/>
        <item x="1039"/>
        <item x="279"/>
        <item x="210"/>
        <item x="276"/>
        <item x="18"/>
        <item x="16"/>
        <item x="411"/>
        <item x="224"/>
        <item x="769"/>
        <item x="370"/>
        <item x="92"/>
        <item x="102"/>
        <item x="104"/>
        <item x="402"/>
        <item x="272"/>
        <item x="7"/>
        <item x="111"/>
        <item x="743"/>
        <item x="646"/>
        <item x="451"/>
        <item x="120"/>
        <item x="632"/>
        <item x="796"/>
        <item x="507"/>
        <item x="810"/>
        <item x="611"/>
        <item x="333"/>
        <item x="322"/>
        <item x="923"/>
        <item x="649"/>
        <item x="218"/>
        <item x="643"/>
        <item x="650"/>
        <item x="310"/>
        <item x="833"/>
        <item x="897"/>
        <item x="746"/>
        <item x="547"/>
        <item x="375"/>
        <item x="751"/>
        <item x="385"/>
        <item x="407"/>
        <item x="932"/>
        <item x="618"/>
        <item x="6"/>
        <item x="494"/>
        <item x="36"/>
        <item x="1040"/>
        <item x="947"/>
        <item x="673"/>
        <item x="354"/>
        <item x="840"/>
        <item x="526"/>
        <item x="381"/>
        <item x="762"/>
        <item x="195"/>
        <item x="495"/>
        <item x="169"/>
        <item x="134"/>
        <item x="369"/>
        <item x="133"/>
        <item x="227"/>
        <item x="607"/>
        <item x="593"/>
        <item x="405"/>
        <item x="819"/>
        <item x="453"/>
        <item x="191"/>
        <item x="713"/>
        <item x="583"/>
        <item x="321"/>
        <item x="801"/>
        <item x="40"/>
        <item x="1041"/>
        <item x="383"/>
        <item x="459"/>
        <item x="73"/>
        <item x="101"/>
        <item x="94"/>
        <item x="62"/>
        <item x="12"/>
        <item x="19"/>
        <item x="21"/>
        <item x="231"/>
        <item x="432"/>
        <item x="96"/>
        <item x="42"/>
        <item x="525"/>
        <item x="298"/>
        <item x="669"/>
        <item x="990"/>
        <item x="968"/>
        <item x="622"/>
        <item x="747"/>
        <item x="265"/>
        <item x="678"/>
        <item x="838"/>
        <item x="345"/>
        <item x="296"/>
        <item x="254"/>
        <item x="253"/>
        <item x="214"/>
        <item x="1042"/>
        <item x="604"/>
        <item x="340"/>
        <item x="1043"/>
        <item x="536"/>
        <item x="571"/>
        <item x="392"/>
        <item x="483"/>
        <item x="1044"/>
        <item x="400"/>
        <item x="612"/>
        <item x="464"/>
        <item x="601"/>
        <item x="603"/>
        <item x="575"/>
        <item x="344"/>
        <item x="538"/>
        <item x="373"/>
        <item x="574"/>
        <item x="175"/>
        <item x="431"/>
        <item x="703"/>
        <item x="623"/>
        <item x="249"/>
        <item x="890"/>
        <item x="861"/>
        <item x="948"/>
        <item x="945"/>
        <item x="946"/>
        <item x="916"/>
        <item x="956"/>
        <item x="941"/>
        <item x="969"/>
        <item x="976"/>
        <item x="930"/>
        <item x="920"/>
        <item x="950"/>
        <item x="964"/>
        <item x="977"/>
        <item x="869"/>
        <item x="891"/>
        <item x="974"/>
        <item x="961"/>
        <item x="970"/>
        <item x="827"/>
        <item x="959"/>
        <item x="944"/>
        <item x="978"/>
        <item x="907"/>
        <item x="972"/>
        <item x="908"/>
        <item x="971"/>
        <item x="951"/>
        <item x="983"/>
        <item x="937"/>
        <item x="1045"/>
        <item x="109"/>
        <item x="423"/>
        <item x="1046"/>
        <item x="719"/>
        <item x="692"/>
        <item x="46"/>
        <item x="702"/>
        <item x="829"/>
        <item x="806"/>
        <item x="99"/>
        <item x="257"/>
        <item x="239"/>
        <item x="694"/>
        <item x="359"/>
        <item x="365"/>
        <item x="221"/>
        <item x="190"/>
        <item x="313"/>
        <item x="118"/>
        <item x="243"/>
        <item x="512"/>
        <item x="788"/>
        <item x="842"/>
        <item x="68"/>
        <item x="535"/>
        <item x="508"/>
        <item x="846"/>
        <item x="49"/>
        <item x="707"/>
        <item x="684"/>
        <item x="161"/>
        <item x="212"/>
        <item x="690"/>
        <item x="798"/>
        <item x="682"/>
        <item x="848"/>
        <item x="1048"/>
        <item x="1047"/>
        <item x="502"/>
        <item x="377"/>
        <item x="935"/>
        <item x="765"/>
        <item x="914"/>
        <item x="659"/>
        <item x="870"/>
        <item x="742"/>
        <item x="484"/>
        <item x="198"/>
        <item x="530"/>
        <item x="903"/>
        <item x="808"/>
        <item x="754"/>
        <item x="1049"/>
        <item x="479"/>
        <item x="553"/>
        <item x="625"/>
        <item x="652"/>
        <item x="522"/>
        <item x="991"/>
        <item x="691"/>
        <item x="772"/>
        <item x="1050"/>
        <item x="429"/>
        <item x="267"/>
        <item x="929"/>
        <item x="307"/>
        <item x="712"/>
        <item x="80"/>
        <item x="482"/>
        <item x="355"/>
        <item x="1051"/>
        <item x="474"/>
        <item x="979"/>
        <item x="871"/>
        <item x="773"/>
        <item x="776"/>
        <item x="476"/>
        <item x="576"/>
        <item x="315"/>
        <item x="444"/>
        <item x="597"/>
        <item x="194"/>
        <item x="880"/>
        <item x="513"/>
        <item x="412"/>
        <item x="242"/>
        <item x="447"/>
        <item x="216"/>
        <item x="187"/>
        <item x="15"/>
        <item x="116"/>
        <item x="45"/>
        <item x="271"/>
        <item x="77"/>
        <item x="1052"/>
        <item x="582"/>
        <item x="177"/>
        <item x="28"/>
        <item x="163"/>
        <item x="263"/>
        <item x="208"/>
        <item x="20"/>
        <item x="441"/>
        <item x="831"/>
        <item x="199"/>
        <item x="452"/>
        <item x="527"/>
        <item x="70"/>
        <item x="264"/>
        <item x="477"/>
        <item x="357"/>
        <item x="182"/>
        <item x="398"/>
        <item x="112"/>
        <item x="197"/>
        <item x="1000"/>
        <item x="973"/>
        <item x="775"/>
        <item x="569"/>
        <item x="511"/>
        <item x="523"/>
        <item x="339"/>
        <item x="699"/>
        <item x="343"/>
        <item x="419"/>
        <item x="410"/>
        <item x="403"/>
        <item x="415"/>
        <item x="55"/>
        <item x="777"/>
        <item x="859"/>
        <item x="1053"/>
        <item x="892"/>
        <item x="665"/>
        <item x="416"/>
        <item x="404"/>
        <item x="219"/>
        <item x="738"/>
        <item x="599"/>
        <item x="590"/>
        <item x="851"/>
        <item x="162"/>
        <item x="497"/>
        <item x="105"/>
        <item x="238"/>
        <item x="334"/>
        <item x="889"/>
        <item x="211"/>
        <item x="913"/>
        <item x="823"/>
        <item x="710"/>
        <item x="256"/>
        <item x="804"/>
        <item x="770"/>
        <item x="906"/>
        <item x="491"/>
        <item x="129"/>
        <item x="171"/>
        <item x="984"/>
        <item x="996"/>
        <item x="170"/>
        <item x="745"/>
        <item x="1054"/>
        <item x="234"/>
        <item x="980"/>
        <item x="993"/>
        <item x="44"/>
        <item x="460"/>
        <item x="768"/>
        <item x="878"/>
        <item x="615"/>
        <item x="689"/>
        <item x="924"/>
        <item x="137"/>
        <item x="813"/>
        <item x="830"/>
        <item x="413"/>
        <item x="858"/>
        <item x="630"/>
        <item x="962"/>
        <item x="917"/>
        <item x="356"/>
        <item x="26"/>
        <item x="568"/>
        <item x="258"/>
        <item x="985"/>
        <item x="1055"/>
        <item x="802"/>
        <item x="433"/>
        <item x="837"/>
        <item x="142"/>
        <item x="648"/>
        <item x="154"/>
        <item x="998"/>
        <item x="196"/>
        <item x="587"/>
        <item x="546"/>
        <item x="1056"/>
        <item x="864"/>
        <item x="834"/>
        <item x="504"/>
        <item x="666"/>
        <item x="173"/>
        <item x="270"/>
        <item x="183"/>
        <item x="701"/>
        <item x="473"/>
        <item x="816"/>
        <item x="966"/>
        <item x="541"/>
        <item x="677"/>
        <item x="286"/>
        <item x="489"/>
        <item x="364"/>
        <item x="904"/>
        <item x="606"/>
        <item x="726"/>
        <item x="367"/>
        <item x="573"/>
        <item x="390"/>
        <item x="488"/>
        <item x="814"/>
        <item x="64"/>
        <item x="663"/>
        <item x="325"/>
        <item x="85"/>
        <item x="456"/>
        <item x="695"/>
        <item x="50"/>
        <item x="577"/>
        <item x="146"/>
        <item x="462"/>
        <item x="887"/>
        <item x="696"/>
        <item x="189"/>
        <item x="89"/>
        <item x="372"/>
        <item x="654"/>
        <item x="836"/>
        <item x="791"/>
        <item x="554"/>
        <item x="645"/>
        <item x="563"/>
        <item x="549"/>
        <item x="585"/>
        <item x="766"/>
        <item x="113"/>
        <item x="744"/>
        <item x="151"/>
        <item x="721"/>
        <item x="442"/>
        <item x="852"/>
        <item x="918"/>
        <item x="967"/>
        <item x="1057"/>
        <item x="439"/>
        <item x="1058"/>
        <item x="81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dataField="1" compact="0" outline="0" multipleItemSelectionAllowed="1" showAll="0">
      <items count="866">
        <item x="774"/>
        <item x="831"/>
        <item x="830"/>
        <item x="829"/>
        <item x="828"/>
        <item x="827"/>
        <item x="826"/>
        <item x="825"/>
        <item x="824"/>
        <item x="781"/>
        <item x="823"/>
        <item x="809"/>
        <item x="816"/>
        <item x="819"/>
        <item x="822"/>
        <item x="820"/>
        <item x="821"/>
        <item x="792"/>
        <item x="818"/>
        <item x="817"/>
        <item x="815"/>
        <item x="813"/>
        <item x="814"/>
        <item x="790"/>
        <item x="812"/>
        <item x="811"/>
        <item x="810"/>
        <item x="808"/>
        <item x="807"/>
        <item x="804"/>
        <item x="805"/>
        <item x="806"/>
        <item x="801"/>
        <item x="803"/>
        <item x="695"/>
        <item x="802"/>
        <item x="793"/>
        <item x="799"/>
        <item x="800"/>
        <item x="797"/>
        <item x="596"/>
        <item x="798"/>
        <item x="764"/>
        <item x="796"/>
        <item x="795"/>
        <item x="794"/>
        <item x="752"/>
        <item x="791"/>
        <item x="661"/>
        <item x="747"/>
        <item x="789"/>
        <item x="788"/>
        <item x="787"/>
        <item x="786"/>
        <item x="765"/>
        <item x="785"/>
        <item x="778"/>
        <item x="784"/>
        <item x="783"/>
        <item x="739"/>
        <item x="775"/>
        <item x="782"/>
        <item x="780"/>
        <item x="779"/>
        <item x="777"/>
        <item x="776"/>
        <item x="770"/>
        <item x="773"/>
        <item x="767"/>
        <item x="772"/>
        <item x="771"/>
        <item x="722"/>
        <item x="746"/>
        <item x="769"/>
        <item x="863"/>
        <item x="768"/>
        <item x="763"/>
        <item x="762"/>
        <item x="766"/>
        <item x="750"/>
        <item x="758"/>
        <item x="760"/>
        <item x="761"/>
        <item x="755"/>
        <item x="759"/>
        <item x="757"/>
        <item x="756"/>
        <item x="754"/>
        <item x="718"/>
        <item x="844"/>
        <item x="741"/>
        <item x="753"/>
        <item x="744"/>
        <item x="749"/>
        <item x="751"/>
        <item x="748"/>
        <item x="740"/>
        <item x="742"/>
        <item x="729"/>
        <item x="745"/>
        <item x="743"/>
        <item x="694"/>
        <item x="738"/>
        <item x="588"/>
        <item x="735"/>
        <item x="737"/>
        <item x="736"/>
        <item x="734"/>
        <item x="733"/>
        <item x="732"/>
        <item x="726"/>
        <item x="709"/>
        <item x="728"/>
        <item x="730"/>
        <item x="731"/>
        <item x="727"/>
        <item x="646"/>
        <item x="725"/>
        <item x="707"/>
        <item x="724"/>
        <item x="495"/>
        <item x="719"/>
        <item x="723"/>
        <item x="720"/>
        <item x="721"/>
        <item x="705"/>
        <item x="703"/>
        <item x="685"/>
        <item x="716"/>
        <item x="712"/>
        <item x="717"/>
        <item x="688"/>
        <item x="713"/>
        <item x="715"/>
        <item x="674"/>
        <item x="714"/>
        <item x="711"/>
        <item x="710"/>
        <item x="701"/>
        <item x="708"/>
        <item x="704"/>
        <item x="706"/>
        <item x="702"/>
        <item x="677"/>
        <item x="700"/>
        <item x="699"/>
        <item x="696"/>
        <item x="698"/>
        <item x="697"/>
        <item x="837"/>
        <item x="686"/>
        <item x="502"/>
        <item x="690"/>
        <item x="692"/>
        <item x="693"/>
        <item x="691"/>
        <item x="536"/>
        <item x="689"/>
        <item x="665"/>
        <item x="666"/>
        <item x="675"/>
        <item x="657"/>
        <item x="687"/>
        <item x="678"/>
        <item x="655"/>
        <item x="684"/>
        <item x="683"/>
        <item x="682"/>
        <item x="679"/>
        <item x="681"/>
        <item x="680"/>
        <item x="676"/>
        <item x="592"/>
        <item x="670"/>
        <item x="672"/>
        <item x="673"/>
        <item x="669"/>
        <item x="667"/>
        <item x="671"/>
        <item x="546"/>
        <item x="668"/>
        <item x="664"/>
        <item x="834"/>
        <item x="663"/>
        <item x="660"/>
        <item x="662"/>
        <item x="625"/>
        <item x="658"/>
        <item x="840"/>
        <item x="659"/>
        <item x="656"/>
        <item x="654"/>
        <item x="643"/>
        <item x="653"/>
        <item x="652"/>
        <item x="605"/>
        <item x="651"/>
        <item x="649"/>
        <item x="650"/>
        <item x="632"/>
        <item x="640"/>
        <item x="648"/>
        <item x="644"/>
        <item x="647"/>
        <item x="564"/>
        <item x="645"/>
        <item x="642"/>
        <item x="641"/>
        <item x="556"/>
        <item x="637"/>
        <item x="639"/>
        <item x="638"/>
        <item x="634"/>
        <item x="636"/>
        <item x="631"/>
        <item x="635"/>
        <item x="633"/>
        <item x="561"/>
        <item x="628"/>
        <item x="619"/>
        <item x="630"/>
        <item x="629"/>
        <item x="613"/>
        <item x="624"/>
        <item x="627"/>
        <item x="626"/>
        <item x="565"/>
        <item x="621"/>
        <item x="623"/>
        <item x="602"/>
        <item x="622"/>
        <item x="620"/>
        <item x="615"/>
        <item x="618"/>
        <item x="555"/>
        <item x="612"/>
        <item x="617"/>
        <item x="616"/>
        <item x="600"/>
        <item x="594"/>
        <item x="614"/>
        <item x="610"/>
        <item x="604"/>
        <item x="611"/>
        <item x="609"/>
        <item x="607"/>
        <item x="608"/>
        <item x="595"/>
        <item x="577"/>
        <item x="606"/>
        <item x="562"/>
        <item x="601"/>
        <item x="603"/>
        <item x="599"/>
        <item x="598"/>
        <item x="593"/>
        <item x="568"/>
        <item x="589"/>
        <item x="597"/>
        <item x="582"/>
        <item x="591"/>
        <item x="590"/>
        <item x="531"/>
        <item x="576"/>
        <item x="447"/>
        <item x="201"/>
        <item x="497"/>
        <item x="572"/>
        <item x="587"/>
        <item x="585"/>
        <item x="339"/>
        <item x="504"/>
        <item x="586"/>
        <item x="584"/>
        <item x="583"/>
        <item x="860"/>
        <item x="579"/>
        <item x="580"/>
        <item x="581"/>
        <item x="563"/>
        <item x="578"/>
        <item x="551"/>
        <item x="575"/>
        <item x="573"/>
        <item x="543"/>
        <item x="574"/>
        <item x="571"/>
        <item x="558"/>
        <item x="567"/>
        <item x="570"/>
        <item x="569"/>
        <item x="566"/>
        <item x="553"/>
        <item x="552"/>
        <item x="560"/>
        <item x="112"/>
        <item x="511"/>
        <item x="559"/>
        <item x="557"/>
        <item x="554"/>
        <item x="549"/>
        <item x="547"/>
        <item x="520"/>
        <item x="550"/>
        <item x="548"/>
        <item x="509"/>
        <item x="469"/>
        <item x="545"/>
        <item x="544"/>
        <item x="523"/>
        <item x="542"/>
        <item x="541"/>
        <item x="535"/>
        <item x="516"/>
        <item x="540"/>
        <item x="539"/>
        <item x="538"/>
        <item x="537"/>
        <item x="534"/>
        <item x="323"/>
        <item x="532"/>
        <item x="484"/>
        <item x="513"/>
        <item x="533"/>
        <item x="530"/>
        <item x="529"/>
        <item x="519"/>
        <item x="527"/>
        <item x="857"/>
        <item x="528"/>
        <item x="526"/>
        <item x="525"/>
        <item x="517"/>
        <item x="524"/>
        <item x="435"/>
        <item x="408"/>
        <item x="521"/>
        <item x="522"/>
        <item x="510"/>
        <item x="462"/>
        <item x="501"/>
        <item x="467"/>
        <item x="439"/>
        <item x="518"/>
        <item x="512"/>
        <item x="515"/>
        <item x="445"/>
        <item x="862"/>
        <item x="514"/>
        <item x="460"/>
        <item x="508"/>
        <item x="506"/>
        <item x="465"/>
        <item x="496"/>
        <item x="507"/>
        <item x="505"/>
        <item x="490"/>
        <item x="503"/>
        <item x="499"/>
        <item x="500"/>
        <item x="498"/>
        <item x="845"/>
        <item x="494"/>
        <item x="477"/>
        <item x="446"/>
        <item x="493"/>
        <item x="492"/>
        <item x="856"/>
        <item x="491"/>
        <item x="479"/>
        <item x="489"/>
        <item x="466"/>
        <item x="487"/>
        <item x="488"/>
        <item x="457"/>
        <item x="485"/>
        <item x="459"/>
        <item x="486"/>
        <item x="861"/>
        <item x="475"/>
        <item x="483"/>
        <item x="433"/>
        <item x="482"/>
        <item x="842"/>
        <item x="478"/>
        <item x="481"/>
        <item x="355"/>
        <item x="480"/>
        <item x="455"/>
        <item x="476"/>
        <item x="474"/>
        <item x="473"/>
        <item x="472"/>
        <item x="471"/>
        <item x="470"/>
        <item x="371"/>
        <item x="838"/>
        <item x="468"/>
        <item x="463"/>
        <item x="464"/>
        <item x="422"/>
        <item x="400"/>
        <item x="461"/>
        <item x="383"/>
        <item x="425"/>
        <item x="434"/>
        <item x="427"/>
        <item x="424"/>
        <item x="453"/>
        <item x="458"/>
        <item x="456"/>
        <item x="395"/>
        <item x="454"/>
        <item x="448"/>
        <item x="451"/>
        <item x="452"/>
        <item x="450"/>
        <item x="449"/>
        <item x="444"/>
        <item x="443"/>
        <item x="393"/>
        <item x="431"/>
        <item x="442"/>
        <item x="440"/>
        <item x="430"/>
        <item x="438"/>
        <item x="847"/>
        <item x="437"/>
        <item x="436"/>
        <item x="432"/>
        <item x="423"/>
        <item x="409"/>
        <item x="428"/>
        <item x="429"/>
        <item x="322"/>
        <item x="291"/>
        <item x="426"/>
        <item x="421"/>
        <item x="420"/>
        <item x="419"/>
        <item x="418"/>
        <item x="374"/>
        <item x="410"/>
        <item x="414"/>
        <item x="417"/>
        <item x="416"/>
        <item x="415"/>
        <item x="413"/>
        <item x="411"/>
        <item x="412"/>
        <item x="407"/>
        <item x="406"/>
        <item x="404"/>
        <item x="405"/>
        <item x="403"/>
        <item x="396"/>
        <item x="378"/>
        <item x="841"/>
        <item x="319"/>
        <item x="402"/>
        <item x="399"/>
        <item x="401"/>
        <item x="386"/>
        <item x="369"/>
        <item x="397"/>
        <item x="356"/>
        <item x="398"/>
        <item x="394"/>
        <item x="389"/>
        <item x="390"/>
        <item x="392"/>
        <item x="388"/>
        <item x="391"/>
        <item x="387"/>
        <item x="385"/>
        <item x="384"/>
        <item x="367"/>
        <item x="381"/>
        <item x="382"/>
        <item x="260"/>
        <item x="377"/>
        <item x="380"/>
        <item x="379"/>
        <item x="375"/>
        <item x="264"/>
        <item x="376"/>
        <item x="351"/>
        <item x="372"/>
        <item x="373"/>
        <item x="370"/>
        <item x="368"/>
        <item x="364"/>
        <item x="335"/>
        <item x="366"/>
        <item x="310"/>
        <item x="365"/>
        <item x="363"/>
        <item x="362"/>
        <item x="361"/>
        <item x="360"/>
        <item x="328"/>
        <item x="358"/>
        <item x="359"/>
        <item x="338"/>
        <item x="354"/>
        <item x="357"/>
        <item x="353"/>
        <item x="330"/>
        <item x="352"/>
        <item x="349"/>
        <item x="350"/>
        <item x="347"/>
        <item x="342"/>
        <item x="345"/>
        <item x="348"/>
        <item x="326"/>
        <item x="271"/>
        <item x="346"/>
        <item x="343"/>
        <item x="334"/>
        <item x="336"/>
        <item x="344"/>
        <item x="341"/>
        <item x="340"/>
        <item x="337"/>
        <item x="263"/>
        <item x="333"/>
        <item x="292"/>
        <item x="324"/>
        <item x="332"/>
        <item x="331"/>
        <item x="329"/>
        <item x="321"/>
        <item x="296"/>
        <item x="295"/>
        <item x="327"/>
        <item x="855"/>
        <item x="325"/>
        <item x="317"/>
        <item x="314"/>
        <item x="269"/>
        <item x="320"/>
        <item x="318"/>
        <item x="316"/>
        <item x="313"/>
        <item x="315"/>
        <item x="312"/>
        <item x="232"/>
        <item x="311"/>
        <item x="307"/>
        <item x="297"/>
        <item x="309"/>
        <item x="308"/>
        <item x="441"/>
        <item x="306"/>
        <item x="304"/>
        <item x="302"/>
        <item x="305"/>
        <item x="303"/>
        <item x="301"/>
        <item x="300"/>
        <item x="299"/>
        <item x="298"/>
        <item x="294"/>
        <item x="284"/>
        <item x="227"/>
        <item x="290"/>
        <item x="293"/>
        <item x="289"/>
        <item x="288"/>
        <item x="287"/>
        <item x="286"/>
        <item x="275"/>
        <item x="285"/>
        <item x="283"/>
        <item x="282"/>
        <item x="277"/>
        <item x="281"/>
        <item x="280"/>
        <item x="279"/>
        <item x="262"/>
        <item x="278"/>
        <item x="165"/>
        <item x="276"/>
        <item x="267"/>
        <item x="274"/>
        <item x="273"/>
        <item x="272"/>
        <item x="270"/>
        <item x="228"/>
        <item x="249"/>
        <item x="268"/>
        <item x="266"/>
        <item x="836"/>
        <item x="259"/>
        <item x="265"/>
        <item x="254"/>
        <item x="253"/>
        <item x="261"/>
        <item x="247"/>
        <item x="258"/>
        <item x="255"/>
        <item x="229"/>
        <item x="257"/>
        <item x="256"/>
        <item x="208"/>
        <item x="244"/>
        <item x="240"/>
        <item x="206"/>
        <item x="252"/>
        <item x="251"/>
        <item x="250"/>
        <item x="248"/>
        <item x="245"/>
        <item x="243"/>
        <item x="246"/>
        <item x="205"/>
        <item x="846"/>
        <item x="237"/>
        <item x="242"/>
        <item x="241"/>
        <item x="140"/>
        <item x="238"/>
        <item x="199"/>
        <item x="239"/>
        <item x="235"/>
        <item x="236"/>
        <item x="234"/>
        <item x="154"/>
        <item x="233"/>
        <item x="231"/>
        <item x="230"/>
        <item x="163"/>
        <item x="194"/>
        <item x="175"/>
        <item x="225"/>
        <item x="226"/>
        <item x="215"/>
        <item x="224"/>
        <item x="223"/>
        <item x="144"/>
        <item x="177"/>
        <item x="222"/>
        <item x="220"/>
        <item x="218"/>
        <item x="221"/>
        <item x="187"/>
        <item x="219"/>
        <item x="169"/>
        <item x="217"/>
        <item x="151"/>
        <item x="185"/>
        <item x="135"/>
        <item x="214"/>
        <item x="213"/>
        <item x="211"/>
        <item x="212"/>
        <item x="209"/>
        <item x="210"/>
        <item x="207"/>
        <item x="191"/>
        <item x="192"/>
        <item x="182"/>
        <item x="197"/>
        <item x="204"/>
        <item x="203"/>
        <item x="196"/>
        <item x="202"/>
        <item x="200"/>
        <item x="198"/>
        <item x="859"/>
        <item x="195"/>
        <item x="193"/>
        <item x="190"/>
        <item x="134"/>
        <item x="189"/>
        <item x="188"/>
        <item x="186"/>
        <item x="216"/>
        <item x="166"/>
        <item x="178"/>
        <item x="184"/>
        <item x="183"/>
        <item x="835"/>
        <item x="171"/>
        <item x="130"/>
        <item x="181"/>
        <item x="133"/>
        <item x="173"/>
        <item x="179"/>
        <item x="180"/>
        <item x="158"/>
        <item x="147"/>
        <item x="176"/>
        <item x="174"/>
        <item x="172"/>
        <item x="170"/>
        <item x="116"/>
        <item x="64"/>
        <item x="168"/>
        <item x="167"/>
        <item x="146"/>
        <item x="159"/>
        <item x="164"/>
        <item x="155"/>
        <item x="131"/>
        <item x="160"/>
        <item x="161"/>
        <item x="162"/>
        <item x="156"/>
        <item x="157"/>
        <item x="152"/>
        <item x="852"/>
        <item x="149"/>
        <item x="45"/>
        <item x="150"/>
        <item x="153"/>
        <item x="148"/>
        <item x="832"/>
        <item x="136"/>
        <item x="145"/>
        <item x="143"/>
        <item x="142"/>
        <item x="141"/>
        <item x="85"/>
        <item x="854"/>
        <item x="833"/>
        <item x="139"/>
        <item x="65"/>
        <item x="113"/>
        <item x="138"/>
        <item x="137"/>
        <item x="108"/>
        <item x="129"/>
        <item x="132"/>
        <item x="128"/>
        <item x="118"/>
        <item x="126"/>
        <item x="127"/>
        <item x="124"/>
        <item x="114"/>
        <item x="858"/>
        <item x="117"/>
        <item x="91"/>
        <item x="125"/>
        <item x="70"/>
        <item x="123"/>
        <item x="110"/>
        <item x="121"/>
        <item x="122"/>
        <item x="120"/>
        <item x="119"/>
        <item x="850"/>
        <item x="87"/>
        <item x="49"/>
        <item x="109"/>
        <item x="115"/>
        <item x="111"/>
        <item x="107"/>
        <item x="106"/>
        <item x="105"/>
        <item x="104"/>
        <item x="103"/>
        <item x="851"/>
        <item x="98"/>
        <item x="77"/>
        <item x="100"/>
        <item x="50"/>
        <item x="102"/>
        <item x="101"/>
        <item x="99"/>
        <item x="849"/>
        <item x="97"/>
        <item x="96"/>
        <item x="95"/>
        <item x="94"/>
        <item x="93"/>
        <item x="92"/>
        <item x="48"/>
        <item x="88"/>
        <item x="86"/>
        <item x="90"/>
        <item x="89"/>
        <item x="864"/>
        <item x="84"/>
        <item x="40"/>
        <item x="83"/>
        <item x="43"/>
        <item x="82"/>
        <item x="81"/>
        <item x="839"/>
        <item x="55"/>
        <item x="80"/>
        <item x="79"/>
        <item x="78"/>
        <item x="75"/>
        <item x="76"/>
        <item x="74"/>
        <item x="71"/>
        <item x="73"/>
        <item x="72"/>
        <item x="66"/>
        <item x="69"/>
        <item x="68"/>
        <item x="67"/>
        <item x="56"/>
        <item x="60"/>
        <item x="63"/>
        <item x="62"/>
        <item x="61"/>
        <item x="59"/>
        <item x="58"/>
        <item x="57"/>
        <item x="54"/>
        <item x="53"/>
        <item x="51"/>
        <item x="52"/>
        <item x="47"/>
        <item x="44"/>
        <item x="46"/>
        <item x="42"/>
        <item x="41"/>
        <item x="848"/>
        <item x="28"/>
        <item x="39"/>
        <item x="38"/>
        <item x="37"/>
        <item x="36"/>
        <item x="35"/>
        <item x="34"/>
        <item x="843"/>
        <item x="20"/>
        <item x="15"/>
        <item x="33"/>
        <item x="32"/>
        <item x="31"/>
        <item x="27"/>
        <item x="30"/>
        <item x="29"/>
        <item x="26"/>
        <item x="25"/>
        <item x="24"/>
        <item x="23"/>
        <item x="22"/>
        <item x="853"/>
        <item x="21"/>
        <item x="19"/>
        <item x="18"/>
        <item x="17"/>
        <item x="16"/>
        <item x="8"/>
        <item x="14"/>
        <item x="13"/>
        <item x="11"/>
        <item x="12"/>
        <item x="10"/>
        <item x="9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2">
    <field x="0"/>
    <field x="29"/>
  </rowFields>
  <rowItems count="1061">
    <i>
      <x/>
      <x v="50"/>
    </i>
    <i>
      <x v="1"/>
      <x v="294"/>
    </i>
    <i>
      <x v="2"/>
      <x v="211"/>
    </i>
    <i>
      <x v="3"/>
      <x v="58"/>
    </i>
    <i>
      <x v="4"/>
      <x v="664"/>
    </i>
    <i>
      <x v="5"/>
      <x v="97"/>
    </i>
    <i>
      <x v="6"/>
      <x v="19"/>
    </i>
    <i>
      <x v="7"/>
      <x v="405"/>
    </i>
    <i>
      <x v="8"/>
      <x v="87"/>
    </i>
    <i>
      <x v="9"/>
      <x v="11"/>
    </i>
    <i>
      <x v="10"/>
      <x v="558"/>
    </i>
    <i>
      <x v="11"/>
      <x v="167"/>
    </i>
    <i>
      <x v="12"/>
      <x v="399"/>
    </i>
    <i>
      <x v="13"/>
      <x v="699"/>
    </i>
    <i>
      <x v="14"/>
      <x v="385"/>
    </i>
    <i>
      <x v="15"/>
      <x v="155"/>
    </i>
    <i>
      <x v="16"/>
      <x v="130"/>
    </i>
    <i>
      <x v="17"/>
      <x v="440"/>
    </i>
    <i>
      <x v="18"/>
      <x v="444"/>
    </i>
    <i>
      <x v="19"/>
      <x v="323"/>
    </i>
    <i>
      <x v="20"/>
      <x v="862"/>
    </i>
    <i>
      <x v="21"/>
      <x v="447"/>
    </i>
    <i>
      <x v="22"/>
      <x v="615"/>
    </i>
    <i>
      <x v="23"/>
      <x v="826"/>
    </i>
    <i>
      <x v="24"/>
      <x v="551"/>
    </i>
    <i>
      <x v="25"/>
      <x v="77"/>
    </i>
    <i>
      <x v="26"/>
      <x v="4"/>
    </i>
    <i>
      <x v="27"/>
      <x v="179"/>
    </i>
    <i>
      <x v="28"/>
      <x v="51"/>
    </i>
    <i>
      <x v="29"/>
      <x v="718"/>
    </i>
    <i>
      <x v="30"/>
      <x/>
    </i>
    <i>
      <x v="31"/>
      <x v="94"/>
    </i>
    <i>
      <x v="32"/>
      <x v="235"/>
    </i>
    <i>
      <x v="33"/>
      <x v="169"/>
    </i>
    <i>
      <x v="34"/>
      <x v="659"/>
    </i>
    <i>
      <x v="35"/>
      <x v="629"/>
    </i>
    <i>
      <x v="36"/>
      <x v="692"/>
    </i>
    <i>
      <x v="37"/>
      <x v="740"/>
    </i>
    <i>
      <x v="38"/>
      <x v="491"/>
    </i>
    <i>
      <x v="39"/>
      <x v="559"/>
    </i>
    <i>
      <x v="40"/>
      <x v="599"/>
    </i>
    <i>
      <x v="41"/>
      <x v="138"/>
    </i>
    <i>
      <x v="42"/>
      <x v="104"/>
    </i>
    <i>
      <x v="43"/>
      <x v="104"/>
    </i>
    <i>
      <x v="44"/>
      <x v="713"/>
    </i>
    <i>
      <x v="45"/>
      <x v="143"/>
    </i>
    <i>
      <x v="46"/>
      <x v="480"/>
    </i>
    <i>
      <x v="47"/>
      <x v="689"/>
    </i>
    <i>
      <x v="48"/>
      <x v="815"/>
    </i>
    <i>
      <x v="49"/>
      <x v="694"/>
    </i>
    <i>
      <x v="50"/>
      <x v="726"/>
    </i>
    <i>
      <x v="51"/>
      <x v="259"/>
    </i>
    <i>
      <x v="52"/>
      <x v="191"/>
    </i>
    <i>
      <x v="53"/>
      <x v="110"/>
    </i>
    <i>
      <x v="54"/>
      <x v="23"/>
    </i>
    <i>
      <x v="55"/>
      <x v="159"/>
    </i>
    <i>
      <x v="56"/>
      <x v="311"/>
    </i>
    <i>
      <x v="57"/>
      <x v="704"/>
    </i>
    <i>
      <x v="58"/>
      <x v="657"/>
    </i>
    <i>
      <x v="59"/>
      <x v="412"/>
    </i>
    <i>
      <x v="60"/>
      <x v="586"/>
    </i>
    <i>
      <x v="61"/>
      <x v="813"/>
    </i>
    <i>
      <x v="62"/>
      <x v="142"/>
    </i>
    <i>
      <x v="63"/>
      <x v="721"/>
    </i>
    <i>
      <x v="64"/>
      <x v="182"/>
    </i>
    <i>
      <x v="65"/>
      <x v="796"/>
    </i>
    <i>
      <x v="66"/>
      <x v="58"/>
    </i>
    <i>
      <x v="67"/>
      <x v="35"/>
    </i>
    <i>
      <x v="68"/>
      <x v="210"/>
    </i>
    <i>
      <x v="69"/>
      <x v="47"/>
    </i>
    <i>
      <x v="70"/>
      <x v="481"/>
    </i>
    <i>
      <x v="71"/>
      <x v="640"/>
    </i>
    <i>
      <x v="72"/>
      <x v="332"/>
    </i>
    <i>
      <x v="73"/>
      <x v="479"/>
    </i>
    <i>
      <x v="74"/>
      <x v="180"/>
    </i>
    <i>
      <x v="75"/>
      <x v="566"/>
    </i>
    <i>
      <x v="76"/>
      <x v="330"/>
    </i>
    <i>
      <x v="77"/>
      <x v="80"/>
    </i>
    <i>
      <x v="78"/>
      <x v="77"/>
    </i>
    <i>
      <x v="79"/>
      <x v="32"/>
    </i>
    <i>
      <x v="80"/>
      <x v="307"/>
    </i>
    <i>
      <x v="81"/>
      <x v="427"/>
    </i>
    <i>
      <x v="82"/>
      <x v="625"/>
    </i>
    <i>
      <x v="83"/>
      <x v="613"/>
    </i>
    <i>
      <x v="84"/>
      <x v="231"/>
    </i>
    <i>
      <x v="85"/>
      <x v="216"/>
    </i>
    <i>
      <x v="86"/>
      <x v="250"/>
    </i>
    <i>
      <x v="87"/>
      <x v="12"/>
    </i>
    <i>
      <x v="88"/>
      <x v="469"/>
    </i>
    <i>
      <x v="89"/>
      <x v="452"/>
    </i>
    <i>
      <x v="90"/>
      <x v="560"/>
    </i>
    <i>
      <x v="91"/>
      <x v="344"/>
    </i>
    <i>
      <x v="92"/>
      <x v="703"/>
    </i>
    <i>
      <x v="93"/>
      <x v="195"/>
    </i>
    <i>
      <x v="94"/>
      <x/>
    </i>
    <i>
      <x v="95"/>
      <x v="423"/>
    </i>
    <i>
      <x v="96"/>
      <x v="88"/>
    </i>
    <i>
      <x v="97"/>
      <x v="310"/>
    </i>
    <i>
      <x v="98"/>
      <x v="199"/>
    </i>
    <i>
      <x v="99"/>
      <x v="864"/>
    </i>
    <i>
      <x v="100"/>
      <x v="377"/>
    </i>
    <i>
      <x v="101"/>
      <x v="287"/>
    </i>
    <i>
      <x v="102"/>
      <x v="543"/>
    </i>
    <i>
      <x v="103"/>
      <x v="46"/>
    </i>
    <i>
      <x v="104"/>
      <x v="728"/>
    </i>
    <i>
      <x v="105"/>
      <x v="403"/>
    </i>
    <i>
      <x v="106"/>
      <x v="471"/>
    </i>
    <i>
      <x v="107"/>
      <x v="680"/>
    </i>
    <i>
      <x v="108"/>
      <x v="829"/>
    </i>
    <i>
      <x v="109"/>
      <x v="202"/>
    </i>
    <i>
      <x v="110"/>
      <x v="69"/>
    </i>
    <i>
      <x v="111"/>
      <x v="84"/>
    </i>
    <i>
      <x v="112"/>
      <x v="18"/>
    </i>
    <i>
      <x v="113"/>
      <x v="199"/>
    </i>
    <i>
      <x v="114"/>
      <x v="462"/>
    </i>
    <i>
      <x v="115"/>
      <x v="788"/>
    </i>
    <i>
      <x v="116"/>
      <x v="398"/>
    </i>
    <i>
      <x v="117"/>
      <x v="326"/>
    </i>
    <i>
      <x v="118"/>
      <x v="764"/>
    </i>
    <i>
      <x v="119"/>
      <x v="795"/>
    </i>
    <i>
      <x v="120"/>
      <x v="239"/>
    </i>
    <i>
      <x v="121"/>
      <x v="577"/>
    </i>
    <i>
      <x v="122"/>
      <x v="709"/>
    </i>
    <i>
      <x v="123"/>
      <x v="509"/>
    </i>
    <i>
      <x v="124"/>
      <x v="538"/>
    </i>
    <i>
      <x v="125"/>
      <x v="57"/>
    </i>
    <i>
      <x v="126"/>
      <x v="46"/>
    </i>
    <i>
      <x v="127"/>
      <x v="570"/>
    </i>
    <i>
      <x v="128"/>
      <x v="695"/>
    </i>
    <i>
      <x v="129"/>
      <x v="105"/>
    </i>
    <i>
      <x v="130"/>
      <x v="802"/>
    </i>
    <i>
      <x v="131"/>
      <x v="277"/>
    </i>
    <i>
      <x v="132"/>
      <x v="148"/>
    </i>
    <i>
      <x v="133"/>
      <x v="324"/>
    </i>
    <i>
      <x v="134"/>
      <x v="38"/>
    </i>
    <i>
      <x v="135"/>
      <x v="373"/>
    </i>
    <i>
      <x v="136"/>
      <x v="73"/>
    </i>
    <i>
      <x v="137"/>
      <x v="314"/>
    </i>
    <i>
      <x v="138"/>
      <x v="91"/>
    </i>
    <i>
      <x v="139"/>
      <x/>
    </i>
    <i>
      <x v="140"/>
      <x v="298"/>
    </i>
    <i>
      <x v="141"/>
      <x v="609"/>
    </i>
    <i>
      <x v="142"/>
      <x v="747"/>
    </i>
    <i>
      <x v="143"/>
      <x v="784"/>
    </i>
    <i>
      <x v="144"/>
      <x v="576"/>
    </i>
    <i>
      <x v="145"/>
      <x v="117"/>
    </i>
    <i>
      <x v="146"/>
      <x v="758"/>
    </i>
    <i>
      <x v="147"/>
      <x v="256"/>
    </i>
    <i>
      <x v="148"/>
      <x v="321"/>
    </i>
    <i>
      <x v="149"/>
      <x v="192"/>
    </i>
    <i>
      <x v="150"/>
      <x v="419"/>
    </i>
    <i>
      <x v="151"/>
      <x v="98"/>
    </i>
    <i>
      <x v="152"/>
      <x v="612"/>
    </i>
    <i>
      <x v="153"/>
      <x v="33"/>
    </i>
    <i>
      <x v="154"/>
      <x v="585"/>
    </i>
    <i>
      <x v="155"/>
      <x v="852"/>
    </i>
    <i>
      <x v="156"/>
      <x v="838"/>
    </i>
    <i>
      <x v="157"/>
      <x v="67"/>
    </i>
    <i>
      <x v="158"/>
      <x v="579"/>
    </i>
    <i>
      <x v="159"/>
      <x v="683"/>
    </i>
    <i>
      <x v="160"/>
      <x v="445"/>
    </i>
    <i>
      <x v="161"/>
      <x v="756"/>
    </i>
    <i>
      <x v="162"/>
      <x v="510"/>
    </i>
    <i>
      <x v="163"/>
      <x v="804"/>
    </i>
    <i>
      <x v="164"/>
      <x v="738"/>
    </i>
    <i>
      <x v="165"/>
      <x v="119"/>
    </i>
    <i>
      <x v="166"/>
      <x v="55"/>
    </i>
    <i>
      <x v="167"/>
      <x v="124"/>
    </i>
    <i>
      <x v="168"/>
      <x v="18"/>
    </i>
    <i>
      <x v="169"/>
      <x v="108"/>
    </i>
    <i>
      <x v="170"/>
      <x v="253"/>
    </i>
    <i>
      <x v="171"/>
      <x v="841"/>
    </i>
    <i>
      <x v="172"/>
      <x v="665"/>
    </i>
    <i>
      <x v="173"/>
      <x v="825"/>
    </i>
    <i>
      <x v="174"/>
      <x v="787"/>
    </i>
    <i>
      <x v="175"/>
      <x v="759"/>
    </i>
    <i>
      <x v="176"/>
      <x v="230"/>
    </i>
    <i>
      <x v="177"/>
      <x v="711"/>
    </i>
    <i>
      <x v="178"/>
      <x v="693"/>
    </i>
    <i>
      <x v="179"/>
      <x v="235"/>
    </i>
    <i>
      <x v="180"/>
      <x v="432"/>
    </i>
    <i>
      <x v="181"/>
      <x v="637"/>
    </i>
    <i>
      <x v="182"/>
      <x v="391"/>
    </i>
    <i>
      <x v="183"/>
      <x v="125"/>
    </i>
    <i>
      <x v="184"/>
      <x v="30"/>
    </i>
    <i>
      <x v="185"/>
      <x v="472"/>
    </i>
    <i>
      <x v="186"/>
      <x v="225"/>
    </i>
    <i>
      <x v="187"/>
      <x v="140"/>
    </i>
    <i>
      <x v="188"/>
      <x v="21"/>
    </i>
    <i>
      <x v="189"/>
      <x v="58"/>
    </i>
    <i>
      <x v="190"/>
      <x v="20"/>
    </i>
    <i>
      <x v="191"/>
      <x v="56"/>
    </i>
    <i>
      <x v="192"/>
      <x v="710"/>
    </i>
    <i>
      <x v="193"/>
      <x v="824"/>
    </i>
    <i>
      <x v="194"/>
      <x v="475"/>
    </i>
    <i>
      <x v="195"/>
      <x v="742"/>
    </i>
    <i>
      <x v="196"/>
      <x v="251"/>
    </i>
    <i>
      <x v="197"/>
      <x v="100"/>
    </i>
    <i>
      <x v="198"/>
      <x v="268"/>
    </i>
    <i>
      <x v="199"/>
      <x v="133"/>
    </i>
    <i>
      <x v="200"/>
      <x v="333"/>
    </i>
    <i>
      <x v="201"/>
      <x v="99"/>
    </i>
    <i>
      <x v="202"/>
      <x v="407"/>
    </i>
    <i>
      <x v="203"/>
      <x v="686"/>
    </i>
    <i>
      <x v="204"/>
      <x v="249"/>
    </i>
    <i>
      <x v="205"/>
      <x v="467"/>
    </i>
    <i>
      <x v="206"/>
      <x v="83"/>
    </i>
    <i>
      <x v="207"/>
      <x v="779"/>
    </i>
    <i>
      <x v="208"/>
      <x v="642"/>
    </i>
    <i>
      <x v="209"/>
      <x v="574"/>
    </i>
    <i>
      <x v="210"/>
      <x v="848"/>
    </i>
    <i>
      <x v="211"/>
      <x v="470"/>
    </i>
    <i>
      <x v="212"/>
      <x v="735"/>
    </i>
    <i>
      <x v="213"/>
      <x v="342"/>
    </i>
    <i>
      <x v="214"/>
      <x v="499"/>
    </i>
    <i>
      <x v="215"/>
      <x v="593"/>
    </i>
    <i>
      <x v="216"/>
      <x v="812"/>
    </i>
    <i>
      <x v="217"/>
      <x v="700"/>
    </i>
    <i>
      <x v="218"/>
      <x v="723"/>
    </i>
    <i>
      <x v="219"/>
      <x v="113"/>
    </i>
    <i>
      <x v="220"/>
      <x v="46"/>
    </i>
    <i>
      <x v="221"/>
      <x v="137"/>
    </i>
    <i>
      <x v="222"/>
      <x v="40"/>
    </i>
    <i>
      <x v="223"/>
      <x v="555"/>
    </i>
    <i>
      <x v="224"/>
      <x v="101"/>
    </i>
    <i>
      <x v="225"/>
      <x v="800"/>
    </i>
    <i>
      <x v="226"/>
      <x v="34"/>
    </i>
    <i>
      <x v="227"/>
      <x v="220"/>
    </i>
    <i>
      <x v="228"/>
      <x v="168"/>
    </i>
    <i>
      <x v="229"/>
      <x v="62"/>
    </i>
    <i>
      <x v="230"/>
      <x v="392"/>
    </i>
    <i>
      <x v="231"/>
      <x v="98"/>
    </i>
    <i>
      <x v="232"/>
      <x/>
    </i>
    <i>
      <x v="233"/>
      <x v="85"/>
    </i>
    <i>
      <x v="234"/>
      <x v="514"/>
    </i>
    <i>
      <x v="235"/>
      <x v="719"/>
    </i>
    <i>
      <x v="236"/>
      <x v="266"/>
    </i>
    <i>
      <x v="237"/>
      <x v="435"/>
    </i>
    <i>
      <x v="238"/>
      <x v="123"/>
    </i>
    <i>
      <x v="239"/>
      <x v="582"/>
    </i>
    <i>
      <x v="240"/>
      <x v="384"/>
    </i>
    <i>
      <x v="241"/>
      <x v="365"/>
    </i>
    <i>
      <x v="242"/>
      <x v="72"/>
    </i>
    <i>
      <x v="243"/>
      <x v="239"/>
    </i>
    <i>
      <x v="244"/>
      <x v="705"/>
    </i>
    <i>
      <x v="245"/>
      <x v="463"/>
    </i>
    <i>
      <x v="246"/>
      <x v="160"/>
    </i>
    <i>
      <x v="247"/>
      <x v="732"/>
    </i>
    <i>
      <x v="248"/>
      <x v="21"/>
    </i>
    <i>
      <x v="249"/>
      <x v="149"/>
    </i>
    <i>
      <x v="250"/>
      <x v="229"/>
    </i>
    <i>
      <x v="251"/>
      <x v="547"/>
    </i>
    <i>
      <x v="252"/>
      <x v="86"/>
    </i>
    <i>
      <x v="253"/>
      <x v="434"/>
    </i>
    <i>
      <x v="254"/>
      <x v="17"/>
    </i>
    <i>
      <x v="255"/>
      <x v="339"/>
    </i>
    <i>
      <x v="256"/>
      <x v="400"/>
    </i>
    <i>
      <x v="257"/>
      <x v="341"/>
    </i>
    <i>
      <x v="258"/>
      <x v="850"/>
    </i>
    <i>
      <x v="259"/>
      <x v="531"/>
    </i>
    <i>
      <x v="260"/>
      <x v="589"/>
    </i>
    <i>
      <x v="261"/>
      <x v="743"/>
    </i>
    <i>
      <x v="262"/>
      <x v="778"/>
    </i>
    <i>
      <x v="263"/>
      <x v="519"/>
    </i>
    <i>
      <x v="264"/>
      <x v="616"/>
    </i>
    <i>
      <x v="265"/>
      <x v="242"/>
    </i>
    <i>
      <x v="266"/>
      <x v="5"/>
    </i>
    <i>
      <x v="267"/>
      <x v="441"/>
    </i>
    <i>
      <x v="268"/>
      <x v="753"/>
    </i>
    <i>
      <x v="269"/>
      <x v="145"/>
    </i>
    <i>
      <x v="270"/>
      <x v="685"/>
    </i>
    <i>
      <x v="271"/>
      <x v="148"/>
    </i>
    <i>
      <x v="272"/>
      <x v="836"/>
    </i>
    <i>
      <x v="273"/>
      <x v="156"/>
    </i>
    <i>
      <x v="274"/>
      <x v="49"/>
    </i>
    <i>
      <x v="275"/>
      <x v="321"/>
    </i>
    <i>
      <x v="276"/>
      <x v="500"/>
    </i>
    <i>
      <x v="277"/>
      <x v="363"/>
    </i>
    <i>
      <x v="278"/>
      <x v="534"/>
    </i>
    <i>
      <x v="279"/>
      <x v="17"/>
    </i>
    <i>
      <x v="280"/>
      <x v="337"/>
    </i>
    <i>
      <x v="281"/>
      <x v="49"/>
    </i>
    <i>
      <x v="282"/>
      <x v="270"/>
    </i>
    <i>
      <x v="283"/>
      <x v="134"/>
    </i>
    <i>
      <x v="284"/>
      <x v="127"/>
    </i>
    <i>
      <x v="285"/>
      <x v="455"/>
    </i>
    <i>
      <x v="286"/>
      <x v="67"/>
    </i>
    <i>
      <x v="287"/>
      <x v="580"/>
    </i>
    <i>
      <x v="288"/>
      <x v="540"/>
    </i>
    <i>
      <x v="289"/>
      <x v="103"/>
    </i>
    <i>
      <x v="290"/>
      <x v="121"/>
    </i>
    <i>
      <x v="291"/>
      <x v="150"/>
    </i>
    <i>
      <x v="292"/>
      <x v="396"/>
    </i>
    <i>
      <x v="293"/>
      <x v="49"/>
    </i>
    <i>
      <x v="294"/>
      <x v="48"/>
    </i>
    <i>
      <x v="295"/>
      <x v="621"/>
    </i>
    <i>
      <x v="296"/>
      <x v="264"/>
    </i>
    <i>
      <x v="297"/>
      <x v="494"/>
    </i>
    <i>
      <x v="298"/>
      <x v="179"/>
    </i>
    <i>
      <x v="299"/>
      <x v="668"/>
    </i>
    <i>
      <x v="300"/>
      <x v="513"/>
    </i>
    <i>
      <x v="301"/>
      <x v="420"/>
    </i>
    <i>
      <x v="302"/>
      <x v="40"/>
    </i>
    <i>
      <x v="303"/>
      <x v="562"/>
    </i>
    <i>
      <x v="304"/>
      <x v="10"/>
    </i>
    <i>
      <x v="305"/>
      <x v="331"/>
    </i>
    <i>
      <x v="306"/>
      <x v="413"/>
    </i>
    <i>
      <x v="307"/>
      <x v="274"/>
    </i>
    <i>
      <x v="308"/>
      <x v="811"/>
    </i>
    <i>
      <x v="309"/>
      <x v="327"/>
    </i>
    <i>
      <x v="310"/>
      <x v="569"/>
    </i>
    <i>
      <x v="311"/>
      <x v="690"/>
    </i>
    <i>
      <x v="312"/>
      <x v="313"/>
    </i>
    <i>
      <x v="313"/>
      <x v="279"/>
    </i>
    <i>
      <x v="314"/>
      <x v="238"/>
    </i>
    <i>
      <x v="315"/>
      <x v="654"/>
    </i>
    <i>
      <x v="316"/>
      <x v="790"/>
    </i>
    <i>
      <x v="317"/>
      <x v="204"/>
    </i>
    <i>
      <x v="318"/>
      <x v="414"/>
    </i>
    <i>
      <x v="319"/>
      <x v="336"/>
    </i>
    <i>
      <x v="320"/>
      <x v="460"/>
    </i>
    <i>
      <x v="321"/>
      <x v="112"/>
    </i>
    <i>
      <x v="322"/>
      <x v="27"/>
    </i>
    <i>
      <x v="323"/>
      <x v="720"/>
    </i>
    <i>
      <x v="324"/>
      <x v="554"/>
    </i>
    <i>
      <x v="325"/>
      <x v="189"/>
    </i>
    <i>
      <x v="326"/>
      <x v="175"/>
    </i>
    <i>
      <x v="327"/>
      <x v="340"/>
    </i>
    <i>
      <x v="328"/>
      <x v="594"/>
    </i>
    <i>
      <x v="329"/>
      <x v="466"/>
    </i>
    <i>
      <x v="330"/>
      <x v="780"/>
    </i>
    <i>
      <x v="331"/>
      <x v="631"/>
    </i>
    <i>
      <x v="332"/>
      <x v="267"/>
    </i>
    <i>
      <x v="333"/>
      <x v="234"/>
    </i>
    <i>
      <x v="334"/>
      <x v="241"/>
    </i>
    <i>
      <x v="335"/>
      <x v="542"/>
    </i>
    <i>
      <x v="336"/>
      <x v="376"/>
    </i>
    <i>
      <x v="337"/>
      <x v="3"/>
    </i>
    <i>
      <x v="338"/>
      <x v="212"/>
    </i>
    <i>
      <x v="339"/>
      <x v="176"/>
    </i>
    <i>
      <x v="340"/>
      <x v="144"/>
    </i>
    <i>
      <x v="341"/>
      <x v="69"/>
    </i>
    <i>
      <x v="342"/>
      <x v="11"/>
    </i>
    <i>
      <x v="343"/>
      <x v="59"/>
    </i>
    <i>
      <x v="344"/>
      <x v="1"/>
    </i>
    <i>
      <x v="345"/>
      <x v="18"/>
    </i>
    <i>
      <x v="346"/>
      <x v="7"/>
    </i>
    <i>
      <x v="347"/>
      <x v="561"/>
    </i>
    <i>
      <x v="348"/>
      <x v="34"/>
    </i>
    <i>
      <x v="349"/>
      <x v="592"/>
    </i>
    <i>
      <x v="350"/>
      <x v="63"/>
    </i>
    <i>
      <x v="351"/>
      <x v="356"/>
    </i>
    <i>
      <x v="352"/>
      <x v="163"/>
    </i>
    <i>
      <x v="353"/>
      <x v="265"/>
    </i>
    <i>
      <x v="354"/>
      <x v="550"/>
    </i>
    <i>
      <x v="355"/>
      <x v="25"/>
    </i>
    <i>
      <x v="356"/>
      <x v="465"/>
    </i>
    <i>
      <x v="357"/>
      <x v="424"/>
    </i>
    <i>
      <x v="358"/>
      <x v="578"/>
    </i>
    <i>
      <x v="359"/>
      <x v="168"/>
    </i>
    <i>
      <x v="360"/>
      <x v="110"/>
    </i>
    <i>
      <x v="361"/>
      <x v="433"/>
    </i>
    <i>
      <x v="362"/>
      <x v="255"/>
    </i>
    <i>
      <x v="363"/>
      <x v="380"/>
    </i>
    <i>
      <x v="364"/>
      <x v="122"/>
    </i>
    <i>
      <x v="365"/>
      <x v="76"/>
    </i>
    <i>
      <x v="366"/>
      <x v="45"/>
    </i>
    <i>
      <x v="367"/>
      <x v="748"/>
    </i>
    <i>
      <x v="368"/>
      <x v="60"/>
    </i>
    <i>
      <x v="369"/>
      <x v="511"/>
    </i>
    <i>
      <x v="370"/>
      <x v="153"/>
    </i>
    <i>
      <x v="371"/>
      <x v="676"/>
    </i>
    <i>
      <x v="372"/>
      <x v="188"/>
    </i>
    <i>
      <x v="373"/>
      <x v="59"/>
    </i>
    <i>
      <x v="374"/>
      <x v="410"/>
    </i>
    <i>
      <x v="375"/>
      <x v="322"/>
    </i>
    <i>
      <x v="376"/>
      <x v="356"/>
    </i>
    <i>
      <x v="377"/>
      <x v="737"/>
    </i>
    <i>
      <x v="378"/>
      <x v="172"/>
    </i>
    <i>
      <x v="379"/>
      <x v="608"/>
    </i>
    <i>
      <x v="380"/>
      <x v="78"/>
    </i>
    <i>
      <x v="381"/>
      <x v="348"/>
    </i>
    <i>
      <x v="382"/>
      <x v="131"/>
    </i>
    <i>
      <x v="383"/>
      <x v="457"/>
    </i>
    <i>
      <x v="384"/>
      <x v="183"/>
    </i>
    <i>
      <x v="385"/>
      <x v="33"/>
    </i>
    <i>
      <x v="386"/>
      <x v="527"/>
    </i>
    <i>
      <x v="387"/>
      <x v="402"/>
    </i>
    <i>
      <x v="388"/>
      <x v="520"/>
    </i>
    <i>
      <x v="389"/>
      <x v="7"/>
    </i>
    <i>
      <x v="390"/>
      <x v="246"/>
    </i>
    <i>
      <x v="391"/>
      <x v="75"/>
    </i>
    <i>
      <x v="392"/>
      <x v="49"/>
    </i>
    <i>
      <x v="393"/>
      <x v="320"/>
    </i>
    <i>
      <x v="394"/>
      <x v="620"/>
    </i>
    <i>
      <x v="395"/>
      <x v="318"/>
    </i>
    <i>
      <x v="396"/>
      <x v="353"/>
    </i>
    <i>
      <x v="397"/>
      <x v="25"/>
    </i>
    <i>
      <x v="398"/>
      <x v="437"/>
    </i>
    <i>
      <x v="399"/>
      <x v="232"/>
    </i>
    <i>
      <x v="400"/>
      <x v="177"/>
    </i>
    <i>
      <x v="401"/>
      <x v="651"/>
    </i>
    <i>
      <x v="402"/>
      <x v="64"/>
    </i>
    <i>
      <x v="403"/>
      <x v="54"/>
    </i>
    <i>
      <x v="404"/>
      <x v="528"/>
    </i>
    <i>
      <x v="405"/>
      <x v="308"/>
    </i>
    <i>
      <x v="406"/>
      <x v="454"/>
    </i>
    <i>
      <x v="407"/>
      <x v="208"/>
    </i>
    <i>
      <x v="408"/>
      <x v="223"/>
    </i>
    <i>
      <x v="409"/>
      <x v="184"/>
    </i>
    <i>
      <x v="410"/>
      <x v="571"/>
    </i>
    <i>
      <x v="411"/>
      <x v="167"/>
    </i>
    <i>
      <x v="412"/>
      <x v="170"/>
    </i>
    <i>
      <x v="413"/>
      <x v="419"/>
    </i>
    <i>
      <x v="414"/>
      <x v="345"/>
    </i>
    <i>
      <x v="415"/>
      <x v="281"/>
    </i>
    <i>
      <x v="416"/>
      <x v="17"/>
    </i>
    <i>
      <x v="417"/>
      <x v="582"/>
    </i>
    <i>
      <x v="418"/>
      <x v="238"/>
    </i>
    <i>
      <x v="419"/>
      <x v="219"/>
    </i>
    <i>
      <x v="420"/>
      <x v="672"/>
    </i>
    <i>
      <x v="421"/>
      <x v="806"/>
    </i>
    <i>
      <x v="422"/>
      <x v="174"/>
    </i>
    <i>
      <x v="423"/>
      <x v="282"/>
    </i>
    <i>
      <x v="424"/>
      <x v="288"/>
    </i>
    <i>
      <x v="425"/>
      <x v="133"/>
    </i>
    <i>
      <x v="426"/>
      <x v="34"/>
    </i>
    <i>
      <x v="427"/>
      <x v="860"/>
    </i>
    <i>
      <x v="428"/>
      <x v="221"/>
    </i>
    <i>
      <x v="429"/>
      <x v="205"/>
    </i>
    <i>
      <x v="430"/>
      <x v="636"/>
    </i>
    <i>
      <x v="431"/>
      <x v="383"/>
    </i>
    <i>
      <x v="432"/>
      <x v="539"/>
    </i>
    <i>
      <x v="433"/>
      <x v="805"/>
    </i>
    <i>
      <x v="434"/>
      <x v="352"/>
    </i>
    <i>
      <x v="435"/>
      <x v="64"/>
    </i>
    <i>
      <x v="436"/>
      <x v="834"/>
    </i>
    <i>
      <x v="437"/>
      <x v="184"/>
    </i>
    <i>
      <x v="438"/>
      <x v="373"/>
    </i>
    <i>
      <x v="439"/>
      <x v="93"/>
    </i>
    <i>
      <x v="440"/>
      <x v="289"/>
    </i>
    <i>
      <x v="441"/>
      <x v="730"/>
    </i>
    <i>
      <x v="442"/>
      <x v="422"/>
    </i>
    <i>
      <x v="443"/>
      <x v="485"/>
    </i>
    <i>
      <x v="444"/>
      <x v="739"/>
    </i>
    <i>
      <x v="445"/>
      <x v="607"/>
    </i>
    <i>
      <x v="446"/>
      <x v="515"/>
    </i>
    <i>
      <x v="447"/>
      <x v="643"/>
    </i>
    <i>
      <x v="448"/>
      <x v="634"/>
    </i>
    <i r="1">
      <x v="691"/>
    </i>
    <i>
      <x v="449"/>
      <x v="774"/>
    </i>
    <i>
      <x v="450"/>
      <x v="31"/>
    </i>
    <i>
      <x v="451"/>
      <x v="859"/>
    </i>
    <i>
      <x v="452"/>
      <x v="635"/>
    </i>
    <i>
      <x v="453"/>
      <x v="42"/>
    </i>
    <i>
      <x v="454"/>
      <x v="431"/>
    </i>
    <i>
      <x v="455"/>
      <x v="270"/>
    </i>
    <i>
      <x v="456"/>
      <x v="601"/>
    </i>
    <i>
      <x v="457"/>
      <x v="158"/>
    </i>
    <i>
      <x v="458"/>
      <x v="19"/>
    </i>
    <i>
      <x v="459"/>
      <x v="567"/>
    </i>
    <i>
      <x v="460"/>
      <x v="187"/>
    </i>
    <i>
      <x v="461"/>
      <x v="591"/>
    </i>
    <i>
      <x v="462"/>
      <x v="830"/>
    </i>
    <i>
      <x v="463"/>
      <x v="677"/>
    </i>
    <i>
      <x v="464"/>
      <x v="139"/>
    </i>
    <i>
      <x v="465"/>
      <x v="2"/>
    </i>
    <i>
      <x v="466"/>
      <x v="233"/>
    </i>
    <i>
      <x v="467"/>
      <x v="549"/>
    </i>
    <i>
      <x v="468"/>
      <x v="801"/>
    </i>
    <i>
      <x v="469"/>
      <x v="798"/>
    </i>
    <i>
      <x v="470"/>
      <x v="521"/>
    </i>
    <i>
      <x v="471"/>
      <x v="70"/>
    </i>
    <i>
      <x v="472"/>
      <x v="602"/>
    </i>
    <i>
      <x v="473"/>
      <x v="817"/>
    </i>
    <i>
      <x v="474"/>
      <x v="772"/>
    </i>
    <i>
      <x v="475"/>
      <x v="781"/>
    </i>
    <i>
      <x v="476"/>
      <x v="370"/>
    </i>
    <i>
      <x v="477"/>
      <x v="89"/>
    </i>
    <i>
      <x v="478"/>
      <x v="209"/>
    </i>
    <i>
      <x v="479"/>
      <x v="16"/>
    </i>
    <i>
      <x v="480"/>
      <x v="66"/>
    </i>
    <i>
      <x v="481"/>
      <x v="192"/>
    </i>
    <i>
      <x v="482"/>
      <x v="286"/>
    </i>
    <i>
      <x v="483"/>
      <x v="618"/>
    </i>
    <i>
      <x v="484"/>
      <x v="610"/>
    </i>
    <i>
      <x v="485"/>
      <x v="119"/>
    </i>
    <i>
      <x v="486"/>
      <x v="245"/>
    </i>
    <i>
      <x v="487"/>
      <x v="8"/>
    </i>
    <i>
      <x v="488"/>
      <x v="297"/>
    </i>
    <i>
      <x v="489"/>
      <x v="228"/>
    </i>
    <i>
      <x v="490"/>
      <x v="366"/>
    </i>
    <i>
      <x v="491"/>
      <x v="517"/>
    </i>
    <i>
      <x v="492"/>
      <x v="439"/>
    </i>
    <i>
      <x v="493"/>
      <x v="272"/>
    </i>
    <i>
      <x v="494"/>
      <x v="532"/>
    </i>
    <i>
      <x v="495"/>
      <x v="145"/>
    </i>
    <i>
      <x v="496"/>
      <x v="135"/>
    </i>
    <i>
      <x v="497"/>
      <x v="479"/>
    </i>
    <i>
      <x v="498"/>
      <x v="8"/>
    </i>
    <i>
      <x v="499"/>
      <x v="546"/>
    </i>
    <i>
      <x v="500"/>
      <x v="626"/>
    </i>
    <i>
      <x v="501"/>
      <x v="816"/>
    </i>
    <i>
      <x v="502"/>
      <x v="568"/>
    </i>
    <i>
      <x v="503"/>
      <x v="305"/>
    </i>
    <i>
      <x v="504"/>
      <x v="306"/>
    </i>
    <i>
      <x v="505"/>
      <x v="507"/>
    </i>
    <i>
      <x v="506"/>
      <x v="349"/>
    </i>
    <i>
      <x v="507"/>
      <x v="606"/>
    </i>
    <i>
      <x v="508"/>
      <x v="94"/>
    </i>
    <i>
      <x v="509"/>
      <x v="652"/>
    </i>
    <i>
      <x v="510"/>
      <x v="355"/>
    </i>
    <i>
      <x v="511"/>
      <x v="28"/>
    </i>
    <i>
      <x v="512"/>
      <x v="661"/>
    </i>
    <i>
      <x v="513"/>
      <x v="706"/>
    </i>
    <i>
      <x v="514"/>
      <x v="291"/>
    </i>
    <i>
      <x v="515"/>
      <x v="82"/>
    </i>
    <i>
      <x v="516"/>
      <x v="545"/>
    </i>
    <i>
      <x v="517"/>
      <x v="456"/>
    </i>
    <i>
      <x v="518"/>
      <x v="421"/>
    </i>
    <i>
      <x v="519"/>
      <x v="416"/>
    </i>
    <i>
      <x v="520"/>
      <x v="207"/>
    </i>
    <i>
      <x v="521"/>
      <x v="27"/>
    </i>
    <i>
      <x v="522"/>
      <x v="679"/>
    </i>
    <i>
      <x v="523"/>
      <x v="487"/>
    </i>
    <i>
      <x v="524"/>
      <x v="361"/>
    </i>
    <i>
      <x v="525"/>
      <x v="102"/>
    </i>
    <i>
      <x v="526"/>
      <x v="384"/>
    </i>
    <i>
      <x v="527"/>
      <x v="438"/>
    </i>
    <i>
      <x v="528"/>
      <x v="351"/>
    </i>
    <i>
      <x v="529"/>
      <x v="300"/>
    </i>
    <i>
      <x v="530"/>
      <x v="717"/>
    </i>
    <i>
      <x v="531"/>
      <x v="159"/>
    </i>
    <i>
      <x v="532"/>
      <x/>
    </i>
    <i>
      <x v="533"/>
      <x v="244"/>
    </i>
    <i>
      <x v="534"/>
      <x v="128"/>
    </i>
    <i>
      <x v="535"/>
      <x v="217"/>
    </i>
    <i>
      <x v="536"/>
      <x v="271"/>
    </i>
    <i>
      <x v="537"/>
      <x v="617"/>
    </i>
    <i>
      <x v="538"/>
      <x v="68"/>
    </i>
    <i>
      <x v="539"/>
      <x v="9"/>
    </i>
    <i>
      <x v="540"/>
      <x v="43"/>
    </i>
    <i>
      <x v="541"/>
      <x v="147"/>
    </i>
    <i>
      <x v="542"/>
      <x v="315"/>
    </i>
    <i>
      <x v="543"/>
      <x v="169"/>
    </i>
    <i>
      <x v="544"/>
      <x v="41"/>
    </i>
    <i>
      <x v="545"/>
      <x v="429"/>
    </i>
    <i>
      <x v="546"/>
      <x v="486"/>
    </i>
    <i>
      <x v="547"/>
      <x v="27"/>
    </i>
    <i>
      <x v="548"/>
      <x v="200"/>
    </i>
    <i>
      <x v="549"/>
      <x v="261"/>
    </i>
    <i>
      <x v="550"/>
      <x v="95"/>
    </i>
    <i>
      <x v="551"/>
      <x v="248"/>
    </i>
    <i>
      <x v="552"/>
      <x v="213"/>
    </i>
    <i>
      <x v="553"/>
      <x v="523"/>
    </i>
    <i>
      <x v="554"/>
      <x v="492"/>
    </i>
    <i>
      <x v="555"/>
      <x v="151"/>
    </i>
    <i>
      <x v="556"/>
      <x v="715"/>
    </i>
    <i>
      <x v="557"/>
      <x v="835"/>
    </i>
    <i>
      <x v="558"/>
      <x v="821"/>
    </i>
    <i>
      <x v="559"/>
      <x v="681"/>
    </i>
    <i>
      <x v="560"/>
      <x v="734"/>
    </i>
    <i>
      <x v="561"/>
      <x v="851"/>
    </i>
    <i>
      <x v="562"/>
      <x v="814"/>
    </i>
    <i>
      <x v="563"/>
      <x v="861"/>
    </i>
    <i>
      <x v="564"/>
      <x v="828"/>
    </i>
    <i>
      <x v="565"/>
      <x v="833"/>
    </i>
    <i>
      <x v="566"/>
      <x v="751"/>
    </i>
    <i>
      <x v="567"/>
      <x v="744"/>
    </i>
    <i>
      <x v="568"/>
      <x v="426"/>
    </i>
    <i>
      <x v="569"/>
      <x v="786"/>
    </i>
    <i>
      <x v="570"/>
      <x v="822"/>
    </i>
    <i>
      <x v="571"/>
      <x v="840"/>
    </i>
    <i>
      <x v="572"/>
      <x v="842"/>
    </i>
    <i>
      <x v="573"/>
      <x v="837"/>
    </i>
    <i>
      <x v="574"/>
      <x v="810"/>
    </i>
    <i>
      <x v="575"/>
      <x v="749"/>
    </i>
    <i>
      <x v="576"/>
      <x v="575"/>
    </i>
    <i>
      <x v="577"/>
      <x v="856"/>
    </i>
    <i>
      <x v="578"/>
      <x v="863"/>
    </i>
    <i>
      <x v="579"/>
      <x v="702"/>
    </i>
    <i>
      <x v="580"/>
      <x v="244"/>
    </i>
    <i>
      <x v="581"/>
      <x v="257"/>
    </i>
    <i>
      <x v="582"/>
      <x v="797"/>
    </i>
    <i>
      <x v="583"/>
      <x v="535"/>
    </i>
    <i>
      <x v="584"/>
      <x v="794"/>
    </i>
    <i>
      <x v="585"/>
      <x v="564"/>
    </i>
    <i>
      <x v="586"/>
      <x v="291"/>
    </i>
    <i>
      <x v="587"/>
      <x/>
    </i>
    <i>
      <x v="588"/>
      <x v="766"/>
    </i>
    <i>
      <x v="589"/>
      <x v="771"/>
    </i>
    <i>
      <x v="590"/>
      <x v="318"/>
    </i>
    <i>
      <x v="591"/>
      <x v="449"/>
    </i>
    <i>
      <x v="592"/>
      <x v="752"/>
    </i>
    <i>
      <x v="593"/>
      <x v="667"/>
    </i>
    <i>
      <x v="594"/>
      <x v="537"/>
    </i>
    <i>
      <x v="595"/>
      <x v="853"/>
    </i>
    <i>
      <x v="596"/>
      <x/>
    </i>
    <i>
      <x v="597"/>
      <x v="502"/>
    </i>
    <i>
      <x v="598"/>
      <x v="293"/>
    </i>
    <i>
      <x v="599"/>
      <x v="855"/>
    </i>
    <i>
      <x v="600"/>
      <x v="746"/>
    </i>
    <i>
      <x v="601"/>
      <x v="762"/>
    </i>
    <i>
      <x v="602"/>
      <x v="809"/>
    </i>
    <i>
      <x v="603"/>
      <x v="309"/>
    </i>
    <i>
      <x v="604"/>
      <x v="498"/>
    </i>
    <i>
      <x v="605"/>
      <x/>
    </i>
    <i>
      <x v="606"/>
      <x v="568"/>
    </i>
    <i>
      <x v="607"/>
      <x v="776"/>
    </i>
    <i>
      <x v="608"/>
      <x v="843"/>
    </i>
    <i>
      <x v="609"/>
      <x v="474"/>
    </i>
    <i>
      <x v="610"/>
      <x v="556"/>
    </i>
    <i>
      <x v="611"/>
      <x v="316"/>
    </i>
    <i>
      <x v="612"/>
      <x v="193"/>
    </i>
    <i>
      <x v="613"/>
      <x v="154"/>
    </i>
    <i>
      <x v="614"/>
      <x v="61"/>
    </i>
    <i>
      <x v="615"/>
      <x v="407"/>
    </i>
    <i>
      <x v="616"/>
      <x v="357"/>
    </i>
    <i>
      <x v="617"/>
      <x v="501"/>
    </i>
    <i>
      <x v="618"/>
      <x v="763"/>
    </i>
    <i>
      <x v="619"/>
      <x v="258"/>
    </i>
    <i>
      <x v="620"/>
      <x v="727"/>
    </i>
    <i>
      <x v="621"/>
      <x v="807"/>
    </i>
    <i>
      <x v="622"/>
      <x v="285"/>
    </i>
    <i>
      <x v="623"/>
      <x v="102"/>
    </i>
    <i>
      <x v="624"/>
      <x v="163"/>
    </i>
    <i>
      <x v="625"/>
      <x v="317"/>
    </i>
    <i>
      <x v="626"/>
      <x v="564"/>
    </i>
    <i>
      <x v="627"/>
      <x v="598"/>
    </i>
    <i>
      <x v="628"/>
      <x v="572"/>
    </i>
    <i>
      <x v="629"/>
      <x v="409"/>
    </i>
    <i>
      <x v="630"/>
      <x v="31"/>
    </i>
    <i>
      <x v="631"/>
      <x v="446"/>
    </i>
    <i>
      <x v="632"/>
      <x v="712"/>
    </i>
    <i>
      <x v="633"/>
      <x v="394"/>
    </i>
    <i>
      <x v="634"/>
      <x v="526"/>
    </i>
    <i>
      <x v="635"/>
      <x v="165"/>
    </i>
    <i>
      <x v="636"/>
      <x v="611"/>
    </i>
    <i>
      <x v="637"/>
      <x v="649"/>
    </i>
    <i>
      <x v="638"/>
      <x v="493"/>
    </i>
    <i>
      <x v="639"/>
      <x v="793"/>
    </i>
    <i>
      <x v="640"/>
      <x v="639"/>
    </i>
    <i>
      <x v="641"/>
      <x v="844"/>
    </i>
    <i>
      <x v="642"/>
      <x v="716"/>
    </i>
    <i>
      <x v="643"/>
      <x v="725"/>
    </i>
    <i>
      <x v="644"/>
      <x v="581"/>
    </i>
    <i>
      <x v="645"/>
      <x v="658"/>
    </i>
    <i>
      <x v="646"/>
      <x v="583"/>
    </i>
    <i>
      <x v="647"/>
      <x v="847"/>
    </i>
    <i>
      <x v="648"/>
      <x v="849"/>
    </i>
    <i>
      <x v="649"/>
      <x v="451"/>
    </i>
    <i>
      <x v="650"/>
      <x v="638"/>
    </i>
    <i>
      <x v="651"/>
      <x v="141"/>
    </i>
    <i>
      <x v="652"/>
      <x v="490"/>
    </i>
    <i>
      <x v="653"/>
      <x v="777"/>
    </i>
    <i>
      <x v="654"/>
      <x v="768"/>
    </i>
    <i>
      <x v="655"/>
      <x v="761"/>
    </i>
    <i>
      <x v="656"/>
      <x v="464"/>
    </i>
    <i>
      <x v="657"/>
      <x v="587"/>
    </i>
    <i>
      <x v="658"/>
      <x v="857"/>
    </i>
    <i>
      <x v="659"/>
      <x v="757"/>
    </i>
    <i>
      <x v="660"/>
      <x v="162"/>
    </i>
    <i>
      <x v="661"/>
      <x v="240"/>
    </i>
    <i>
      <x v="662"/>
      <x v="418"/>
    </i>
    <i>
      <x v="663"/>
      <x v="750"/>
    </i>
    <i>
      <x v="664"/>
      <x v="252"/>
    </i>
    <i>
      <x v="665"/>
      <x v="116"/>
    </i>
    <i>
      <x v="666"/>
      <x v="362"/>
    </i>
    <i>
      <x v="667"/>
      <x v="106"/>
    </i>
    <i>
      <x v="668"/>
      <x v="273"/>
    </i>
    <i>
      <x v="669"/>
      <x v="530"/>
    </i>
    <i>
      <x v="670"/>
      <x v="541"/>
    </i>
    <i>
      <x v="671"/>
      <x v="36"/>
    </i>
    <i>
      <x v="672"/>
      <x v="237"/>
    </i>
    <i>
      <x v="673"/>
      <x v="644"/>
    </i>
    <i>
      <x v="674"/>
      <x v="243"/>
    </i>
    <i>
      <x v="675"/>
      <x v="237"/>
    </i>
    <i>
      <x v="676"/>
      <x v="552"/>
    </i>
    <i>
      <x v="677"/>
      <x v="91"/>
    </i>
    <i>
      <x v="678"/>
      <x v="48"/>
    </i>
    <i>
      <x v="679"/>
      <x v="156"/>
    </i>
    <i>
      <x v="680"/>
      <x v="325"/>
    </i>
    <i>
      <x v="681"/>
      <x v="488"/>
    </i>
    <i>
      <x v="682"/>
      <x v="154"/>
    </i>
    <i>
      <x v="683"/>
      <x v="478"/>
    </i>
    <i>
      <x v="684"/>
      <x v="459"/>
    </i>
    <i>
      <x v="685"/>
      <x v="31"/>
    </i>
    <i>
      <x v="686"/>
      <x v="260"/>
    </i>
    <i>
      <x v="687"/>
      <x v="858"/>
    </i>
    <i>
      <x v="688"/>
      <x v="375"/>
    </i>
    <i>
      <x v="689"/>
      <x v="827"/>
    </i>
    <i>
      <x v="690"/>
      <x v="536"/>
    </i>
    <i>
      <x v="691"/>
      <x v="23"/>
    </i>
    <i>
      <x v="692"/>
      <x v="215"/>
    </i>
    <i>
      <x v="693"/>
      <x v="508"/>
    </i>
    <i>
      <x v="694"/>
      <x v="86"/>
    </i>
    <i>
      <x v="695"/>
      <x v="351"/>
    </i>
    <i>
      <x v="696"/>
      <x v="482"/>
    </i>
    <i>
      <x v="697"/>
      <x v="144"/>
    </i>
    <i>
      <x v="698"/>
      <x v="671"/>
    </i>
    <i>
      <x v="699"/>
      <x v="507"/>
    </i>
    <i>
      <x v="700"/>
      <x v="648"/>
    </i>
    <i>
      <x v="701"/>
      <x v="674"/>
    </i>
    <i>
      <x v="702"/>
      <x v="476"/>
    </i>
    <i>
      <x v="703"/>
      <x v="687"/>
    </i>
    <i>
      <x v="704"/>
      <x v="565"/>
    </i>
    <i>
      <x v="705"/>
      <x v="277"/>
    </i>
    <i>
      <x v="706"/>
      <x v="290"/>
    </i>
    <i>
      <x v="707"/>
      <x v="461"/>
    </i>
    <i>
      <x v="708"/>
      <x v="92"/>
    </i>
    <i>
      <x v="709"/>
      <x v="364"/>
    </i>
    <i>
      <x v="710"/>
      <x v="660"/>
    </i>
    <i>
      <x v="711"/>
      <x v="181"/>
    </i>
    <i>
      <x v="712"/>
      <x v="250"/>
    </i>
    <i>
      <x v="713"/>
      <x v="458"/>
    </i>
    <i>
      <x v="714"/>
      <x v="113"/>
    </i>
    <i>
      <x v="715"/>
      <x v="785"/>
    </i>
    <i>
      <x v="716"/>
      <x v="367"/>
    </i>
    <i>
      <x v="717"/>
      <x v="477"/>
    </i>
    <i>
      <x v="718"/>
      <x v="415"/>
    </i>
    <i>
      <x v="719"/>
      <x v="799"/>
    </i>
    <i>
      <x v="720"/>
      <x v="769"/>
    </i>
    <i>
      <x v="721"/>
      <x v="775"/>
    </i>
    <i>
      <x v="722"/>
      <x v="808"/>
    </i>
    <i>
      <x v="723"/>
      <x v="854"/>
    </i>
    <i>
      <x v="724"/>
      <x v="846"/>
    </i>
    <i>
      <x v="725"/>
      <x v="845"/>
    </i>
    <i>
      <x v="726"/>
      <x v="630"/>
    </i>
    <i>
      <x v="727"/>
      <x v="436"/>
    </i>
    <i>
      <x v="728"/>
      <x v="773"/>
    </i>
    <i>
      <x v="729"/>
      <x v="820"/>
    </i>
    <i>
      <x v="730"/>
      <x v="338"/>
    </i>
    <i>
      <x v="731"/>
      <x v="533"/>
    </i>
    <i>
      <x v="732"/>
      <x v="214"/>
    </i>
    <i>
      <x v="733"/>
      <x v="7"/>
    </i>
    <i>
      <x v="734"/>
      <x v="14"/>
    </i>
    <i>
      <x v="735"/>
      <x v="247"/>
    </i>
    <i>
      <x v="736"/>
      <x v="152"/>
    </i>
    <i>
      <x v="737"/>
      <x v="595"/>
    </i>
    <i>
      <x v="738"/>
      <x v="210"/>
    </i>
    <i>
      <x v="739"/>
      <x v="79"/>
    </i>
    <i>
      <x v="740"/>
      <x v="518"/>
    </i>
    <i>
      <x v="741"/>
      <x v="563"/>
    </i>
    <i>
      <x v="742"/>
      <x v="596"/>
    </i>
    <i>
      <x v="743"/>
      <x v="597"/>
    </i>
    <i>
      <x v="744"/>
      <x v="653"/>
    </i>
    <i>
      <x v="745"/>
      <x v="328"/>
    </i>
    <i>
      <x v="746"/>
      <x v="276"/>
    </i>
    <i>
      <x v="747"/>
      <x v="503"/>
    </i>
    <i>
      <x v="748"/>
      <x v="741"/>
    </i>
    <i>
      <x v="749"/>
      <x v="340"/>
    </i>
    <i>
      <x v="750"/>
      <x v="303"/>
    </i>
    <i>
      <x v="751"/>
      <x v="468"/>
    </i>
    <i>
      <x v="752"/>
      <x v="379"/>
    </i>
    <i>
      <x v="753"/>
      <x v="670"/>
    </i>
    <i>
      <x v="754"/>
      <x v="464"/>
    </i>
    <i>
      <x v="755"/>
      <x v="269"/>
    </i>
    <i>
      <x v="756"/>
      <x v="374"/>
    </i>
    <i>
      <x v="757"/>
      <x v="263"/>
    </i>
    <i>
      <x v="758"/>
      <x v="280"/>
    </i>
    <i>
      <x v="759"/>
      <x v="299"/>
    </i>
    <i>
      <x v="760"/>
      <x v="512"/>
    </i>
    <i>
      <x v="761"/>
      <x v="302"/>
    </i>
    <i>
      <x v="762"/>
      <x v="395"/>
    </i>
    <i>
      <x v="763"/>
      <x v="292"/>
    </i>
    <i>
      <x v="764"/>
      <x v="634"/>
    </i>
    <i>
      <x v="765"/>
      <x v="404"/>
    </i>
    <i>
      <x v="766"/>
      <x v="161"/>
    </i>
    <i>
      <x v="767"/>
      <x v="40"/>
    </i>
    <i>
      <x v="768"/>
      <x v="590"/>
    </i>
    <i>
      <x v="769"/>
      <x v="53"/>
    </i>
    <i>
      <x v="770"/>
      <x v="70"/>
    </i>
    <i>
      <x v="771"/>
      <x v="23"/>
    </i>
    <i>
      <x v="772"/>
      <x v="24"/>
    </i>
    <i>
      <x v="773"/>
      <x v="24"/>
    </i>
    <i>
      <x v="774"/>
      <x v="39"/>
    </i>
    <i>
      <x v="775"/>
      <x v="20"/>
    </i>
    <i>
      <x v="776"/>
      <x v="26"/>
    </i>
    <i>
      <x v="777"/>
      <x v="14"/>
    </i>
    <i>
      <x v="778"/>
      <x v="11"/>
    </i>
    <i>
      <x v="779"/>
      <x v="30"/>
    </i>
    <i>
      <x v="780"/>
      <x v="34"/>
    </i>
    <i>
      <x v="781"/>
      <x v="22"/>
    </i>
    <i>
      <x v="782"/>
      <x v="15"/>
    </i>
    <i>
      <x v="783"/>
      <x v="11"/>
    </i>
    <i>
      <x v="784"/>
      <x v="65"/>
    </i>
    <i>
      <x v="785"/>
      <x v="53"/>
    </i>
    <i>
      <x v="786"/>
      <x v="12"/>
    </i>
    <i>
      <x v="787"/>
      <x v="18"/>
    </i>
    <i>
      <x v="788"/>
      <x v="14"/>
    </i>
    <i>
      <x v="789"/>
      <x v="79"/>
    </i>
    <i>
      <x v="790"/>
      <x v="19"/>
    </i>
    <i>
      <x v="791"/>
      <x v="25"/>
    </i>
    <i>
      <x v="792"/>
      <x v="11"/>
    </i>
    <i>
      <x v="793"/>
      <x v="44"/>
    </i>
    <i>
      <x v="794"/>
      <x v="13"/>
    </i>
    <i>
      <x v="795"/>
      <x v="42"/>
    </i>
    <i>
      <x v="796"/>
      <x v="14"/>
    </i>
    <i>
      <x v="797"/>
      <x v="20"/>
    </i>
    <i>
      <x v="798"/>
      <x v="9"/>
    </i>
    <i>
      <x v="799"/>
      <x v="28"/>
    </i>
    <i>
      <x v="800"/>
      <x/>
    </i>
    <i>
      <x v="801"/>
      <x v="755"/>
    </i>
    <i>
      <x v="802"/>
      <x v="444"/>
    </i>
    <i>
      <x v="803"/>
      <x/>
    </i>
    <i>
      <x v="804"/>
      <x v="173"/>
    </i>
    <i>
      <x v="805"/>
      <x v="197"/>
    </i>
    <i>
      <x v="806"/>
      <x v="819"/>
    </i>
    <i>
      <x v="807"/>
      <x v="190"/>
    </i>
    <i>
      <x v="808"/>
      <x v="92"/>
    </i>
    <i>
      <x v="809"/>
      <x v="109"/>
    </i>
    <i>
      <x v="810"/>
      <x v="770"/>
    </i>
    <i>
      <x v="811"/>
      <x v="603"/>
    </i>
    <i>
      <x v="812"/>
      <x v="624"/>
    </i>
    <i>
      <x v="813"/>
      <x v="198"/>
    </i>
    <i>
      <x v="814"/>
      <x v="505"/>
    </i>
    <i>
      <x v="815"/>
      <x v="496"/>
    </i>
    <i>
      <x v="816"/>
      <x v="645"/>
    </i>
    <i>
      <x v="817"/>
      <x v="673"/>
    </i>
    <i>
      <x v="818"/>
      <x v="548"/>
    </i>
    <i>
      <x v="819"/>
      <x v="736"/>
    </i>
    <i>
      <x v="820"/>
      <x v="614"/>
    </i>
    <i>
      <x v="821"/>
      <x v="358"/>
    </i>
    <i>
      <x v="822"/>
      <x v="125"/>
    </i>
    <i>
      <x v="823"/>
      <x v="85"/>
    </i>
    <i>
      <x v="824"/>
      <x v="803"/>
    </i>
    <i>
      <x v="825"/>
      <x v="343"/>
    </i>
    <i>
      <x v="826"/>
      <x v="120"/>
    </i>
    <i>
      <x v="827"/>
      <x v="81"/>
    </i>
    <i>
      <x v="828"/>
      <x v="754"/>
    </i>
    <i>
      <x v="829"/>
      <x v="187"/>
    </i>
    <i>
      <x v="830"/>
      <x v="206"/>
    </i>
    <i>
      <x v="831"/>
      <x v="707"/>
    </i>
    <i>
      <x v="832"/>
      <x v="656"/>
    </i>
    <i>
      <x v="833"/>
      <x v="203"/>
    </i>
    <i>
      <x v="834"/>
      <x v="115"/>
    </i>
    <i>
      <x v="835"/>
      <x v="208"/>
    </i>
    <i>
      <x v="836"/>
      <x v="82"/>
    </i>
    <i>
      <x v="837"/>
      <x v="238"/>
    </i>
    <i>
      <x v="838"/>
      <x v="275"/>
    </i>
    <i>
      <x v="839"/>
      <x v="368"/>
    </i>
    <i>
      <x v="840"/>
      <x v="483"/>
    </i>
    <i>
      <x v="841"/>
      <x/>
    </i>
    <i>
      <x v="842"/>
      <x v="142"/>
    </i>
    <i>
      <x v="843"/>
      <x v="39"/>
    </i>
    <i>
      <x v="844"/>
      <x v="227"/>
    </i>
    <i>
      <x v="845"/>
      <x v="65"/>
    </i>
    <i>
      <x v="846"/>
      <x v="150"/>
    </i>
    <i>
      <x v="847"/>
      <x v="389"/>
    </i>
    <i>
      <x v="848"/>
      <x v="669"/>
    </i>
    <i>
      <x v="849"/>
      <x v="338"/>
    </i>
    <i>
      <x v="850"/>
      <x v="46"/>
    </i>
    <i>
      <x v="851"/>
      <x v="107"/>
    </i>
    <i>
      <x v="852"/>
      <x v="146"/>
    </i>
    <i>
      <x v="853"/>
      <x v="378"/>
    </i>
    <i>
      <x v="854"/>
      <x v="393"/>
    </i>
    <i>
      <x v="855"/>
      <x v="312"/>
    </i>
    <i>
      <x v="856"/>
      <x v="254"/>
    </i>
    <i>
      <x v="857"/>
      <x v="236"/>
    </i>
    <i>
      <x v="858"/>
      <x v="354"/>
    </i>
    <i>
      <x v="859"/>
      <x v="6"/>
    </i>
    <i>
      <x v="860"/>
      <x v="201"/>
    </i>
    <i>
      <x v="861"/>
      <x v="111"/>
    </i>
    <i>
      <x v="862"/>
      <x/>
    </i>
    <i>
      <x v="863"/>
      <x v="430"/>
    </i>
    <i>
      <x v="864"/>
      <x v="584"/>
    </i>
    <i>
      <x v="865"/>
      <x v="29"/>
    </i>
    <i>
      <x v="866"/>
      <x v="557"/>
    </i>
    <i>
      <x v="867"/>
      <x v="183"/>
    </i>
    <i>
      <x v="868"/>
      <x v="792"/>
    </i>
    <i>
      <x v="869"/>
      <x v="390"/>
    </i>
    <i>
      <x v="870"/>
      <x v="506"/>
    </i>
    <i>
      <x v="871"/>
      <x/>
    </i>
    <i>
      <x v="872"/>
      <x v="371"/>
    </i>
    <i>
      <x v="873"/>
      <x v="11"/>
    </i>
    <i>
      <x v="874"/>
      <x v="65"/>
    </i>
    <i>
      <x v="875"/>
      <x v="139"/>
    </i>
    <i>
      <x v="876"/>
      <x v="129"/>
    </i>
    <i>
      <x v="877"/>
      <x v="397"/>
    </i>
    <i>
      <x v="878"/>
      <x v="234"/>
    </i>
    <i>
      <x v="879"/>
      <x v="544"/>
    </i>
    <i>
      <x v="880"/>
      <x v="425"/>
    </i>
    <i>
      <x v="881"/>
      <x v="283"/>
    </i>
    <i>
      <x v="882"/>
      <x v="633"/>
    </i>
    <i>
      <x v="883"/>
      <x v="61"/>
    </i>
    <i>
      <x v="884"/>
      <x v="359"/>
    </i>
    <i>
      <x v="885"/>
      <x v="450"/>
    </i>
    <i>
      <x v="886"/>
      <x v="619"/>
    </i>
    <i>
      <x v="887"/>
      <x v="553"/>
    </i>
    <i>
      <x v="888"/>
      <x v="678"/>
    </i>
    <i>
      <x v="889"/>
      <x v="646"/>
    </i>
    <i>
      <x v="890"/>
      <x v="832"/>
    </i>
    <i>
      <x v="891"/>
      <x v="697"/>
    </i>
    <i>
      <x v="892"/>
      <x v="714"/>
    </i>
    <i>
      <x v="893"/>
      <x v="516"/>
    </i>
    <i>
      <x v="894"/>
      <x v="765"/>
    </i>
    <i>
      <x v="895"/>
      <x v="36"/>
    </i>
    <i>
      <x v="896"/>
      <x v="217"/>
    </i>
    <i>
      <x v="897"/>
      <x v="641"/>
    </i>
    <i>
      <x v="898"/>
      <x v="823"/>
    </i>
    <i>
      <x v="899"/>
      <x v="632"/>
    </i>
    <i>
      <x v="900"/>
      <x v="525"/>
    </i>
    <i>
      <x v="901"/>
      <x v="605"/>
    </i>
    <i>
      <x v="902"/>
      <x v="831"/>
    </i>
    <i>
      <x v="903"/>
      <x v="334"/>
    </i>
    <i>
      <x v="904"/>
      <x v="72"/>
    </i>
    <i>
      <x v="905"/>
      <x v="623"/>
    </i>
    <i>
      <x v="906"/>
      <x v="346"/>
    </i>
    <i>
      <x v="907"/>
      <x v="296"/>
    </i>
    <i>
      <x v="908"/>
      <x v="745"/>
    </i>
    <i>
      <x v="909"/>
      <x v="484"/>
    </i>
    <i>
      <x v="910"/>
      <x v="306"/>
    </i>
    <i>
      <x v="911"/>
      <x v="386"/>
    </i>
    <i>
      <x v="912"/>
      <x v="662"/>
    </i>
    <i>
      <x v="913"/>
      <x v="411"/>
    </i>
    <i>
      <x v="914"/>
      <x v="295"/>
    </i>
    <i>
      <x v="915"/>
      <x v="663"/>
    </i>
    <i>
      <x v="916"/>
      <x v="1"/>
    </i>
    <i>
      <x v="917"/>
      <x v="13"/>
    </i>
    <i>
      <x v="918"/>
      <x v="136"/>
    </i>
    <i>
      <x v="919"/>
      <x v="304"/>
    </i>
    <i>
      <x v="920"/>
      <x v="360"/>
    </i>
    <i>
      <x v="921"/>
      <x v="350"/>
    </i>
    <i>
      <x v="922"/>
      <x v="524"/>
    </i>
    <i>
      <x v="923"/>
      <x v="192"/>
    </i>
    <i>
      <x v="924"/>
      <x v="522"/>
    </i>
    <i>
      <x v="925"/>
      <x v="443"/>
    </i>
    <i>
      <x v="926"/>
      <x v="453"/>
    </i>
    <i>
      <x v="927"/>
      <x v="460"/>
    </i>
    <i>
      <x v="928"/>
      <x v="442"/>
    </i>
    <i>
      <x v="929"/>
      <x v="791"/>
    </i>
    <i>
      <x v="930"/>
      <x v="132"/>
    </i>
    <i>
      <x v="931"/>
      <x v="72"/>
    </i>
    <i>
      <x v="932"/>
      <x v="18"/>
    </i>
    <i>
      <x v="933"/>
      <x v="52"/>
    </i>
    <i>
      <x v="934"/>
      <x v="224"/>
    </i>
    <i>
      <x v="935"/>
      <x v="448"/>
    </i>
    <i>
      <x v="936"/>
      <x v="401"/>
    </i>
    <i>
      <x v="937"/>
      <x v="647"/>
    </i>
    <i>
      <x v="938"/>
      <x v="166"/>
    </i>
    <i>
      <x v="939"/>
      <x v="267"/>
    </i>
    <i>
      <x v="940"/>
      <x v="291"/>
    </i>
    <i>
      <x v="941"/>
      <x v="42"/>
    </i>
    <i>
      <x v="942"/>
      <x v="708"/>
    </i>
    <i>
      <x v="943"/>
      <x v="372"/>
    </i>
    <i>
      <x v="944"/>
      <x v="760"/>
    </i>
    <i>
      <x v="945"/>
      <x v="622"/>
    </i>
    <i>
      <x v="946"/>
      <x v="529"/>
    </i>
    <i>
      <x v="947"/>
      <x v="54"/>
    </i>
    <i>
      <x v="948"/>
      <x v="655"/>
    </i>
    <i>
      <x v="949"/>
      <x v="36"/>
    </i>
    <i>
      <x v="950"/>
      <x v="97"/>
    </i>
    <i>
      <x v="951"/>
      <x v="185"/>
    </i>
    <i>
      <x v="952"/>
      <x v="604"/>
    </i>
    <i>
      <x v="953"/>
      <x v="112"/>
    </i>
    <i>
      <x v="954"/>
      <x v="118"/>
    </i>
    <i>
      <x v="955"/>
      <x v="45"/>
    </i>
    <i>
      <x v="956"/>
      <x v="382"/>
    </i>
    <i>
      <x v="957"/>
      <x v="733"/>
    </i>
    <i>
      <x v="958"/>
      <x v="684"/>
    </i>
    <i>
      <x v="959"/>
      <x v="9"/>
    </i>
    <i>
      <x v="960"/>
      <x v="3"/>
    </i>
    <i>
      <x v="961"/>
      <x v="696"/>
    </i>
    <i>
      <x v="962"/>
      <x v="157"/>
    </i>
    <i>
      <x v="963"/>
      <x v="347"/>
    </i>
    <i>
      <x v="964"/>
      <x v="627"/>
    </i>
    <i>
      <x v="965"/>
      <x v="11"/>
    </i>
    <i>
      <x v="966"/>
      <x/>
    </i>
    <i>
      <x v="967"/>
      <x v="818"/>
    </i>
    <i>
      <x v="968"/>
      <x v="408"/>
    </i>
    <i>
      <x v="969"/>
      <x v="125"/>
    </i>
    <i>
      <x v="970"/>
      <x v="9"/>
    </i>
    <i>
      <x v="971"/>
      <x v="103"/>
    </i>
    <i>
      <x v="972"/>
      <x v="116"/>
    </i>
    <i>
      <x v="973"/>
      <x v="23"/>
    </i>
    <i>
      <x v="974"/>
      <x v="731"/>
    </i>
    <i>
      <x v="975"/>
      <x v="59"/>
    </i>
    <i>
      <x v="976"/>
      <x v="46"/>
    </i>
    <i>
      <x v="977"/>
      <x v="335"/>
    </i>
    <i>
      <x v="978"/>
      <x v="66"/>
    </i>
    <i>
      <x v="979"/>
      <x v="248"/>
    </i>
    <i>
      <x v="980"/>
      <x v="13"/>
    </i>
    <i>
      <x v="981"/>
      <x v="40"/>
    </i>
    <i>
      <x v="982"/>
      <x v="504"/>
    </i>
    <i>
      <x v="983"/>
      <x v="839"/>
    </i>
    <i>
      <x v="984"/>
      <x v="301"/>
    </i>
    <i>
      <x v="985"/>
      <x v="600"/>
    </i>
    <i>
      <x v="986"/>
      <x v="9"/>
    </i>
    <i>
      <x v="987"/>
      <x/>
    </i>
    <i>
      <x v="988"/>
      <x v="114"/>
    </i>
    <i>
      <x v="989"/>
      <x v="406"/>
    </i>
    <i>
      <x v="990"/>
      <x v="83"/>
    </i>
    <i>
      <x v="991"/>
      <x v="722"/>
    </i>
    <i>
      <x v="992"/>
      <x v="239"/>
    </i>
    <i>
      <x v="993"/>
      <x v="628"/>
    </i>
    <i>
      <x v="994"/>
      <x v="2"/>
    </i>
    <i>
      <x v="995"/>
      <x v="666"/>
    </i>
    <i>
      <x v="996"/>
      <x v="226"/>
    </i>
    <i>
      <x v="997"/>
      <x v="329"/>
    </i>
    <i>
      <x v="998"/>
      <x v="74"/>
    </i>
    <i>
      <x v="999"/>
      <x/>
    </i>
    <i>
      <x v="1000"/>
      <x v="90"/>
    </i>
    <i>
      <x v="1001"/>
      <x v="364"/>
    </i>
    <i>
      <x v="1002"/>
      <x v="218"/>
    </i>
    <i>
      <x v="1003"/>
      <x v="688"/>
    </i>
    <i>
      <x v="1004"/>
      <x v="588"/>
    </i>
    <i>
      <x v="1005"/>
      <x v="682"/>
    </i>
    <i>
      <x v="1006"/>
      <x v="164"/>
    </i>
    <i>
      <x v="1007"/>
      <x v="352"/>
    </i>
    <i>
      <x v="1008"/>
      <x v="90"/>
    </i>
    <i>
      <x v="1009"/>
      <x v="16"/>
    </i>
    <i>
      <x v="1010"/>
      <x v="309"/>
    </i>
    <i>
      <x v="1011"/>
      <x v="212"/>
    </i>
    <i>
      <x v="1012"/>
      <x v="573"/>
    </i>
    <i>
      <x v="1013"/>
      <x v="387"/>
    </i>
    <i>
      <x v="1014"/>
      <x v="497"/>
    </i>
    <i>
      <x v="1015"/>
      <x v="36"/>
    </i>
    <i>
      <x v="1016"/>
      <x v="278"/>
    </i>
    <i>
      <x v="1017"/>
      <x v="171"/>
    </i>
    <i>
      <x v="1018"/>
      <x v="495"/>
    </i>
    <i>
      <x v="1019"/>
      <x v="293"/>
    </i>
    <i>
      <x v="1020"/>
      <x v="473"/>
    </i>
    <i>
      <x v="1021"/>
      <x v="369"/>
    </i>
    <i>
      <x v="1022"/>
      <x v="96"/>
    </i>
    <i>
      <x v="1023"/>
      <x v="698"/>
    </i>
    <i>
      <x v="1024"/>
      <x v="186"/>
    </i>
    <i>
      <x v="1025"/>
      <x v="319"/>
    </i>
    <i>
      <x v="1026"/>
      <x v="724"/>
    </i>
    <i>
      <x v="1027"/>
      <x v="417"/>
    </i>
    <i>
      <x v="1028"/>
      <x v="196"/>
    </i>
    <i>
      <x v="1029"/>
      <x v="767"/>
    </i>
    <i>
      <x v="1030"/>
      <x v="208"/>
    </i>
    <i>
      <x v="1031"/>
      <x v="701"/>
    </i>
    <i>
      <x v="1032"/>
      <x v="388"/>
    </i>
    <i>
      <x v="1033"/>
      <x v="55"/>
    </i>
    <i>
      <x v="1034"/>
      <x v="194"/>
    </i>
    <i>
      <x v="1035"/>
      <x v="675"/>
    </i>
    <i>
      <x v="1036"/>
      <x v="782"/>
    </i>
    <i>
      <x v="1037"/>
      <x v="489"/>
    </i>
    <i>
      <x v="1038"/>
      <x v="233"/>
    </i>
    <i>
      <x v="1039"/>
      <x v="88"/>
    </i>
    <i>
      <x v="1040"/>
      <x v="71"/>
    </i>
    <i>
      <x v="1041"/>
      <x v="156"/>
    </i>
    <i>
      <x v="1042"/>
      <x v="222"/>
    </i>
    <i>
      <x v="1043"/>
      <x v="284"/>
    </i>
    <i>
      <x v="1044"/>
      <x v="262"/>
    </i>
    <i>
      <x v="1045"/>
      <x v="204"/>
    </i>
    <i>
      <x v="1046"/>
      <x v="126"/>
    </i>
    <i>
      <x v="1047"/>
      <x v="729"/>
    </i>
    <i>
      <x v="1048"/>
      <x v="131"/>
    </i>
    <i>
      <x v="1049"/>
      <x v="650"/>
    </i>
    <i>
      <x v="1050"/>
      <x v="178"/>
    </i>
    <i>
      <x v="1051"/>
      <x v="428"/>
    </i>
    <i>
      <x v="1052"/>
      <x v="54"/>
    </i>
    <i>
      <x v="1053"/>
      <x v="37"/>
    </i>
    <i>
      <x v="1054"/>
      <x v="13"/>
    </i>
    <i>
      <x v="1055"/>
      <x v="81"/>
    </i>
    <i>
      <x v="1056"/>
      <x v="381"/>
    </i>
    <i>
      <x v="1057"/>
      <x v="783"/>
    </i>
    <i>
      <x v="1058"/>
      <x v="789"/>
    </i>
    <i t="grand">
      <x/>
    </i>
  </rowItems>
  <colItems count="1">
    <i/>
  </colItems>
  <dataFields count="1">
    <dataField name="SUM of Volume total a" fld="29" showDataAs="percentOfCol" baseField="0" baseItem="0" numFmtId="10"/>
  </dataField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Quanti" cacheId="0" autoFormatId="1" applyNumberFormats="0" applyBorderFormats="0" applyFontFormats="0" applyPatternFormats="0" applyAlignmentFormats="0" applyWidthHeightFormats="1" dataCaption="" updatedVersion="5" compact="0" compactData="0" showDrill="1">
  <location ref="A1:G11" firstHeaderRow="1" firstDataRow="2" firstDataCol="2"/>
  <pivotFields count="43">
    <pivotField compact="0" outline="0" multipleItemSelectionAllowed="1" showAll="0"/>
    <pivotField axis="axisCol" compact="0" outline="0" multipleItemSelectionAllowed="1" showAll="0">
      <items count="5">
        <item x="1"/>
        <item x="3"/>
        <item x="2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0" showAll="0"/>
    <pivotField compact="0" outline="0" multipleItemSelectionAllowed="1" numFmtId="1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" showAll="0"/>
    <pivotField compact="0" outline="0" multipleItemSelectionAllowed="1" showAll="0"/>
    <pivotField compact="0" outline="0" multipleItemSelectionAllowed="1" showAll="0"/>
    <pivotField axis="axisRow" compact="0" defaultSubtotal="0" outline="0" multipleItemSelectionAllowed="1" showAll="0">
      <items count="4">
        <item x="1"/>
        <item x="3"/>
        <item x="0"/>
        <item x="2"/>
      </items>
    </pivotField>
    <pivotField axis="axisRow" compact="0" outline="0" multipleItemSelectionAllowed="1" showAll="0">
      <items count="8">
        <item x="0"/>
        <item x="2"/>
        <item x="1"/>
        <item x="6"/>
        <item x="4"/>
        <item x="3"/>
        <item x="5"/>
        <item t="default"/>
      </items>
    </pivotField>
  </pivotFields>
  <rowFields count="2">
    <field x="41"/>
    <field x="42"/>
  </rowFields>
  <rowItems count="9">
    <i>
      <x/>
      <x v="2"/>
    </i>
    <i>
      <x v="1"/>
      <x v="3"/>
    </i>
    <i>
      <x v="2"/>
      <x/>
    </i>
    <i r="1">
      <x v="1"/>
    </i>
    <i r="1">
      <x v="2"/>
    </i>
    <i r="1">
      <x v="5"/>
    </i>
    <i>
      <x v="3"/>
      <x v="4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_temp" fld="18" subtotal="countNums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1" name="Tabela_1" displayName="Tabela_1" ref="O1:Q23" totalsRowCount="1">
  <tableColumns count="3">
    <tableColumn id="1" name="categoria" dataDxfId="0" totalsRowLabel="Total geral"/>
    <tableColumn id="2" name="COUNT de id_temp" dataDxfId="1" totalsRowLabel="1065"/>
    <tableColumn id="3" name="COUNT de id_temp 2" dataDxfId="2" totalsRowLabel="100.00%"/>
  </tableColumns>
  <tableStyleInfo name="Tabela dinâmica 3-style" showFirstColumn="1" showLastColumn="1" showRowStripes="1" showColumnStripes="0"/>
</table>
</file>

<file path=xl/tables/table2.xml><?xml version="1.0" encoding="utf-8"?>
<table xmlns="http://schemas.openxmlformats.org/spreadsheetml/2006/main" id="2" name="Tabela_2" displayName="Tabela_2" ref="S1:U23" totalsRowCount="1">
  <tableColumns count="3">
    <tableColumn id="1" name="categoria" dataDxfId="3" totalsRowLabel="Total geral"/>
    <tableColumn id="2" name="SUM de volume_total_ano" dataDxfId="4" totalsRowLabel="18747590"/>
    <tableColumn id="3" name="SUM de volume_total_ano 2" dataDxfId="5" totalsRowLabel="100.00%"/>
  </tableColumns>
  <tableStyleInfo name="Tabela dinâmica 3-style 2" showFirstColumn="1" showLastColumn="1" showRowStripes="1" showColumnStripes="0"/>
</table>
</file>

<file path=xl/tables/table3.xml><?xml version="1.0" encoding="utf-8"?>
<table xmlns="http://schemas.openxmlformats.org/spreadsheetml/2006/main" id="3" name="Tabela_3" displayName="Tabela_3" ref="A1:E1062" totalsRowCount="1">
  <tableColumns count="5">
    <tableColumn id="1" name="titulo_servico" dataDxfId="6" totalsRowLabel="Total geral"/>
    <tableColumn id="2" name="Volume total chamados (SGRC) " dataDxfId="7"/>
    <tableColumn id="3" name="SUM de volume_total_ano" dataDxfId="8" totalsRowLabel="100.00%"/>
    <tableColumn id="4" name="% Chamados SGRC" dataDxfId="9"/>
    <tableColumn id="5" name="Coluna 1" dataDxfId="10" totalsRowFunction="custom"/>
  </tableColumns>
  <tableStyleInfo name="Relatórios-style" showFirstColumn="1" showLastColumn="1" showRowStripes="1" showColumnStripes="0"/>
</table>
</file>

<file path=xl/tables/table4.xml><?xml version="1.0" encoding="utf-8"?>
<table xmlns="http://schemas.openxmlformats.org/spreadsheetml/2006/main" id="4" name="Tabela_4" displayName="Tabela_4" ref="G1:I1062" totalsRowCount="1">
  <tableColumns count="3">
    <tableColumn id="1" name="titulo_servico" dataDxfId="11" totalsRowLabel="Total geral"/>
    <tableColumn id="2" name="Volume total a" dataDxfId="12"/>
    <tableColumn id="3" name="SUM de Volume total a" dataDxfId="13" totalsRowLabel="100.00%"/>
  </tableColumns>
  <tableStyleInfo name="Relatóri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1" sqref="I1"/>
    </sheetView>
  </sheetViews>
  <sheetFormatPr defaultColWidth="14.4259259259259" defaultRowHeight="15" customHeight="1"/>
  <cols>
    <col min="1" max="1" width="71.1388888888889" customWidth="1"/>
    <col min="2" max="2" width="23.8611111111111" customWidth="1"/>
    <col min="3" max="3" width="12.287037037037" customWidth="1"/>
    <col min="4" max="4" width="23.712962962963" customWidth="1"/>
    <col min="5" max="5" width="34" customWidth="1"/>
    <col min="6" max="7" width="12.287037037037" hidden="1" customWidth="1"/>
    <col min="8" max="8" width="15" hidden="1" customWidth="1"/>
    <col min="9" max="9" width="31.4259259259259" customWidth="1"/>
    <col min="10" max="10" width="12.8611111111111" customWidth="1"/>
    <col min="11" max="11" width="9.42592592592593" customWidth="1"/>
    <col min="12" max="12" width="12.5740740740741" customWidth="1"/>
    <col min="13" max="13" width="12.4259259259259" customWidth="1"/>
  </cols>
  <sheetData>
    <row r="1" ht="62.25" customHeight="1" spans="1:13">
      <c r="A1" s="70" t="s">
        <v>0</v>
      </c>
      <c r="B1" s="71" t="s">
        <v>1</v>
      </c>
      <c r="C1" s="72" t="s">
        <v>2</v>
      </c>
      <c r="D1" s="72" t="s">
        <v>3</v>
      </c>
      <c r="E1" s="72" t="s">
        <v>4</v>
      </c>
      <c r="F1" s="73" t="s">
        <v>5</v>
      </c>
      <c r="G1" s="73" t="s">
        <v>6</v>
      </c>
      <c r="H1" s="73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</row>
    <row r="2" ht="43.2" spans="1:13">
      <c r="A2" s="16" t="s">
        <v>13</v>
      </c>
      <c r="B2" s="16" t="s">
        <v>14</v>
      </c>
      <c r="C2" s="16" t="s">
        <v>15</v>
      </c>
      <c r="D2" s="74" t="s">
        <v>16</v>
      </c>
      <c r="E2" s="16" t="s">
        <v>17</v>
      </c>
      <c r="F2" s="16"/>
      <c r="G2" s="75" t="b">
        <f t="shared" ref="G2:G1066" si="0">F2=A2</f>
        <v>0</v>
      </c>
      <c r="H2" s="16" t="b">
        <v>0</v>
      </c>
      <c r="I2" s="16" t="s">
        <v>18</v>
      </c>
      <c r="J2" s="16" t="s">
        <v>19</v>
      </c>
      <c r="K2" s="16" t="s">
        <v>20</v>
      </c>
      <c r="L2" s="16" t="s">
        <v>21</v>
      </c>
      <c r="M2" s="16">
        <v>107</v>
      </c>
    </row>
    <row r="3" spans="1:13">
      <c r="A3" s="16" t="s">
        <v>22</v>
      </c>
      <c r="B3" s="16" t="s">
        <v>23</v>
      </c>
      <c r="C3" s="16"/>
      <c r="D3" s="74"/>
      <c r="E3" s="16" t="s">
        <v>24</v>
      </c>
      <c r="F3" s="16"/>
      <c r="G3" s="75" t="b">
        <f t="shared" si="0"/>
        <v>0</v>
      </c>
      <c r="H3" s="16" t="b">
        <v>0</v>
      </c>
      <c r="I3" s="16" t="s">
        <v>25</v>
      </c>
      <c r="J3" s="16" t="s">
        <v>26</v>
      </c>
      <c r="K3" s="16" t="s">
        <v>27</v>
      </c>
      <c r="L3" s="16" t="s">
        <v>21</v>
      </c>
      <c r="M3" s="16">
        <v>586</v>
      </c>
    </row>
    <row r="4" spans="1:13">
      <c r="A4" s="16" t="s">
        <v>28</v>
      </c>
      <c r="B4" s="16" t="s">
        <v>23</v>
      </c>
      <c r="C4" s="16" t="s">
        <v>15</v>
      </c>
      <c r="D4" s="74"/>
      <c r="E4" s="16"/>
      <c r="F4" s="16"/>
      <c r="G4" s="75" t="b">
        <f t="shared" si="0"/>
        <v>0</v>
      </c>
      <c r="H4" s="16" t="b">
        <v>0</v>
      </c>
      <c r="I4" s="16" t="s">
        <v>29</v>
      </c>
      <c r="J4" s="16" t="s">
        <v>30</v>
      </c>
      <c r="K4" s="16" t="s">
        <v>31</v>
      </c>
      <c r="L4" s="16" t="s">
        <v>21</v>
      </c>
      <c r="M4" s="16">
        <v>27</v>
      </c>
    </row>
    <row r="5" spans="1:13">
      <c r="A5" s="16" t="s">
        <v>32</v>
      </c>
      <c r="B5" s="16" t="s">
        <v>23</v>
      </c>
      <c r="C5" s="16"/>
      <c r="D5" s="74"/>
      <c r="E5" s="16" t="s">
        <v>33</v>
      </c>
      <c r="F5" s="16"/>
      <c r="G5" s="75" t="b">
        <f t="shared" si="0"/>
        <v>0</v>
      </c>
      <c r="H5" s="16" t="b">
        <v>0</v>
      </c>
      <c r="I5" s="16" t="s">
        <v>25</v>
      </c>
      <c r="J5" s="16" t="s">
        <v>26</v>
      </c>
      <c r="K5" s="16" t="s">
        <v>27</v>
      </c>
      <c r="L5" s="16" t="s">
        <v>21</v>
      </c>
      <c r="M5" s="16">
        <v>569</v>
      </c>
    </row>
    <row r="6" ht="28.8" spans="1:13">
      <c r="A6" s="76" t="s">
        <v>34</v>
      </c>
      <c r="B6" s="16" t="s">
        <v>23</v>
      </c>
      <c r="C6" s="16" t="s">
        <v>15</v>
      </c>
      <c r="D6" s="74" t="s">
        <v>35</v>
      </c>
      <c r="E6" s="16"/>
      <c r="F6" s="16"/>
      <c r="G6" s="75" t="b">
        <f t="shared" si="0"/>
        <v>0</v>
      </c>
      <c r="H6" s="16" t="b">
        <v>0</v>
      </c>
      <c r="I6" s="16"/>
      <c r="J6" s="16" t="s">
        <v>19</v>
      </c>
      <c r="K6" s="16" t="s">
        <v>20</v>
      </c>
      <c r="L6" s="16" t="s">
        <v>21</v>
      </c>
      <c r="M6" s="16">
        <v>434</v>
      </c>
    </row>
    <row r="7" spans="1:13">
      <c r="A7" s="16" t="s">
        <v>36</v>
      </c>
      <c r="B7" s="16" t="s">
        <v>14</v>
      </c>
      <c r="C7" s="16" t="s">
        <v>15</v>
      </c>
      <c r="D7" s="74"/>
      <c r="E7" s="16" t="s">
        <v>37</v>
      </c>
      <c r="F7" s="16"/>
      <c r="G7" s="75" t="b">
        <f t="shared" si="0"/>
        <v>0</v>
      </c>
      <c r="H7" s="16" t="b">
        <v>0</v>
      </c>
      <c r="I7" s="16" t="s">
        <v>18</v>
      </c>
      <c r="J7" s="16" t="s">
        <v>38</v>
      </c>
      <c r="K7" s="16"/>
      <c r="L7" s="16" t="s">
        <v>39</v>
      </c>
      <c r="M7" s="16">
        <v>458</v>
      </c>
    </row>
    <row r="8" spans="1:13">
      <c r="A8" s="16" t="s">
        <v>40</v>
      </c>
      <c r="B8" s="16" t="s">
        <v>23</v>
      </c>
      <c r="C8" s="16" t="s">
        <v>15</v>
      </c>
      <c r="D8" s="74"/>
      <c r="E8" s="16"/>
      <c r="F8" s="16"/>
      <c r="G8" s="75" t="b">
        <f t="shared" si="0"/>
        <v>0</v>
      </c>
      <c r="H8" s="16" t="b">
        <v>0</v>
      </c>
      <c r="I8" s="16" t="s">
        <v>41</v>
      </c>
      <c r="J8" s="16" t="s">
        <v>30</v>
      </c>
      <c r="K8" s="16" t="s">
        <v>31</v>
      </c>
      <c r="L8" s="16" t="s">
        <v>21</v>
      </c>
      <c r="M8" s="16">
        <v>694</v>
      </c>
    </row>
    <row r="9" spans="1:13">
      <c r="A9" s="16" t="s">
        <v>42</v>
      </c>
      <c r="B9" s="16" t="s">
        <v>23</v>
      </c>
      <c r="C9" s="16"/>
      <c r="D9" s="74"/>
      <c r="E9" s="16"/>
      <c r="F9" s="16"/>
      <c r="G9" s="75" t="b">
        <f t="shared" si="0"/>
        <v>0</v>
      </c>
      <c r="H9" s="16" t="b">
        <v>0</v>
      </c>
      <c r="I9" s="16" t="s">
        <v>25</v>
      </c>
      <c r="J9" s="16" t="s">
        <v>26</v>
      </c>
      <c r="K9" s="16" t="s">
        <v>43</v>
      </c>
      <c r="L9" s="16" t="s">
        <v>21</v>
      </c>
      <c r="M9" s="16">
        <v>651</v>
      </c>
    </row>
    <row r="10" spans="1:13">
      <c r="A10" s="16" t="s">
        <v>44</v>
      </c>
      <c r="B10" s="16" t="s">
        <v>23</v>
      </c>
      <c r="C10" s="16"/>
      <c r="D10" s="74"/>
      <c r="E10" s="16"/>
      <c r="F10" s="16"/>
      <c r="G10" s="75" t="b">
        <f t="shared" si="0"/>
        <v>0</v>
      </c>
      <c r="H10" s="16" t="b">
        <v>0</v>
      </c>
      <c r="I10" s="16" t="s">
        <v>45</v>
      </c>
      <c r="J10" s="16" t="s">
        <v>46</v>
      </c>
      <c r="K10" s="16" t="s">
        <v>47</v>
      </c>
      <c r="L10" s="16" t="s">
        <v>21</v>
      </c>
      <c r="M10" s="16">
        <v>266</v>
      </c>
    </row>
    <row r="11" spans="1:13">
      <c r="A11" s="16" t="s">
        <v>48</v>
      </c>
      <c r="B11" s="16" t="s">
        <v>23</v>
      </c>
      <c r="C11" s="16"/>
      <c r="D11" s="74"/>
      <c r="E11" s="16"/>
      <c r="F11" s="16"/>
      <c r="G11" s="75" t="b">
        <f t="shared" si="0"/>
        <v>0</v>
      </c>
      <c r="H11" s="16" t="b">
        <v>0</v>
      </c>
      <c r="I11" s="16" t="s">
        <v>25</v>
      </c>
      <c r="J11" s="16" t="s">
        <v>26</v>
      </c>
      <c r="K11" s="16" t="s">
        <v>27</v>
      </c>
      <c r="L11" s="16" t="s">
        <v>21</v>
      </c>
      <c r="M11" s="16">
        <v>585</v>
      </c>
    </row>
    <row r="12" spans="1:13">
      <c r="A12" s="16" t="s">
        <v>49</v>
      </c>
      <c r="B12" s="16" t="s">
        <v>23</v>
      </c>
      <c r="C12" s="16"/>
      <c r="D12" s="74"/>
      <c r="E12" s="16"/>
      <c r="F12" s="16"/>
      <c r="G12" s="75" t="b">
        <f t="shared" si="0"/>
        <v>0</v>
      </c>
      <c r="H12" s="16" t="b">
        <v>0</v>
      </c>
      <c r="I12" s="16" t="s">
        <v>25</v>
      </c>
      <c r="J12" s="16" t="s">
        <v>26</v>
      </c>
      <c r="K12" s="16" t="s">
        <v>50</v>
      </c>
      <c r="L12" s="16" t="s">
        <v>21</v>
      </c>
      <c r="M12" s="16">
        <v>596</v>
      </c>
    </row>
    <row r="13" spans="1:13">
      <c r="A13" s="16" t="s">
        <v>51</v>
      </c>
      <c r="B13" s="16" t="s">
        <v>23</v>
      </c>
      <c r="C13" s="16"/>
      <c r="D13" s="74"/>
      <c r="E13" s="16"/>
      <c r="F13" s="16"/>
      <c r="G13" s="75" t="b">
        <f t="shared" si="0"/>
        <v>0</v>
      </c>
      <c r="H13" s="16" t="b">
        <v>0</v>
      </c>
      <c r="I13" s="16" t="s">
        <v>25</v>
      </c>
      <c r="J13" s="16" t="s">
        <v>26</v>
      </c>
      <c r="K13" s="16" t="s">
        <v>50</v>
      </c>
      <c r="L13" s="16" t="s">
        <v>21</v>
      </c>
      <c r="M13" s="16">
        <v>594</v>
      </c>
    </row>
    <row r="14" spans="1:13">
      <c r="A14" s="16" t="s">
        <v>52</v>
      </c>
      <c r="B14" s="16" t="s">
        <v>23</v>
      </c>
      <c r="C14" s="16"/>
      <c r="D14" s="74"/>
      <c r="E14" s="16"/>
      <c r="F14" s="16"/>
      <c r="G14" s="75" t="b">
        <f t="shared" si="0"/>
        <v>0</v>
      </c>
      <c r="H14" s="16" t="b">
        <v>0</v>
      </c>
      <c r="I14" s="16" t="s">
        <v>53</v>
      </c>
      <c r="J14" s="16" t="s">
        <v>54</v>
      </c>
      <c r="K14" s="16" t="s">
        <v>55</v>
      </c>
      <c r="L14" s="16" t="s">
        <v>21</v>
      </c>
      <c r="M14" s="16">
        <v>730</v>
      </c>
    </row>
    <row r="15" spans="1:13">
      <c r="A15" s="16" t="s">
        <v>56</v>
      </c>
      <c r="B15" s="16" t="s">
        <v>23</v>
      </c>
      <c r="C15" s="16"/>
      <c r="D15" s="74"/>
      <c r="E15" s="16"/>
      <c r="F15" s="16"/>
      <c r="G15" s="75" t="b">
        <f t="shared" si="0"/>
        <v>0</v>
      </c>
      <c r="H15" s="16" t="b">
        <v>0</v>
      </c>
      <c r="I15" s="16" t="s">
        <v>57</v>
      </c>
      <c r="J15" s="16" t="s">
        <v>58</v>
      </c>
      <c r="K15" s="16" t="s">
        <v>59</v>
      </c>
      <c r="L15" s="16" t="s">
        <v>21</v>
      </c>
      <c r="M15" s="16">
        <v>163</v>
      </c>
    </row>
    <row r="16" spans="1:13">
      <c r="A16" s="16" t="s">
        <v>60</v>
      </c>
      <c r="B16" s="16" t="s">
        <v>23</v>
      </c>
      <c r="C16" s="16"/>
      <c r="D16" s="74"/>
      <c r="E16" s="16" t="s">
        <v>33</v>
      </c>
      <c r="F16" s="16"/>
      <c r="G16" s="75" t="b">
        <f t="shared" si="0"/>
        <v>0</v>
      </c>
      <c r="H16" s="16" t="b">
        <v>0</v>
      </c>
      <c r="I16" s="16" t="s">
        <v>25</v>
      </c>
      <c r="J16" s="16" t="s">
        <v>26</v>
      </c>
      <c r="K16" s="16" t="s">
        <v>27</v>
      </c>
      <c r="L16" s="16" t="s">
        <v>21</v>
      </c>
      <c r="M16" s="16">
        <v>568</v>
      </c>
    </row>
    <row r="17" spans="1:13">
      <c r="A17" s="16" t="s">
        <v>61</v>
      </c>
      <c r="B17" s="16" t="s">
        <v>23</v>
      </c>
      <c r="C17" s="16"/>
      <c r="D17" s="74"/>
      <c r="E17" s="16"/>
      <c r="F17" s="16"/>
      <c r="G17" s="75" t="b">
        <f t="shared" si="0"/>
        <v>0</v>
      </c>
      <c r="H17" s="16" t="b">
        <v>0</v>
      </c>
      <c r="I17" s="16" t="s">
        <v>62</v>
      </c>
      <c r="J17" s="16" t="s">
        <v>63</v>
      </c>
      <c r="K17" s="16" t="s">
        <v>64</v>
      </c>
      <c r="L17" s="16" t="s">
        <v>21</v>
      </c>
      <c r="M17" s="16">
        <v>897</v>
      </c>
    </row>
    <row r="18" spans="1:13">
      <c r="A18" s="16" t="s">
        <v>65</v>
      </c>
      <c r="B18" s="16" t="s">
        <v>23</v>
      </c>
      <c r="C18" s="16"/>
      <c r="D18" s="74"/>
      <c r="E18" s="16"/>
      <c r="F18" s="16"/>
      <c r="G18" s="75" t="b">
        <f t="shared" si="0"/>
        <v>0</v>
      </c>
      <c r="H18" s="16" t="b">
        <v>0</v>
      </c>
      <c r="I18" s="16" t="s">
        <v>25</v>
      </c>
      <c r="J18" s="16" t="s">
        <v>26</v>
      </c>
      <c r="K18" s="16" t="s">
        <v>43</v>
      </c>
      <c r="L18" s="16" t="s">
        <v>21</v>
      </c>
      <c r="M18" s="16">
        <v>650</v>
      </c>
    </row>
    <row r="19" spans="1:13">
      <c r="A19" s="16" t="s">
        <v>66</v>
      </c>
      <c r="B19" s="16" t="s">
        <v>23</v>
      </c>
      <c r="C19" s="16"/>
      <c r="D19" s="74"/>
      <c r="E19" s="16"/>
      <c r="F19" s="16"/>
      <c r="G19" s="75" t="b">
        <f t="shared" si="0"/>
        <v>0</v>
      </c>
      <c r="H19" s="16" t="b">
        <v>0</v>
      </c>
      <c r="I19" s="16" t="s">
        <v>67</v>
      </c>
      <c r="J19" s="16" t="s">
        <v>26</v>
      </c>
      <c r="K19" s="16" t="s">
        <v>68</v>
      </c>
      <c r="L19" s="16" t="s">
        <v>21</v>
      </c>
      <c r="M19" s="16">
        <v>218</v>
      </c>
    </row>
    <row r="20" spans="1:13">
      <c r="A20" s="16" t="s">
        <v>69</v>
      </c>
      <c r="B20" s="16" t="s">
        <v>23</v>
      </c>
      <c r="C20" s="16"/>
      <c r="D20" s="74"/>
      <c r="E20" s="16"/>
      <c r="F20" s="16"/>
      <c r="G20" s="75" t="b">
        <f t="shared" si="0"/>
        <v>0</v>
      </c>
      <c r="H20" s="16" t="b">
        <v>0</v>
      </c>
      <c r="I20" s="16" t="s">
        <v>25</v>
      </c>
      <c r="J20" s="16" t="s">
        <v>26</v>
      </c>
      <c r="K20" s="16" t="s">
        <v>43</v>
      </c>
      <c r="L20" s="16" t="s">
        <v>21</v>
      </c>
      <c r="M20" s="16">
        <v>649</v>
      </c>
    </row>
    <row r="21" ht="15.75" customHeight="1" spans="1:13">
      <c r="A21" s="16" t="s">
        <v>70</v>
      </c>
      <c r="B21" s="16" t="s">
        <v>23</v>
      </c>
      <c r="C21" s="16"/>
      <c r="D21" s="74"/>
      <c r="E21" s="16"/>
      <c r="F21" s="16"/>
      <c r="G21" s="75" t="b">
        <f t="shared" si="0"/>
        <v>0</v>
      </c>
      <c r="H21" s="16" t="b">
        <v>0</v>
      </c>
      <c r="I21" s="16" t="s">
        <v>53</v>
      </c>
      <c r="J21" s="16" t="s">
        <v>54</v>
      </c>
      <c r="K21" s="16" t="s">
        <v>55</v>
      </c>
      <c r="L21" s="16" t="s">
        <v>21</v>
      </c>
      <c r="M21" s="16">
        <v>731</v>
      </c>
    </row>
    <row r="22" ht="15.75" customHeight="1" spans="1:13">
      <c r="A22" s="16" t="s">
        <v>71</v>
      </c>
      <c r="B22" s="16" t="s">
        <v>23</v>
      </c>
      <c r="C22" s="16"/>
      <c r="D22" s="74"/>
      <c r="E22" s="16"/>
      <c r="F22" s="16"/>
      <c r="G22" s="75" t="b">
        <f t="shared" si="0"/>
        <v>0</v>
      </c>
      <c r="H22" s="16" t="b">
        <v>0</v>
      </c>
      <c r="I22" s="16" t="s">
        <v>72</v>
      </c>
      <c r="J22" s="16" t="s">
        <v>63</v>
      </c>
      <c r="K22" s="16" t="s">
        <v>73</v>
      </c>
      <c r="L22" s="16" t="s">
        <v>21</v>
      </c>
      <c r="M22" s="16">
        <v>909</v>
      </c>
    </row>
    <row r="23" ht="15.75" customHeight="1" spans="1:13">
      <c r="A23" s="16" t="s">
        <v>74</v>
      </c>
      <c r="B23" s="16" t="s">
        <v>23</v>
      </c>
      <c r="C23" s="16"/>
      <c r="D23" s="74"/>
      <c r="E23" s="16"/>
      <c r="F23" s="16"/>
      <c r="G23" s="75" t="b">
        <f t="shared" si="0"/>
        <v>0</v>
      </c>
      <c r="H23" s="16" t="b">
        <v>0</v>
      </c>
      <c r="I23" s="16" t="s">
        <v>53</v>
      </c>
      <c r="J23" s="16" t="s">
        <v>54</v>
      </c>
      <c r="K23" s="16" t="s">
        <v>75</v>
      </c>
      <c r="L23" s="16" t="s">
        <v>21</v>
      </c>
      <c r="M23" s="16">
        <v>732</v>
      </c>
    </row>
    <row r="24" ht="15.75" customHeight="1" spans="1:13">
      <c r="A24" s="16" t="s">
        <v>76</v>
      </c>
      <c r="B24" s="16" t="s">
        <v>23</v>
      </c>
      <c r="C24" s="16"/>
      <c r="D24" s="74"/>
      <c r="E24" s="16"/>
      <c r="F24" s="16"/>
      <c r="G24" s="75" t="b">
        <f t="shared" si="0"/>
        <v>0</v>
      </c>
      <c r="H24" s="16" t="b">
        <v>0</v>
      </c>
      <c r="I24" s="16" t="s">
        <v>25</v>
      </c>
      <c r="J24" s="16" t="s">
        <v>26</v>
      </c>
      <c r="K24" s="16" t="s">
        <v>77</v>
      </c>
      <c r="L24" s="16" t="s">
        <v>21</v>
      </c>
      <c r="M24" s="16">
        <v>599</v>
      </c>
    </row>
    <row r="25" ht="15.75" customHeight="1" spans="1:13">
      <c r="A25" s="16" t="s">
        <v>78</v>
      </c>
      <c r="B25" s="16" t="s">
        <v>23</v>
      </c>
      <c r="C25" s="16"/>
      <c r="D25" s="74"/>
      <c r="E25" s="16" t="s">
        <v>79</v>
      </c>
      <c r="F25" s="16"/>
      <c r="G25" s="75" t="b">
        <f t="shared" si="0"/>
        <v>0</v>
      </c>
      <c r="H25" s="16" t="b">
        <v>0</v>
      </c>
      <c r="I25" s="16" t="s">
        <v>25</v>
      </c>
      <c r="J25" s="16" t="s">
        <v>26</v>
      </c>
      <c r="K25" s="16" t="s">
        <v>27</v>
      </c>
      <c r="L25" s="16" t="s">
        <v>21</v>
      </c>
      <c r="M25" s="16">
        <v>581</v>
      </c>
    </row>
    <row r="26" ht="15.75" customHeight="1" spans="1:13">
      <c r="A26" s="76" t="s">
        <v>80</v>
      </c>
      <c r="B26" s="16" t="s">
        <v>23</v>
      </c>
      <c r="C26" s="16" t="s">
        <v>15</v>
      </c>
      <c r="D26" s="74" t="s">
        <v>81</v>
      </c>
      <c r="E26" s="16"/>
      <c r="F26" s="16"/>
      <c r="G26" s="75" t="b">
        <f t="shared" si="0"/>
        <v>0</v>
      </c>
      <c r="H26" s="16" t="b">
        <v>0</v>
      </c>
      <c r="I26" s="16" t="s">
        <v>82</v>
      </c>
      <c r="J26" s="16" t="s">
        <v>83</v>
      </c>
      <c r="K26" s="16" t="s">
        <v>84</v>
      </c>
      <c r="L26" s="16" t="s">
        <v>21</v>
      </c>
      <c r="M26" s="16">
        <v>179</v>
      </c>
    </row>
    <row r="27" ht="15.75" customHeight="1" spans="1:13">
      <c r="A27" s="16" t="s">
        <v>85</v>
      </c>
      <c r="B27" s="16" t="s">
        <v>23</v>
      </c>
      <c r="C27" s="16"/>
      <c r="D27" s="74"/>
      <c r="E27" s="16" t="s">
        <v>86</v>
      </c>
      <c r="F27" s="16"/>
      <c r="G27" s="75" t="b">
        <f t="shared" si="0"/>
        <v>0</v>
      </c>
      <c r="H27" s="16" t="b">
        <v>0</v>
      </c>
      <c r="I27" s="16" t="s">
        <v>25</v>
      </c>
      <c r="J27" s="16" t="s">
        <v>26</v>
      </c>
      <c r="K27" s="16" t="s">
        <v>27</v>
      </c>
      <c r="L27" s="16" t="s">
        <v>21</v>
      </c>
      <c r="M27" s="16">
        <v>575</v>
      </c>
    </row>
    <row r="28" ht="15.75" customHeight="1" spans="1:13">
      <c r="A28" s="76" t="s">
        <v>87</v>
      </c>
      <c r="B28" s="16" t="s">
        <v>23</v>
      </c>
      <c r="C28" s="16"/>
      <c r="D28" s="77" t="s">
        <v>88</v>
      </c>
      <c r="E28" s="16"/>
      <c r="F28" s="16"/>
      <c r="G28" s="75" t="b">
        <f t="shared" si="0"/>
        <v>0</v>
      </c>
      <c r="H28" s="16" t="b">
        <v>0</v>
      </c>
      <c r="I28" s="16" t="s">
        <v>29</v>
      </c>
      <c r="J28" s="16" t="s">
        <v>30</v>
      </c>
      <c r="K28" s="16" t="s">
        <v>31</v>
      </c>
      <c r="L28" s="16" t="s">
        <v>21</v>
      </c>
      <c r="M28" s="16">
        <v>990</v>
      </c>
    </row>
    <row r="29" ht="15.75" customHeight="1" spans="1:13">
      <c r="A29" s="16" t="s">
        <v>89</v>
      </c>
      <c r="B29" s="16" t="s">
        <v>23</v>
      </c>
      <c r="C29" s="16"/>
      <c r="D29" s="74"/>
      <c r="E29" s="16"/>
      <c r="F29" s="16"/>
      <c r="G29" s="75" t="b">
        <f t="shared" si="0"/>
        <v>0</v>
      </c>
      <c r="H29" s="16" t="b">
        <v>0</v>
      </c>
      <c r="I29" s="16" t="s">
        <v>45</v>
      </c>
      <c r="J29" s="16" t="s">
        <v>46</v>
      </c>
      <c r="K29" s="16" t="s">
        <v>90</v>
      </c>
      <c r="L29" s="16" t="s">
        <v>21</v>
      </c>
      <c r="M29" s="16">
        <v>280</v>
      </c>
    </row>
    <row r="30" ht="15.75" customHeight="1" spans="1:13">
      <c r="A30" s="16" t="s">
        <v>91</v>
      </c>
      <c r="B30" s="16" t="s">
        <v>23</v>
      </c>
      <c r="C30" s="16"/>
      <c r="D30" s="74"/>
      <c r="E30" s="16"/>
      <c r="F30" s="16"/>
      <c r="G30" s="75" t="b">
        <f t="shared" si="0"/>
        <v>0</v>
      </c>
      <c r="H30" s="16" t="b">
        <v>0</v>
      </c>
      <c r="I30" s="16" t="s">
        <v>92</v>
      </c>
      <c r="J30" s="16" t="s">
        <v>63</v>
      </c>
      <c r="K30" s="16" t="s">
        <v>93</v>
      </c>
      <c r="L30" s="16" t="s">
        <v>21</v>
      </c>
      <c r="M30" s="16">
        <v>905</v>
      </c>
    </row>
    <row r="31" ht="15.75" customHeight="1" spans="1:13">
      <c r="A31" s="16" t="s">
        <v>94</v>
      </c>
      <c r="B31" s="16" t="s">
        <v>23</v>
      </c>
      <c r="C31" s="16"/>
      <c r="D31" s="74"/>
      <c r="E31" s="16"/>
      <c r="F31" s="16"/>
      <c r="G31" s="75" t="b">
        <f t="shared" si="0"/>
        <v>0</v>
      </c>
      <c r="H31" s="16" t="b">
        <v>0</v>
      </c>
      <c r="I31" s="16" t="s">
        <v>67</v>
      </c>
      <c r="J31" s="16" t="s">
        <v>26</v>
      </c>
      <c r="K31" s="16" t="s">
        <v>68</v>
      </c>
      <c r="L31" s="16" t="s">
        <v>21</v>
      </c>
      <c r="M31" s="16">
        <v>164</v>
      </c>
    </row>
    <row r="32" ht="15.75" customHeight="1" spans="1:13">
      <c r="A32" s="16" t="s">
        <v>95</v>
      </c>
      <c r="B32" s="16" t="s">
        <v>14</v>
      </c>
      <c r="C32" s="16"/>
      <c r="D32" s="74"/>
      <c r="E32" s="16" t="s">
        <v>96</v>
      </c>
      <c r="F32" s="16"/>
      <c r="G32" s="75" t="b">
        <f t="shared" si="0"/>
        <v>0</v>
      </c>
      <c r="H32" s="16" t="b">
        <v>0</v>
      </c>
      <c r="I32" s="16" t="s">
        <v>25</v>
      </c>
      <c r="J32" s="16" t="s">
        <v>26</v>
      </c>
      <c r="K32" s="16" t="s">
        <v>27</v>
      </c>
      <c r="L32" s="16" t="s">
        <v>39</v>
      </c>
      <c r="M32" s="16">
        <v>582</v>
      </c>
    </row>
    <row r="33" ht="15.75" customHeight="1" spans="1:13">
      <c r="A33" s="16" t="s">
        <v>97</v>
      </c>
      <c r="B33" s="16" t="s">
        <v>23</v>
      </c>
      <c r="C33" s="16"/>
      <c r="D33" s="74"/>
      <c r="E33" s="16"/>
      <c r="F33" s="16"/>
      <c r="G33" s="75" t="b">
        <f t="shared" si="0"/>
        <v>0</v>
      </c>
      <c r="H33" s="16" t="b">
        <v>0</v>
      </c>
      <c r="I33" s="16" t="s">
        <v>25</v>
      </c>
      <c r="J33" s="16" t="s">
        <v>26</v>
      </c>
      <c r="K33" s="16" t="s">
        <v>27</v>
      </c>
      <c r="L33" s="16" t="s">
        <v>21</v>
      </c>
      <c r="M33" s="16">
        <v>565</v>
      </c>
    </row>
    <row r="34" ht="15.75" customHeight="1" spans="1:13">
      <c r="A34" s="16" t="s">
        <v>98</v>
      </c>
      <c r="B34" s="16" t="s">
        <v>23</v>
      </c>
      <c r="C34" s="16" t="s">
        <v>15</v>
      </c>
      <c r="D34" s="74"/>
      <c r="E34" s="16" t="s">
        <v>99</v>
      </c>
      <c r="F34" s="16"/>
      <c r="G34" s="75" t="b">
        <f t="shared" si="0"/>
        <v>0</v>
      </c>
      <c r="H34" s="16" t="b">
        <v>0</v>
      </c>
      <c r="I34" s="16" t="s">
        <v>82</v>
      </c>
      <c r="J34" s="16" t="s">
        <v>83</v>
      </c>
      <c r="K34" s="16" t="s">
        <v>100</v>
      </c>
      <c r="L34" s="16" t="s">
        <v>21</v>
      </c>
      <c r="M34" s="16">
        <v>443</v>
      </c>
    </row>
    <row r="35" ht="15.75" customHeight="1" spans="1:13">
      <c r="A35" s="16" t="s">
        <v>101</v>
      </c>
      <c r="B35" s="16" t="s">
        <v>23</v>
      </c>
      <c r="C35" s="16"/>
      <c r="D35" s="74"/>
      <c r="E35" s="16" t="s">
        <v>102</v>
      </c>
      <c r="F35" s="16"/>
      <c r="G35" s="75" t="b">
        <f t="shared" si="0"/>
        <v>0</v>
      </c>
      <c r="H35" s="16" t="b">
        <v>0</v>
      </c>
      <c r="I35" s="16" t="s">
        <v>25</v>
      </c>
      <c r="J35" s="16" t="s">
        <v>26</v>
      </c>
      <c r="K35" s="16" t="s">
        <v>27</v>
      </c>
      <c r="L35" s="16" t="s">
        <v>21</v>
      </c>
      <c r="M35" s="16">
        <v>571</v>
      </c>
    </row>
    <row r="36" ht="15.75" customHeight="1" spans="1:13">
      <c r="A36" s="16" t="s">
        <v>103</v>
      </c>
      <c r="B36" s="16" t="s">
        <v>23</v>
      </c>
      <c r="C36" s="16"/>
      <c r="D36" s="74"/>
      <c r="E36" s="16"/>
      <c r="F36" s="16"/>
      <c r="G36" s="75" t="b">
        <f t="shared" si="0"/>
        <v>0</v>
      </c>
      <c r="H36" s="16" t="b">
        <v>0</v>
      </c>
      <c r="I36" s="16" t="s">
        <v>53</v>
      </c>
      <c r="J36" s="16" t="s">
        <v>54</v>
      </c>
      <c r="K36" s="16" t="s">
        <v>75</v>
      </c>
      <c r="L36" s="16" t="s">
        <v>21</v>
      </c>
      <c r="M36" s="16">
        <v>116</v>
      </c>
    </row>
    <row r="37" ht="15.75" customHeight="1" spans="1:13">
      <c r="A37" s="16" t="s">
        <v>104</v>
      </c>
      <c r="B37" s="16" t="s">
        <v>23</v>
      </c>
      <c r="C37" s="16"/>
      <c r="D37" s="74"/>
      <c r="E37" s="16" t="s">
        <v>33</v>
      </c>
      <c r="F37" s="16"/>
      <c r="G37" s="75" t="b">
        <f t="shared" si="0"/>
        <v>0</v>
      </c>
      <c r="H37" s="16" t="b">
        <v>0</v>
      </c>
      <c r="I37" s="16" t="s">
        <v>25</v>
      </c>
      <c r="J37" s="16" t="s">
        <v>26</v>
      </c>
      <c r="K37" s="16" t="s">
        <v>50</v>
      </c>
      <c r="L37" s="16" t="s">
        <v>21</v>
      </c>
      <c r="M37" s="16">
        <v>570</v>
      </c>
    </row>
    <row r="38" ht="15.75" customHeight="1" spans="1:13">
      <c r="A38" s="16" t="s">
        <v>105</v>
      </c>
      <c r="B38" s="16" t="s">
        <v>23</v>
      </c>
      <c r="C38" s="16" t="s">
        <v>15</v>
      </c>
      <c r="D38" s="74"/>
      <c r="E38" s="16"/>
      <c r="F38" s="16"/>
      <c r="G38" s="75" t="b">
        <f t="shared" si="0"/>
        <v>0</v>
      </c>
      <c r="H38" s="16" t="b">
        <v>0</v>
      </c>
      <c r="I38" s="16" t="s">
        <v>106</v>
      </c>
      <c r="J38" s="16" t="s">
        <v>30</v>
      </c>
      <c r="K38" s="16" t="s">
        <v>31</v>
      </c>
      <c r="L38" s="16" t="s">
        <v>21</v>
      </c>
      <c r="M38" s="16">
        <v>696</v>
      </c>
    </row>
    <row r="39" ht="15.75" customHeight="1" spans="1:13">
      <c r="A39" s="16" t="s">
        <v>107</v>
      </c>
      <c r="B39" s="16" t="s">
        <v>23</v>
      </c>
      <c r="C39" s="16" t="s">
        <v>15</v>
      </c>
      <c r="D39" s="74"/>
      <c r="E39" s="16"/>
      <c r="F39" s="16"/>
      <c r="G39" s="75" t="b">
        <f t="shared" si="0"/>
        <v>0</v>
      </c>
      <c r="H39" s="16" t="b">
        <v>0</v>
      </c>
      <c r="I39" s="16" t="s">
        <v>29</v>
      </c>
      <c r="J39" s="16" t="s">
        <v>30</v>
      </c>
      <c r="K39" s="16" t="s">
        <v>31</v>
      </c>
      <c r="L39" s="16" t="s">
        <v>21</v>
      </c>
      <c r="M39" s="16">
        <v>30</v>
      </c>
    </row>
    <row r="40" ht="15.75" customHeight="1" spans="1:13">
      <c r="A40" s="16" t="s">
        <v>108</v>
      </c>
      <c r="B40" s="16" t="s">
        <v>23</v>
      </c>
      <c r="C40" s="16"/>
      <c r="D40" s="74"/>
      <c r="E40" s="16"/>
      <c r="F40" s="16"/>
      <c r="G40" s="75" t="b">
        <f t="shared" si="0"/>
        <v>0</v>
      </c>
      <c r="H40" s="16" t="b">
        <v>0</v>
      </c>
      <c r="I40" s="16" t="s">
        <v>109</v>
      </c>
      <c r="J40" s="16" t="s">
        <v>58</v>
      </c>
      <c r="K40" s="16" t="s">
        <v>59</v>
      </c>
      <c r="L40" s="16" t="s">
        <v>21</v>
      </c>
      <c r="M40" s="16">
        <v>181</v>
      </c>
    </row>
    <row r="41" ht="15.75" customHeight="1" spans="1:13">
      <c r="A41" s="16" t="s">
        <v>110</v>
      </c>
      <c r="B41" s="16" t="s">
        <v>23</v>
      </c>
      <c r="C41" s="16"/>
      <c r="D41" s="74"/>
      <c r="E41" s="16"/>
      <c r="F41" s="16"/>
      <c r="G41" s="75" t="b">
        <f t="shared" si="0"/>
        <v>0</v>
      </c>
      <c r="H41" s="16" t="b">
        <v>0</v>
      </c>
      <c r="I41" s="16" t="s">
        <v>109</v>
      </c>
      <c r="J41" s="16" t="s">
        <v>58</v>
      </c>
      <c r="K41" s="16" t="s">
        <v>59</v>
      </c>
      <c r="L41" s="16" t="s">
        <v>21</v>
      </c>
      <c r="M41" s="16">
        <v>201</v>
      </c>
    </row>
    <row r="42" ht="15.75" customHeight="1" spans="1:13">
      <c r="A42" s="16" t="s">
        <v>111</v>
      </c>
      <c r="B42" s="16" t="s">
        <v>23</v>
      </c>
      <c r="C42" s="16"/>
      <c r="D42" s="74"/>
      <c r="E42" s="16"/>
      <c r="F42" s="16"/>
      <c r="G42" s="75" t="b">
        <f t="shared" si="0"/>
        <v>0</v>
      </c>
      <c r="H42" s="16" t="b">
        <v>0</v>
      </c>
      <c r="I42" s="16" t="s">
        <v>92</v>
      </c>
      <c r="J42" s="16" t="s">
        <v>63</v>
      </c>
      <c r="K42" s="16" t="s">
        <v>93</v>
      </c>
      <c r="L42" s="16" t="s">
        <v>21</v>
      </c>
      <c r="M42" s="16">
        <v>722</v>
      </c>
    </row>
    <row r="43" ht="15.75" customHeight="1" spans="1:13">
      <c r="A43" s="16" t="s">
        <v>112</v>
      </c>
      <c r="B43" s="16" t="s">
        <v>23</v>
      </c>
      <c r="C43" s="16"/>
      <c r="D43" s="74"/>
      <c r="E43" s="16" t="s">
        <v>113</v>
      </c>
      <c r="F43" s="16"/>
      <c r="G43" s="75" t="b">
        <f t="shared" si="0"/>
        <v>0</v>
      </c>
      <c r="H43" s="16" t="b">
        <v>0</v>
      </c>
      <c r="I43" s="16" t="s">
        <v>25</v>
      </c>
      <c r="J43" s="16" t="s">
        <v>26</v>
      </c>
      <c r="K43" s="16" t="s">
        <v>27</v>
      </c>
      <c r="L43" s="16" t="s">
        <v>21</v>
      </c>
      <c r="M43" s="16">
        <v>566</v>
      </c>
    </row>
    <row r="44" ht="15.75" customHeight="1" spans="1:13">
      <c r="A44" s="16" t="s">
        <v>114</v>
      </c>
      <c r="B44" s="16" t="s">
        <v>23</v>
      </c>
      <c r="C44" s="16"/>
      <c r="D44" s="74"/>
      <c r="E44" s="16"/>
      <c r="F44" s="16"/>
      <c r="G44" s="75" t="b">
        <f t="shared" si="0"/>
        <v>0</v>
      </c>
      <c r="H44" s="16" t="b">
        <v>0</v>
      </c>
      <c r="I44" s="16" t="s">
        <v>53</v>
      </c>
      <c r="J44" s="16" t="s">
        <v>54</v>
      </c>
      <c r="K44" s="16" t="s">
        <v>55</v>
      </c>
      <c r="L44" s="16" t="s">
        <v>21</v>
      </c>
      <c r="M44" s="16">
        <v>736</v>
      </c>
    </row>
    <row r="45" ht="15.75" customHeight="1" spans="1:13">
      <c r="A45" s="16" t="s">
        <v>115</v>
      </c>
      <c r="B45" s="16" t="s">
        <v>23</v>
      </c>
      <c r="C45" s="16"/>
      <c r="D45" s="74"/>
      <c r="E45" s="16"/>
      <c r="F45" s="16"/>
      <c r="G45" s="75" t="b">
        <f t="shared" si="0"/>
        <v>0</v>
      </c>
      <c r="H45" s="16" t="b">
        <v>0</v>
      </c>
      <c r="I45" s="16" t="s">
        <v>62</v>
      </c>
      <c r="J45" s="16" t="s">
        <v>63</v>
      </c>
      <c r="K45" s="16" t="s">
        <v>64</v>
      </c>
      <c r="L45" s="16" t="s">
        <v>21</v>
      </c>
      <c r="M45" s="16">
        <v>182</v>
      </c>
    </row>
    <row r="46" ht="15.75" customHeight="1" spans="1:13">
      <c r="A46" s="16" t="s">
        <v>116</v>
      </c>
      <c r="B46" s="16" t="s">
        <v>23</v>
      </c>
      <c r="C46" s="16"/>
      <c r="D46" s="74" t="s">
        <v>117</v>
      </c>
      <c r="E46" s="16"/>
      <c r="F46" s="16"/>
      <c r="G46" s="75" t="b">
        <f t="shared" si="0"/>
        <v>0</v>
      </c>
      <c r="H46" s="16" t="b">
        <v>0</v>
      </c>
      <c r="I46" s="16" t="s">
        <v>118</v>
      </c>
      <c r="J46" s="16" t="s">
        <v>19</v>
      </c>
      <c r="K46" s="16" t="s">
        <v>119</v>
      </c>
      <c r="L46" s="16" t="s">
        <v>21</v>
      </c>
      <c r="M46" s="16">
        <v>974</v>
      </c>
    </row>
    <row r="47" ht="15.75" customHeight="1" spans="1:13">
      <c r="A47" s="16" t="s">
        <v>120</v>
      </c>
      <c r="B47" s="16" t="s">
        <v>23</v>
      </c>
      <c r="C47" s="16"/>
      <c r="D47" s="74"/>
      <c r="E47" s="16"/>
      <c r="F47" s="16"/>
      <c r="G47" s="75" t="b">
        <f t="shared" si="0"/>
        <v>0</v>
      </c>
      <c r="H47" s="16" t="b">
        <v>0</v>
      </c>
      <c r="I47" s="16" t="s">
        <v>62</v>
      </c>
      <c r="J47" s="16" t="s">
        <v>63</v>
      </c>
      <c r="K47" s="16" t="s">
        <v>64</v>
      </c>
      <c r="L47" s="16" t="s">
        <v>21</v>
      </c>
      <c r="M47" s="16">
        <v>899</v>
      </c>
    </row>
    <row r="48" ht="15.75" customHeight="1" spans="1:13">
      <c r="A48" s="16" t="s">
        <v>121</v>
      </c>
      <c r="B48" s="16" t="s">
        <v>23</v>
      </c>
      <c r="C48" s="16"/>
      <c r="D48" s="74"/>
      <c r="E48" s="16"/>
      <c r="F48" s="16"/>
      <c r="G48" s="75" t="b">
        <f t="shared" si="0"/>
        <v>0</v>
      </c>
      <c r="H48" s="16" t="b">
        <v>0</v>
      </c>
      <c r="I48" s="16" t="s">
        <v>67</v>
      </c>
      <c r="J48" s="16" t="s">
        <v>26</v>
      </c>
      <c r="K48" s="16" t="s">
        <v>68</v>
      </c>
      <c r="L48" s="16" t="s">
        <v>39</v>
      </c>
      <c r="M48" s="16">
        <v>813</v>
      </c>
    </row>
    <row r="49" ht="15.75" customHeight="1" spans="1:13">
      <c r="A49" s="16" t="s">
        <v>122</v>
      </c>
      <c r="B49" s="16" t="s">
        <v>23</v>
      </c>
      <c r="C49" s="16" t="s">
        <v>15</v>
      </c>
      <c r="D49" s="74"/>
      <c r="E49" s="16"/>
      <c r="F49" s="16"/>
      <c r="G49" s="75" t="b">
        <f t="shared" si="0"/>
        <v>0</v>
      </c>
      <c r="H49" s="16" t="b">
        <v>0</v>
      </c>
      <c r="I49" s="16"/>
      <c r="J49" s="16" t="s">
        <v>19</v>
      </c>
      <c r="K49" s="16" t="s">
        <v>20</v>
      </c>
      <c r="L49" s="16" t="s">
        <v>21</v>
      </c>
      <c r="M49" s="16">
        <v>482</v>
      </c>
    </row>
    <row r="50" ht="15.75" customHeight="1" spans="1:13">
      <c r="A50" s="16" t="s">
        <v>123</v>
      </c>
      <c r="B50" s="16" t="s">
        <v>23</v>
      </c>
      <c r="C50" s="16"/>
      <c r="D50" s="74"/>
      <c r="E50" s="16"/>
      <c r="F50" s="16"/>
      <c r="G50" s="75" t="b">
        <f t="shared" si="0"/>
        <v>0</v>
      </c>
      <c r="H50" s="16" t="b">
        <v>0</v>
      </c>
      <c r="I50" s="16" t="s">
        <v>53</v>
      </c>
      <c r="J50" s="16" t="s">
        <v>54</v>
      </c>
      <c r="K50" s="16" t="s">
        <v>124</v>
      </c>
      <c r="L50" s="16" t="s">
        <v>21</v>
      </c>
      <c r="M50" s="16">
        <v>270</v>
      </c>
    </row>
    <row r="51" ht="15.75" customHeight="1" spans="1:13">
      <c r="A51" s="16" t="s">
        <v>125</v>
      </c>
      <c r="B51" s="16" t="s">
        <v>23</v>
      </c>
      <c r="C51" s="16"/>
      <c r="D51" s="74"/>
      <c r="E51" s="16"/>
      <c r="F51" s="16"/>
      <c r="G51" s="75" t="b">
        <f t="shared" si="0"/>
        <v>0</v>
      </c>
      <c r="H51" s="16" t="b">
        <v>0</v>
      </c>
      <c r="I51" s="16" t="s">
        <v>62</v>
      </c>
      <c r="J51" s="16" t="s">
        <v>126</v>
      </c>
      <c r="K51" s="16" t="s">
        <v>127</v>
      </c>
      <c r="L51" s="16" t="s">
        <v>21</v>
      </c>
      <c r="M51" s="16">
        <v>835</v>
      </c>
    </row>
    <row r="52" ht="15.75" customHeight="1" spans="1:13">
      <c r="A52" s="16" t="s">
        <v>128</v>
      </c>
      <c r="B52" s="16" t="s">
        <v>23</v>
      </c>
      <c r="C52" s="16"/>
      <c r="D52" s="74" t="s">
        <v>129</v>
      </c>
      <c r="E52" s="16"/>
      <c r="F52" s="16"/>
      <c r="G52" s="75" t="b">
        <f t="shared" si="0"/>
        <v>0</v>
      </c>
      <c r="H52" s="16" t="b">
        <v>0</v>
      </c>
      <c r="I52" s="16" t="s">
        <v>62</v>
      </c>
      <c r="J52" s="16" t="s">
        <v>63</v>
      </c>
      <c r="K52" s="16" t="s">
        <v>64</v>
      </c>
      <c r="L52" s="16" t="s">
        <v>21</v>
      </c>
      <c r="M52" s="16">
        <v>1036</v>
      </c>
    </row>
    <row r="53" ht="15.75" customHeight="1" spans="1:13">
      <c r="A53" s="16" t="s">
        <v>130</v>
      </c>
      <c r="B53" s="16" t="s">
        <v>23</v>
      </c>
      <c r="C53" s="16"/>
      <c r="D53" s="74"/>
      <c r="E53" s="16"/>
      <c r="F53" s="16"/>
      <c r="G53" s="75" t="b">
        <f t="shared" si="0"/>
        <v>0</v>
      </c>
      <c r="H53" s="16" t="b">
        <v>0</v>
      </c>
      <c r="I53" s="16" t="s">
        <v>131</v>
      </c>
      <c r="J53" s="16" t="s">
        <v>132</v>
      </c>
      <c r="K53" s="16" t="s">
        <v>133</v>
      </c>
      <c r="L53" s="16" t="s">
        <v>21</v>
      </c>
      <c r="M53" s="16">
        <v>55</v>
      </c>
    </row>
    <row r="54" ht="15.75" customHeight="1" spans="1:13">
      <c r="A54" s="16" t="s">
        <v>134</v>
      </c>
      <c r="B54" s="16" t="s">
        <v>23</v>
      </c>
      <c r="C54" s="16" t="s">
        <v>15</v>
      </c>
      <c r="D54" s="74"/>
      <c r="E54" s="16" t="s">
        <v>135</v>
      </c>
      <c r="F54" s="16" t="s">
        <v>136</v>
      </c>
      <c r="G54" s="75" t="b">
        <f t="shared" si="0"/>
        <v>0</v>
      </c>
      <c r="H54" s="16" t="b">
        <v>0</v>
      </c>
      <c r="I54" s="16" t="s">
        <v>18</v>
      </c>
      <c r="J54" s="16" t="s">
        <v>19</v>
      </c>
      <c r="K54" s="16" t="s">
        <v>20</v>
      </c>
      <c r="L54" s="16" t="s">
        <v>21</v>
      </c>
      <c r="M54" s="16">
        <v>511</v>
      </c>
    </row>
    <row r="55" ht="15.75" customHeight="1" spans="1:13">
      <c r="A55" s="16" t="s">
        <v>137</v>
      </c>
      <c r="B55" s="16" t="s">
        <v>23</v>
      </c>
      <c r="C55" s="16"/>
      <c r="D55" s="74"/>
      <c r="E55" s="16" t="s">
        <v>138</v>
      </c>
      <c r="F55" s="16"/>
      <c r="G55" s="75" t="b">
        <f t="shared" si="0"/>
        <v>0</v>
      </c>
      <c r="H55" s="16" t="b">
        <v>0</v>
      </c>
      <c r="I55" s="16" t="s">
        <v>25</v>
      </c>
      <c r="J55" s="16" t="s">
        <v>26</v>
      </c>
      <c r="K55" s="16" t="s">
        <v>27</v>
      </c>
      <c r="L55" s="16" t="s">
        <v>21</v>
      </c>
      <c r="M55" s="16">
        <v>578</v>
      </c>
    </row>
    <row r="56" ht="15.75" customHeight="1" spans="1:13">
      <c r="A56" s="16" t="s">
        <v>139</v>
      </c>
      <c r="B56" s="16" t="s">
        <v>23</v>
      </c>
      <c r="C56" s="16" t="s">
        <v>15</v>
      </c>
      <c r="D56" s="74"/>
      <c r="E56" s="16"/>
      <c r="F56" s="16"/>
      <c r="G56" s="75" t="b">
        <f t="shared" si="0"/>
        <v>0</v>
      </c>
      <c r="H56" s="16" t="b">
        <v>0</v>
      </c>
      <c r="I56" s="16" t="s">
        <v>29</v>
      </c>
      <c r="J56" s="16" t="s">
        <v>30</v>
      </c>
      <c r="K56" s="16" t="s">
        <v>31</v>
      </c>
      <c r="L56" s="16" t="s">
        <v>21</v>
      </c>
      <c r="M56" s="16">
        <v>68</v>
      </c>
    </row>
    <row r="57" ht="15.75" customHeight="1" spans="1:13">
      <c r="A57" s="16" t="s">
        <v>140</v>
      </c>
      <c r="B57" s="16" t="s">
        <v>23</v>
      </c>
      <c r="C57" s="16"/>
      <c r="D57" s="74"/>
      <c r="E57" s="16"/>
      <c r="F57" s="16"/>
      <c r="G57" s="75" t="b">
        <f t="shared" si="0"/>
        <v>0</v>
      </c>
      <c r="H57" s="16" t="b">
        <v>0</v>
      </c>
      <c r="I57" s="16" t="s">
        <v>141</v>
      </c>
      <c r="J57" s="16" t="s">
        <v>126</v>
      </c>
      <c r="K57" s="16" t="s">
        <v>142</v>
      </c>
      <c r="L57" s="16" t="s">
        <v>21</v>
      </c>
      <c r="M57" s="16">
        <v>936</v>
      </c>
    </row>
    <row r="58" ht="15.75" customHeight="1" spans="1:13">
      <c r="A58" s="16" t="s">
        <v>143</v>
      </c>
      <c r="B58" s="16" t="s">
        <v>23</v>
      </c>
      <c r="C58" s="16"/>
      <c r="D58" s="74"/>
      <c r="E58" s="16"/>
      <c r="F58" s="16"/>
      <c r="G58" s="75" t="b">
        <f t="shared" si="0"/>
        <v>0</v>
      </c>
      <c r="H58" s="16" t="b">
        <v>0</v>
      </c>
      <c r="I58" s="16" t="s">
        <v>144</v>
      </c>
      <c r="J58" s="16" t="s">
        <v>54</v>
      </c>
      <c r="K58" s="16" t="s">
        <v>75</v>
      </c>
      <c r="L58" s="16" t="s">
        <v>21</v>
      </c>
      <c r="M58" s="16">
        <v>440</v>
      </c>
    </row>
    <row r="59" ht="15.75" customHeight="1" spans="1:13">
      <c r="A59" s="16" t="s">
        <v>145</v>
      </c>
      <c r="B59" s="16" t="s">
        <v>23</v>
      </c>
      <c r="C59" s="16"/>
      <c r="D59" s="74"/>
      <c r="E59" s="16"/>
      <c r="F59" s="16"/>
      <c r="G59" s="75" t="b">
        <f t="shared" si="0"/>
        <v>0</v>
      </c>
      <c r="H59" s="16" t="b">
        <v>0</v>
      </c>
      <c r="I59" s="16" t="s">
        <v>67</v>
      </c>
      <c r="J59" s="16" t="s">
        <v>26</v>
      </c>
      <c r="K59" s="16" t="s">
        <v>68</v>
      </c>
      <c r="L59" s="16" t="s">
        <v>21</v>
      </c>
      <c r="M59" s="16">
        <v>224</v>
      </c>
    </row>
    <row r="60" ht="15.75" customHeight="1" spans="1:13">
      <c r="A60" s="16" t="s">
        <v>146</v>
      </c>
      <c r="B60" s="16" t="s">
        <v>147</v>
      </c>
      <c r="C60" s="16"/>
      <c r="D60" s="78" t="s">
        <v>148</v>
      </c>
      <c r="E60" s="16"/>
      <c r="F60" s="16"/>
      <c r="G60" s="75" t="b">
        <f t="shared" si="0"/>
        <v>0</v>
      </c>
      <c r="H60" s="16" t="b">
        <v>0</v>
      </c>
      <c r="I60" s="16" t="s">
        <v>53</v>
      </c>
      <c r="J60" s="16" t="s">
        <v>54</v>
      </c>
      <c r="K60" s="16" t="s">
        <v>149</v>
      </c>
      <c r="L60" s="16" t="s">
        <v>21</v>
      </c>
      <c r="M60" s="16">
        <v>314</v>
      </c>
    </row>
    <row r="61" ht="15.75" customHeight="1" spans="1:13">
      <c r="A61" s="16" t="s">
        <v>150</v>
      </c>
      <c r="B61" s="16" t="s">
        <v>23</v>
      </c>
      <c r="C61" s="16"/>
      <c r="D61" s="74"/>
      <c r="E61" s="16" t="s">
        <v>151</v>
      </c>
      <c r="F61" s="16"/>
      <c r="G61" s="75" t="b">
        <f t="shared" si="0"/>
        <v>0</v>
      </c>
      <c r="H61" s="16" t="b">
        <v>0</v>
      </c>
      <c r="I61" s="16" t="s">
        <v>25</v>
      </c>
      <c r="J61" s="16" t="s">
        <v>26</v>
      </c>
      <c r="K61" s="16" t="s">
        <v>27</v>
      </c>
      <c r="L61" s="16" t="s">
        <v>21</v>
      </c>
      <c r="M61" s="16">
        <v>576</v>
      </c>
    </row>
    <row r="62" ht="15.75" customHeight="1" spans="1:13">
      <c r="A62" s="16" t="s">
        <v>152</v>
      </c>
      <c r="B62" s="16" t="s">
        <v>23</v>
      </c>
      <c r="C62" s="16"/>
      <c r="D62" s="74"/>
      <c r="E62" s="16"/>
      <c r="F62" s="16"/>
      <c r="G62" s="75" t="b">
        <f t="shared" si="0"/>
        <v>0</v>
      </c>
      <c r="H62" s="16" t="b">
        <v>0</v>
      </c>
      <c r="I62" s="16" t="s">
        <v>53</v>
      </c>
      <c r="J62" s="16" t="s">
        <v>54</v>
      </c>
      <c r="K62" s="16" t="s">
        <v>153</v>
      </c>
      <c r="L62" s="16" t="s">
        <v>21</v>
      </c>
      <c r="M62" s="16">
        <v>427</v>
      </c>
    </row>
    <row r="63" ht="15.75" customHeight="1" spans="1:13">
      <c r="A63" s="16" t="s">
        <v>154</v>
      </c>
      <c r="B63" s="16" t="s">
        <v>23</v>
      </c>
      <c r="C63" s="16"/>
      <c r="D63" s="74" t="s">
        <v>155</v>
      </c>
      <c r="E63" s="16"/>
      <c r="F63" s="16"/>
      <c r="G63" s="75" t="b">
        <f t="shared" si="0"/>
        <v>0</v>
      </c>
      <c r="H63" s="16" t="b">
        <v>0</v>
      </c>
      <c r="I63" s="16" t="s">
        <v>25</v>
      </c>
      <c r="J63" s="16" t="s">
        <v>26</v>
      </c>
      <c r="K63" s="16" t="s">
        <v>77</v>
      </c>
      <c r="L63" s="16" t="s">
        <v>21</v>
      </c>
      <c r="M63" s="16">
        <v>619</v>
      </c>
    </row>
    <row r="64" ht="15.75" customHeight="1" spans="1:13">
      <c r="A64" s="16" t="s">
        <v>156</v>
      </c>
      <c r="B64" s="16" t="s">
        <v>23</v>
      </c>
      <c r="C64" s="16"/>
      <c r="D64" s="74"/>
      <c r="E64" s="16"/>
      <c r="F64" s="16"/>
      <c r="G64" s="75" t="b">
        <f t="shared" si="0"/>
        <v>0</v>
      </c>
      <c r="H64" s="16" t="b">
        <v>0</v>
      </c>
      <c r="I64" s="16" t="s">
        <v>53</v>
      </c>
      <c r="J64" s="16" t="s">
        <v>54</v>
      </c>
      <c r="K64" s="16" t="s">
        <v>55</v>
      </c>
      <c r="L64" s="16" t="s">
        <v>21</v>
      </c>
      <c r="M64" s="16">
        <v>729</v>
      </c>
    </row>
    <row r="65" ht="15.75" customHeight="1" spans="1:13">
      <c r="A65" s="16" t="s">
        <v>157</v>
      </c>
      <c r="B65" s="16" t="s">
        <v>23</v>
      </c>
      <c r="C65" s="16"/>
      <c r="D65" s="74" t="s">
        <v>158</v>
      </c>
      <c r="E65" s="16"/>
      <c r="F65" s="16"/>
      <c r="G65" s="75" t="b">
        <f t="shared" si="0"/>
        <v>0</v>
      </c>
      <c r="H65" s="16" t="b">
        <v>0</v>
      </c>
      <c r="I65" s="16" t="s">
        <v>25</v>
      </c>
      <c r="J65" s="16" t="s">
        <v>26</v>
      </c>
      <c r="K65" s="16" t="s">
        <v>159</v>
      </c>
      <c r="L65" s="16" t="s">
        <v>160</v>
      </c>
      <c r="M65" s="16">
        <v>632</v>
      </c>
    </row>
    <row r="66" ht="15.75" customHeight="1" spans="1:13">
      <c r="A66" s="16" t="s">
        <v>161</v>
      </c>
      <c r="B66" s="16" t="s">
        <v>23</v>
      </c>
      <c r="C66" s="16"/>
      <c r="D66" s="74"/>
      <c r="E66" s="16"/>
      <c r="F66" s="16"/>
      <c r="G66" s="75" t="b">
        <f t="shared" si="0"/>
        <v>0</v>
      </c>
      <c r="H66" s="16" t="b">
        <v>0</v>
      </c>
      <c r="I66" s="16" t="s">
        <v>62</v>
      </c>
      <c r="J66" s="16" t="s">
        <v>63</v>
      </c>
      <c r="K66" s="16" t="s">
        <v>64</v>
      </c>
      <c r="L66" s="16" t="s">
        <v>21</v>
      </c>
      <c r="M66" s="16">
        <v>1030</v>
      </c>
    </row>
    <row r="67" ht="15.75" customHeight="1" spans="1:13">
      <c r="A67" s="16" t="s">
        <v>162</v>
      </c>
      <c r="B67" s="16" t="s">
        <v>23</v>
      </c>
      <c r="C67" s="16"/>
      <c r="D67" s="74"/>
      <c r="E67" s="16"/>
      <c r="F67" s="16"/>
      <c r="G67" s="75" t="b">
        <f t="shared" si="0"/>
        <v>0</v>
      </c>
      <c r="H67" s="16" t="b">
        <v>0</v>
      </c>
      <c r="I67" s="16" t="s">
        <v>62</v>
      </c>
      <c r="J67" s="16" t="s">
        <v>63</v>
      </c>
      <c r="K67" s="16" t="s">
        <v>64</v>
      </c>
      <c r="L67" s="16" t="s">
        <v>21</v>
      </c>
      <c r="M67" s="16">
        <v>112</v>
      </c>
    </row>
    <row r="68" ht="15.75" customHeight="1" spans="1:13">
      <c r="A68" s="16" t="s">
        <v>163</v>
      </c>
      <c r="B68" s="16" t="s">
        <v>23</v>
      </c>
      <c r="C68" s="16"/>
      <c r="D68" s="74"/>
      <c r="E68" s="16"/>
      <c r="F68" s="16"/>
      <c r="G68" s="75" t="b">
        <f t="shared" si="0"/>
        <v>0</v>
      </c>
      <c r="H68" s="16" t="b">
        <v>0</v>
      </c>
      <c r="I68" s="16" t="s">
        <v>109</v>
      </c>
      <c r="J68" s="16" t="s">
        <v>58</v>
      </c>
      <c r="K68" s="16" t="s">
        <v>164</v>
      </c>
      <c r="L68" s="16" t="s">
        <v>21</v>
      </c>
      <c r="M68" s="16">
        <v>475</v>
      </c>
    </row>
    <row r="69" ht="15.75" customHeight="1" spans="1:13">
      <c r="A69" s="16" t="s">
        <v>165</v>
      </c>
      <c r="B69" s="16" t="s">
        <v>23</v>
      </c>
      <c r="C69" s="16"/>
      <c r="D69" s="74" t="s">
        <v>166</v>
      </c>
      <c r="E69" s="16" t="s">
        <v>167</v>
      </c>
      <c r="F69" s="16"/>
      <c r="G69" s="75" t="b">
        <f t="shared" si="0"/>
        <v>0</v>
      </c>
      <c r="H69" s="16" t="b">
        <v>0</v>
      </c>
      <c r="I69" s="16" t="s">
        <v>168</v>
      </c>
      <c r="J69" s="16" t="s">
        <v>63</v>
      </c>
      <c r="K69" s="16" t="s">
        <v>169</v>
      </c>
      <c r="L69" s="16" t="s">
        <v>21</v>
      </c>
      <c r="M69" s="16">
        <v>171</v>
      </c>
    </row>
    <row r="70" ht="15.75" customHeight="1" spans="1:13">
      <c r="A70" s="16" t="s">
        <v>170</v>
      </c>
      <c r="B70" s="16" t="s">
        <v>23</v>
      </c>
      <c r="C70" s="16"/>
      <c r="D70" s="74"/>
      <c r="E70" s="16"/>
      <c r="F70" s="16"/>
      <c r="G70" s="75" t="b">
        <f t="shared" si="0"/>
        <v>0</v>
      </c>
      <c r="H70" s="16" t="b">
        <v>0</v>
      </c>
      <c r="I70" s="16" t="s">
        <v>29</v>
      </c>
      <c r="J70" s="16" t="s">
        <v>30</v>
      </c>
      <c r="K70" s="16" t="s">
        <v>31</v>
      </c>
      <c r="L70" s="16" t="s">
        <v>21</v>
      </c>
      <c r="M70" s="16">
        <v>831</v>
      </c>
    </row>
    <row r="71" ht="15.75" customHeight="1" spans="1:13">
      <c r="A71" s="16" t="s">
        <v>171</v>
      </c>
      <c r="B71" s="16" t="s">
        <v>23</v>
      </c>
      <c r="C71" s="16"/>
      <c r="D71" s="74"/>
      <c r="E71" s="16"/>
      <c r="F71" s="16"/>
      <c r="G71" s="75" t="b">
        <f t="shared" si="0"/>
        <v>0</v>
      </c>
      <c r="H71" s="16" t="b">
        <v>0</v>
      </c>
      <c r="I71" s="16" t="s">
        <v>109</v>
      </c>
      <c r="J71" s="16" t="s">
        <v>58</v>
      </c>
      <c r="K71" s="16" t="s">
        <v>59</v>
      </c>
      <c r="L71" s="16" t="s">
        <v>21</v>
      </c>
      <c r="M71" s="16">
        <v>138</v>
      </c>
    </row>
    <row r="72" ht="15.75" customHeight="1" spans="1:13">
      <c r="A72" s="16" t="s">
        <v>172</v>
      </c>
      <c r="B72" s="16" t="s">
        <v>23</v>
      </c>
      <c r="C72" s="16"/>
      <c r="D72" s="74"/>
      <c r="E72" s="16"/>
      <c r="F72" s="16"/>
      <c r="G72" s="75" t="b">
        <f t="shared" si="0"/>
        <v>0</v>
      </c>
      <c r="H72" s="16" t="b">
        <v>0</v>
      </c>
      <c r="I72" s="16" t="s">
        <v>173</v>
      </c>
      <c r="J72" s="16" t="s">
        <v>54</v>
      </c>
      <c r="K72" s="16" t="s">
        <v>75</v>
      </c>
      <c r="L72" s="16" t="s">
        <v>21</v>
      </c>
      <c r="M72" s="16">
        <v>915</v>
      </c>
    </row>
    <row r="73" ht="15.75" customHeight="1" spans="1:13">
      <c r="A73" s="16" t="s">
        <v>174</v>
      </c>
      <c r="B73" s="16" t="s">
        <v>23</v>
      </c>
      <c r="C73" s="16"/>
      <c r="D73" s="74"/>
      <c r="E73" s="16"/>
      <c r="F73" s="16"/>
      <c r="G73" s="75" t="b">
        <f t="shared" si="0"/>
        <v>0</v>
      </c>
      <c r="H73" s="16" t="b">
        <v>0</v>
      </c>
      <c r="I73" s="16" t="s">
        <v>131</v>
      </c>
      <c r="J73" s="16" t="s">
        <v>132</v>
      </c>
      <c r="K73" s="16" t="s">
        <v>175</v>
      </c>
      <c r="L73" s="16" t="s">
        <v>21</v>
      </c>
      <c r="M73" s="16">
        <v>476</v>
      </c>
    </row>
    <row r="74" ht="15.75" customHeight="1" spans="1:13">
      <c r="A74" s="16" t="s">
        <v>176</v>
      </c>
      <c r="B74" s="16" t="s">
        <v>23</v>
      </c>
      <c r="C74" s="16"/>
      <c r="D74" s="74"/>
      <c r="E74" s="16"/>
      <c r="F74" s="16"/>
      <c r="G74" s="75" t="b">
        <f t="shared" si="0"/>
        <v>0</v>
      </c>
      <c r="H74" s="16" t="b">
        <v>0</v>
      </c>
      <c r="I74" s="16" t="s">
        <v>57</v>
      </c>
      <c r="J74" s="16" t="s">
        <v>58</v>
      </c>
      <c r="K74" s="16" t="s">
        <v>177</v>
      </c>
      <c r="L74" s="16" t="s">
        <v>39</v>
      </c>
      <c r="M74" s="16">
        <v>233</v>
      </c>
    </row>
    <row r="75" ht="15.75" customHeight="1" spans="1:13">
      <c r="A75" s="16" t="s">
        <v>178</v>
      </c>
      <c r="B75" s="16" t="s">
        <v>23</v>
      </c>
      <c r="C75" s="16" t="s">
        <v>15</v>
      </c>
      <c r="D75" s="74" t="s">
        <v>179</v>
      </c>
      <c r="E75" s="16"/>
      <c r="F75" s="16"/>
      <c r="G75" s="75" t="b">
        <f t="shared" si="0"/>
        <v>0</v>
      </c>
      <c r="H75" s="16" t="b">
        <v>0</v>
      </c>
      <c r="I75" s="16" t="s">
        <v>25</v>
      </c>
      <c r="J75" s="16" t="s">
        <v>30</v>
      </c>
      <c r="K75" s="16" t="s">
        <v>31</v>
      </c>
      <c r="L75" s="16" t="s">
        <v>21</v>
      </c>
      <c r="M75" s="16">
        <v>726</v>
      </c>
    </row>
    <row r="76" ht="15.75" customHeight="1" spans="1:13">
      <c r="A76" s="16" t="s">
        <v>180</v>
      </c>
      <c r="B76" s="16" t="s">
        <v>23</v>
      </c>
      <c r="C76" s="16"/>
      <c r="D76" s="74" t="s">
        <v>181</v>
      </c>
      <c r="E76" s="16"/>
      <c r="F76" s="16"/>
      <c r="G76" s="75" t="b">
        <f t="shared" si="0"/>
        <v>0</v>
      </c>
      <c r="H76" s="16" t="b">
        <v>0</v>
      </c>
      <c r="I76" s="16" t="s">
        <v>25</v>
      </c>
      <c r="J76" s="16" t="s">
        <v>26</v>
      </c>
      <c r="K76" s="16" t="s">
        <v>77</v>
      </c>
      <c r="L76" s="16" t="s">
        <v>39</v>
      </c>
      <c r="M76" s="16">
        <v>607</v>
      </c>
    </row>
    <row r="77" ht="15.75" customHeight="1" spans="1:13">
      <c r="A77" s="16" t="s">
        <v>182</v>
      </c>
      <c r="B77" s="16" t="s">
        <v>23</v>
      </c>
      <c r="C77" s="16" t="s">
        <v>183</v>
      </c>
      <c r="D77" s="74" t="s">
        <v>184</v>
      </c>
      <c r="E77" s="16" t="s">
        <v>185</v>
      </c>
      <c r="F77" s="16"/>
      <c r="G77" s="75" t="b">
        <f t="shared" si="0"/>
        <v>0</v>
      </c>
      <c r="H77" s="16" t="b">
        <v>0</v>
      </c>
      <c r="I77" s="16" t="s">
        <v>186</v>
      </c>
      <c r="J77" s="16" t="s">
        <v>187</v>
      </c>
      <c r="K77" s="16" t="s">
        <v>188</v>
      </c>
      <c r="L77" s="16" t="s">
        <v>21</v>
      </c>
      <c r="M77" s="16">
        <v>127</v>
      </c>
    </row>
    <row r="78" ht="15.75" customHeight="1" spans="1:13">
      <c r="A78" s="16" t="s">
        <v>189</v>
      </c>
      <c r="B78" s="16" t="s">
        <v>23</v>
      </c>
      <c r="C78" s="16" t="s">
        <v>190</v>
      </c>
      <c r="D78" s="74"/>
      <c r="E78" s="16" t="s">
        <v>191</v>
      </c>
      <c r="F78" s="16"/>
      <c r="G78" s="75" t="b">
        <f t="shared" si="0"/>
        <v>0</v>
      </c>
      <c r="H78" s="16" t="b">
        <v>0</v>
      </c>
      <c r="I78" s="16" t="s">
        <v>29</v>
      </c>
      <c r="J78" s="16" t="s">
        <v>30</v>
      </c>
      <c r="K78" s="16" t="s">
        <v>31</v>
      </c>
      <c r="L78" s="16" t="s">
        <v>21</v>
      </c>
      <c r="M78" s="16">
        <v>72</v>
      </c>
    </row>
    <row r="79" ht="15.75" customHeight="1" spans="1:13">
      <c r="A79" s="16" t="s">
        <v>192</v>
      </c>
      <c r="B79" s="16" t="s">
        <v>23</v>
      </c>
      <c r="C79" s="16"/>
      <c r="D79" s="74"/>
      <c r="E79" s="16"/>
      <c r="F79" s="16"/>
      <c r="G79" s="75" t="b">
        <f t="shared" si="0"/>
        <v>0</v>
      </c>
      <c r="H79" s="16" t="b">
        <v>0</v>
      </c>
      <c r="I79" s="16" t="s">
        <v>144</v>
      </c>
      <c r="J79" s="16" t="s">
        <v>54</v>
      </c>
      <c r="K79" s="16" t="s">
        <v>75</v>
      </c>
      <c r="L79" s="16" t="s">
        <v>21</v>
      </c>
      <c r="M79" s="16">
        <v>901</v>
      </c>
    </row>
    <row r="80" ht="15.75" customHeight="1" spans="1:13">
      <c r="A80" s="16" t="s">
        <v>193</v>
      </c>
      <c r="B80" s="16" t="s">
        <v>23</v>
      </c>
      <c r="C80" s="16"/>
      <c r="D80" s="74"/>
      <c r="E80" s="16"/>
      <c r="F80" s="16"/>
      <c r="G80" s="75" t="b">
        <f t="shared" si="0"/>
        <v>0</v>
      </c>
      <c r="H80" s="16" t="b">
        <v>0</v>
      </c>
      <c r="I80" s="16" t="s">
        <v>25</v>
      </c>
      <c r="J80" s="16" t="s">
        <v>26</v>
      </c>
      <c r="K80" s="16" t="s">
        <v>77</v>
      </c>
      <c r="L80" s="16" t="s">
        <v>39</v>
      </c>
      <c r="M80" s="16">
        <v>609</v>
      </c>
    </row>
    <row r="81" ht="15.75" customHeight="1" spans="1:13">
      <c r="A81" s="16" t="s">
        <v>194</v>
      </c>
      <c r="B81" s="16" t="s">
        <v>23</v>
      </c>
      <c r="C81" s="16"/>
      <c r="D81" s="74"/>
      <c r="E81" s="16"/>
      <c r="F81" s="16"/>
      <c r="G81" s="75" t="b">
        <f t="shared" si="0"/>
        <v>0</v>
      </c>
      <c r="H81" s="16" t="b">
        <v>0</v>
      </c>
      <c r="I81" s="16" t="s">
        <v>25</v>
      </c>
      <c r="J81" s="16" t="s">
        <v>26</v>
      </c>
      <c r="K81" s="16" t="s">
        <v>43</v>
      </c>
      <c r="L81" s="16" t="s">
        <v>21</v>
      </c>
      <c r="M81" s="16">
        <v>645</v>
      </c>
    </row>
    <row r="82" ht="15.75" customHeight="1" spans="1:13">
      <c r="A82" s="16" t="s">
        <v>195</v>
      </c>
      <c r="B82" s="16" t="s">
        <v>23</v>
      </c>
      <c r="C82" s="16"/>
      <c r="D82" s="74"/>
      <c r="E82" s="16"/>
      <c r="F82" s="16"/>
      <c r="G82" s="75" t="b">
        <f t="shared" si="0"/>
        <v>0</v>
      </c>
      <c r="H82" s="16" t="b">
        <v>0</v>
      </c>
      <c r="I82" s="16" t="s">
        <v>109</v>
      </c>
      <c r="J82" s="16" t="s">
        <v>58</v>
      </c>
      <c r="K82" s="16" t="s">
        <v>177</v>
      </c>
      <c r="L82" s="16" t="s">
        <v>21</v>
      </c>
      <c r="M82" s="16">
        <v>875</v>
      </c>
    </row>
    <row r="83" ht="15.75" customHeight="1" spans="1:13">
      <c r="A83" s="16" t="s">
        <v>196</v>
      </c>
      <c r="B83" s="16" t="s">
        <v>23</v>
      </c>
      <c r="C83" s="16"/>
      <c r="D83" s="74" t="s">
        <v>197</v>
      </c>
      <c r="E83" s="16"/>
      <c r="F83" s="16"/>
      <c r="G83" s="75" t="b">
        <f t="shared" si="0"/>
        <v>0</v>
      </c>
      <c r="H83" s="16" t="b">
        <v>0</v>
      </c>
      <c r="I83" s="16" t="s">
        <v>53</v>
      </c>
      <c r="J83" s="16" t="s">
        <v>54</v>
      </c>
      <c r="K83" s="16" t="s">
        <v>198</v>
      </c>
      <c r="L83" s="16" t="s">
        <v>21</v>
      </c>
      <c r="M83" s="16">
        <v>1065</v>
      </c>
    </row>
    <row r="84" ht="15.75" customHeight="1" spans="1:13">
      <c r="A84" s="16" t="s">
        <v>199</v>
      </c>
      <c r="B84" s="16" t="s">
        <v>23</v>
      </c>
      <c r="C84" s="16"/>
      <c r="D84" s="74"/>
      <c r="E84" s="16" t="s">
        <v>200</v>
      </c>
      <c r="F84" s="16"/>
      <c r="G84" s="75" t="b">
        <f t="shared" si="0"/>
        <v>0</v>
      </c>
      <c r="H84" s="16" t="b">
        <v>0</v>
      </c>
      <c r="I84" s="16" t="s">
        <v>53</v>
      </c>
      <c r="J84" s="16" t="s">
        <v>54</v>
      </c>
      <c r="K84" s="16" t="s">
        <v>75</v>
      </c>
      <c r="L84" s="16" t="s">
        <v>21</v>
      </c>
      <c r="M84" s="16">
        <v>123</v>
      </c>
    </row>
    <row r="85" ht="15.75" customHeight="1" spans="1:13">
      <c r="A85" s="16" t="s">
        <v>201</v>
      </c>
      <c r="B85" s="16" t="s">
        <v>23</v>
      </c>
      <c r="C85" s="16"/>
      <c r="D85" s="74"/>
      <c r="E85" s="16"/>
      <c r="F85" s="16"/>
      <c r="G85" s="75" t="b">
        <f t="shared" si="0"/>
        <v>0</v>
      </c>
      <c r="H85" s="16" t="b">
        <v>0</v>
      </c>
      <c r="I85" s="16" t="s">
        <v>25</v>
      </c>
      <c r="J85" s="16" t="s">
        <v>26</v>
      </c>
      <c r="K85" s="16" t="s">
        <v>27</v>
      </c>
      <c r="L85" s="16" t="s">
        <v>21</v>
      </c>
      <c r="M85" s="16">
        <v>574</v>
      </c>
    </row>
    <row r="86" ht="15.75" customHeight="1" spans="1:13">
      <c r="A86" s="16" t="s">
        <v>202</v>
      </c>
      <c r="B86" s="16" t="s">
        <v>23</v>
      </c>
      <c r="C86" s="16"/>
      <c r="D86" s="74" t="s">
        <v>203</v>
      </c>
      <c r="E86" s="16" t="s">
        <v>167</v>
      </c>
      <c r="F86" s="16"/>
      <c r="G86" s="75" t="b">
        <f t="shared" si="0"/>
        <v>0</v>
      </c>
      <c r="H86" s="16" t="b">
        <v>0</v>
      </c>
      <c r="I86" s="16" t="s">
        <v>29</v>
      </c>
      <c r="J86" s="16" t="s">
        <v>30</v>
      </c>
      <c r="K86" s="16" t="s">
        <v>31</v>
      </c>
      <c r="L86" s="16" t="s">
        <v>21</v>
      </c>
      <c r="M86" s="16">
        <v>151</v>
      </c>
    </row>
    <row r="87" ht="15.75" customHeight="1" spans="1:13">
      <c r="A87" s="16" t="s">
        <v>204</v>
      </c>
      <c r="B87" s="16" t="s">
        <v>23</v>
      </c>
      <c r="C87" s="16"/>
      <c r="D87" s="74"/>
      <c r="E87" s="16"/>
      <c r="F87" s="16"/>
      <c r="G87" s="75" t="b">
        <f t="shared" si="0"/>
        <v>0</v>
      </c>
      <c r="H87" s="16" t="b">
        <v>0</v>
      </c>
      <c r="I87" s="16" t="s">
        <v>53</v>
      </c>
      <c r="J87" s="16" t="s">
        <v>54</v>
      </c>
      <c r="K87" s="16" t="s">
        <v>124</v>
      </c>
      <c r="L87" s="16" t="s">
        <v>21</v>
      </c>
      <c r="M87" s="16">
        <v>1033</v>
      </c>
    </row>
    <row r="88" ht="15.75" customHeight="1" spans="1:13">
      <c r="A88" s="16" t="s">
        <v>205</v>
      </c>
      <c r="B88" s="16" t="s">
        <v>23</v>
      </c>
      <c r="C88" s="16"/>
      <c r="D88" s="74"/>
      <c r="E88" s="16"/>
      <c r="F88" s="16"/>
      <c r="G88" s="75" t="b">
        <f t="shared" si="0"/>
        <v>0</v>
      </c>
      <c r="H88" s="16" t="b">
        <v>0</v>
      </c>
      <c r="I88" s="16" t="s">
        <v>18</v>
      </c>
      <c r="J88" s="16" t="s">
        <v>54</v>
      </c>
      <c r="K88" s="16" t="s">
        <v>153</v>
      </c>
      <c r="L88" s="16" t="s">
        <v>21</v>
      </c>
      <c r="M88" s="16">
        <v>336</v>
      </c>
    </row>
    <row r="89" ht="15.75" customHeight="1" spans="1:13">
      <c r="A89" s="16" t="s">
        <v>206</v>
      </c>
      <c r="B89" s="16" t="s">
        <v>23</v>
      </c>
      <c r="C89" s="16"/>
      <c r="D89" s="74"/>
      <c r="E89" s="16"/>
      <c r="F89" s="16"/>
      <c r="G89" s="75" t="b">
        <f t="shared" si="0"/>
        <v>0</v>
      </c>
      <c r="H89" s="16" t="b">
        <v>0</v>
      </c>
      <c r="I89" s="16" t="s">
        <v>207</v>
      </c>
      <c r="J89" s="16" t="s">
        <v>63</v>
      </c>
      <c r="K89" s="16" t="s">
        <v>169</v>
      </c>
      <c r="L89" s="16" t="s">
        <v>21</v>
      </c>
      <c r="M89" s="16">
        <v>276</v>
      </c>
    </row>
    <row r="90" ht="15.75" customHeight="1" spans="1:13">
      <c r="A90" s="16" t="s">
        <v>208</v>
      </c>
      <c r="B90" s="16" t="s">
        <v>23</v>
      </c>
      <c r="C90" s="16"/>
      <c r="D90" s="74"/>
      <c r="E90" s="16"/>
      <c r="F90" s="16"/>
      <c r="G90" s="75" t="b">
        <f t="shared" si="0"/>
        <v>0</v>
      </c>
      <c r="H90" s="16" t="b">
        <v>0</v>
      </c>
      <c r="I90" s="16" t="s">
        <v>25</v>
      </c>
      <c r="J90" s="16" t="s">
        <v>26</v>
      </c>
      <c r="K90" s="16" t="s">
        <v>27</v>
      </c>
      <c r="L90" s="16" t="s">
        <v>39</v>
      </c>
      <c r="M90" s="16">
        <v>215</v>
      </c>
    </row>
    <row r="91" ht="15.75" customHeight="1" spans="1:13">
      <c r="A91" s="16" t="s">
        <v>209</v>
      </c>
      <c r="B91" s="16" t="s">
        <v>23</v>
      </c>
      <c r="C91" s="16" t="s">
        <v>15</v>
      </c>
      <c r="D91" s="74"/>
      <c r="E91" s="16"/>
      <c r="F91" s="16"/>
      <c r="G91" s="75" t="b">
        <f t="shared" si="0"/>
        <v>0</v>
      </c>
      <c r="H91" s="16" t="b">
        <v>0</v>
      </c>
      <c r="I91" s="16" t="s">
        <v>210</v>
      </c>
      <c r="J91" s="16" t="s">
        <v>211</v>
      </c>
      <c r="K91" s="16" t="s">
        <v>212</v>
      </c>
      <c r="L91" s="16" t="s">
        <v>39</v>
      </c>
      <c r="M91" s="16">
        <v>1043</v>
      </c>
    </row>
    <row r="92" ht="15.75" customHeight="1" spans="1:13">
      <c r="A92" s="16" t="s">
        <v>213</v>
      </c>
      <c r="B92" s="16" t="s">
        <v>14</v>
      </c>
      <c r="C92" s="16" t="s">
        <v>15</v>
      </c>
      <c r="D92" s="74"/>
      <c r="E92" s="16" t="s">
        <v>214</v>
      </c>
      <c r="F92" s="16"/>
      <c r="G92" s="75" t="b">
        <f t="shared" si="0"/>
        <v>0</v>
      </c>
      <c r="H92" s="16" t="b">
        <v>0</v>
      </c>
      <c r="I92" s="16" t="s">
        <v>18</v>
      </c>
      <c r="J92" s="16" t="s">
        <v>38</v>
      </c>
      <c r="K92" s="16"/>
      <c r="L92" s="16" t="s">
        <v>39</v>
      </c>
      <c r="M92" s="16">
        <v>484</v>
      </c>
    </row>
    <row r="93" ht="15.75" customHeight="1" spans="1:13">
      <c r="A93" s="16" t="s">
        <v>215</v>
      </c>
      <c r="B93" s="16" t="s">
        <v>23</v>
      </c>
      <c r="C93" s="16"/>
      <c r="D93" s="74"/>
      <c r="E93" s="16"/>
      <c r="F93" s="16"/>
      <c r="G93" s="75" t="b">
        <f t="shared" si="0"/>
        <v>0</v>
      </c>
      <c r="H93" s="16" t="b">
        <v>0</v>
      </c>
      <c r="I93" s="16" t="s">
        <v>53</v>
      </c>
      <c r="J93" s="16" t="s">
        <v>54</v>
      </c>
      <c r="K93" s="16" t="s">
        <v>124</v>
      </c>
      <c r="L93" s="16" t="s">
        <v>21</v>
      </c>
      <c r="M93" s="16">
        <v>269</v>
      </c>
    </row>
    <row r="94" ht="15.75" customHeight="1" spans="1:13">
      <c r="A94" s="16" t="s">
        <v>216</v>
      </c>
      <c r="B94" s="16" t="s">
        <v>23</v>
      </c>
      <c r="C94" s="16"/>
      <c r="D94" s="74"/>
      <c r="E94" s="16"/>
      <c r="F94" s="16"/>
      <c r="G94" s="75" t="b">
        <f t="shared" si="0"/>
        <v>0</v>
      </c>
      <c r="H94" s="16" t="b">
        <v>0</v>
      </c>
      <c r="I94" s="16" t="s">
        <v>25</v>
      </c>
      <c r="J94" s="16" t="s">
        <v>26</v>
      </c>
      <c r="K94" s="16" t="s">
        <v>43</v>
      </c>
      <c r="L94" s="16" t="s">
        <v>160</v>
      </c>
      <c r="M94" s="16">
        <v>661</v>
      </c>
    </row>
    <row r="95" ht="15.75" customHeight="1" spans="1:13">
      <c r="A95" s="16" t="s">
        <v>217</v>
      </c>
      <c r="B95" s="16" t="s">
        <v>23</v>
      </c>
      <c r="C95" s="16"/>
      <c r="D95" s="74" t="s">
        <v>218</v>
      </c>
      <c r="E95" s="16"/>
      <c r="F95" s="16"/>
      <c r="G95" s="75" t="b">
        <f t="shared" si="0"/>
        <v>0</v>
      </c>
      <c r="H95" s="16" t="b">
        <v>0</v>
      </c>
      <c r="I95" s="16" t="s">
        <v>25</v>
      </c>
      <c r="J95" s="16" t="s">
        <v>26</v>
      </c>
      <c r="K95" s="16" t="s">
        <v>159</v>
      </c>
      <c r="L95" s="16" t="s">
        <v>21</v>
      </c>
      <c r="M95" s="16">
        <v>598</v>
      </c>
    </row>
    <row r="96" ht="15.75" customHeight="1" spans="1:13">
      <c r="A96" s="16" t="s">
        <v>219</v>
      </c>
      <c r="B96" s="16" t="s">
        <v>23</v>
      </c>
      <c r="C96" s="16"/>
      <c r="D96" s="74"/>
      <c r="E96" s="16"/>
      <c r="F96" s="16"/>
      <c r="G96" s="75" t="b">
        <f t="shared" si="0"/>
        <v>0</v>
      </c>
      <c r="H96" s="16" t="b">
        <v>0</v>
      </c>
      <c r="I96" s="16" t="s">
        <v>53</v>
      </c>
      <c r="J96" s="16" t="s">
        <v>54</v>
      </c>
      <c r="K96" s="16" t="s">
        <v>55</v>
      </c>
      <c r="L96" s="16" t="s">
        <v>21</v>
      </c>
      <c r="M96" s="16">
        <v>728</v>
      </c>
    </row>
    <row r="97" ht="15.75" customHeight="1" spans="1:13">
      <c r="A97" s="16" t="s">
        <v>220</v>
      </c>
      <c r="B97" s="16" t="s">
        <v>14</v>
      </c>
      <c r="C97" s="16"/>
      <c r="D97" s="78" t="s">
        <v>221</v>
      </c>
      <c r="E97" s="16"/>
      <c r="F97" s="16"/>
      <c r="G97" s="75" t="b">
        <f t="shared" si="0"/>
        <v>0</v>
      </c>
      <c r="H97" s="16" t="b">
        <v>0</v>
      </c>
      <c r="I97" s="16" t="s">
        <v>53</v>
      </c>
      <c r="J97" s="16" t="s">
        <v>54</v>
      </c>
      <c r="K97" s="16" t="s">
        <v>55</v>
      </c>
      <c r="L97" s="16" t="s">
        <v>21</v>
      </c>
      <c r="M97" s="16">
        <v>456</v>
      </c>
    </row>
    <row r="98" ht="15.75" customHeight="1" spans="1:13">
      <c r="A98" s="16" t="s">
        <v>222</v>
      </c>
      <c r="B98" s="16" t="s">
        <v>23</v>
      </c>
      <c r="C98" s="16"/>
      <c r="D98" s="74"/>
      <c r="E98" s="16"/>
      <c r="F98" s="16"/>
      <c r="G98" s="75" t="b">
        <f t="shared" si="0"/>
        <v>0</v>
      </c>
      <c r="H98" s="16" t="b">
        <v>0</v>
      </c>
      <c r="I98" s="16" t="s">
        <v>53</v>
      </c>
      <c r="J98" s="16" t="s">
        <v>54</v>
      </c>
      <c r="K98" s="16" t="s">
        <v>55</v>
      </c>
      <c r="L98" s="16" t="s">
        <v>21</v>
      </c>
      <c r="M98" s="16">
        <v>735</v>
      </c>
    </row>
    <row r="99" ht="15.75" customHeight="1" spans="1:13">
      <c r="A99" s="16" t="s">
        <v>223</v>
      </c>
      <c r="B99" s="16" t="s">
        <v>23</v>
      </c>
      <c r="C99" s="16"/>
      <c r="D99" s="74"/>
      <c r="E99" s="16" t="s">
        <v>224</v>
      </c>
      <c r="F99" s="16"/>
      <c r="G99" s="75" t="b">
        <f t="shared" si="0"/>
        <v>0</v>
      </c>
      <c r="H99" s="16" t="b">
        <v>0</v>
      </c>
      <c r="I99" s="16" t="s">
        <v>225</v>
      </c>
      <c r="J99" s="16" t="s">
        <v>211</v>
      </c>
      <c r="K99" s="16" t="s">
        <v>212</v>
      </c>
      <c r="L99" s="16" t="s">
        <v>21</v>
      </c>
      <c r="M99" s="16">
        <v>483</v>
      </c>
    </row>
    <row r="100" ht="15.75" customHeight="1" spans="1:13">
      <c r="A100" s="75" t="s">
        <v>226</v>
      </c>
      <c r="B100" s="75" t="s">
        <v>23</v>
      </c>
      <c r="C100" s="16" t="s">
        <v>183</v>
      </c>
      <c r="D100" s="74" t="s">
        <v>184</v>
      </c>
      <c r="E100" s="16" t="s">
        <v>185</v>
      </c>
      <c r="F100" s="75"/>
      <c r="G100" s="75" t="b">
        <f t="shared" si="0"/>
        <v>0</v>
      </c>
      <c r="H100" s="16" t="b">
        <v>0</v>
      </c>
      <c r="I100" s="75" t="s">
        <v>186</v>
      </c>
      <c r="J100" s="75" t="s">
        <v>187</v>
      </c>
      <c r="K100" s="75" t="s">
        <v>227</v>
      </c>
      <c r="L100" s="75" t="s">
        <v>21</v>
      </c>
      <c r="M100" s="75">
        <v>126</v>
      </c>
    </row>
    <row r="101" ht="15.75" customHeight="1" spans="1:13">
      <c r="A101" s="16" t="s">
        <v>228</v>
      </c>
      <c r="B101" s="16" t="s">
        <v>23</v>
      </c>
      <c r="C101" s="16"/>
      <c r="D101" s="78" t="s">
        <v>229</v>
      </c>
      <c r="E101" s="16"/>
      <c r="F101" s="16"/>
      <c r="G101" s="75" t="b">
        <f t="shared" si="0"/>
        <v>0</v>
      </c>
      <c r="H101" s="16" t="b">
        <v>0</v>
      </c>
      <c r="I101" s="16" t="s">
        <v>230</v>
      </c>
      <c r="J101" s="16" t="s">
        <v>26</v>
      </c>
      <c r="K101" s="16" t="s">
        <v>43</v>
      </c>
      <c r="L101" s="16" t="s">
        <v>21</v>
      </c>
      <c r="M101" s="16">
        <v>817</v>
      </c>
    </row>
    <row r="102" ht="15.75" customHeight="1" spans="1:13">
      <c r="A102" s="16" t="s">
        <v>231</v>
      </c>
      <c r="B102" s="16" t="s">
        <v>23</v>
      </c>
      <c r="C102" s="16"/>
      <c r="D102" s="74"/>
      <c r="E102" s="16"/>
      <c r="F102" s="16"/>
      <c r="G102" s="75" t="b">
        <f t="shared" si="0"/>
        <v>0</v>
      </c>
      <c r="H102" s="16" t="b">
        <v>0</v>
      </c>
      <c r="I102" s="16" t="s">
        <v>25</v>
      </c>
      <c r="J102" s="16" t="s">
        <v>26</v>
      </c>
      <c r="K102" s="16" t="s">
        <v>159</v>
      </c>
      <c r="L102" s="16" t="s">
        <v>160</v>
      </c>
      <c r="M102" s="16">
        <v>591</v>
      </c>
    </row>
    <row r="103" ht="15.75" customHeight="1" spans="1:13">
      <c r="A103" s="16" t="s">
        <v>232</v>
      </c>
      <c r="B103" s="16" t="s">
        <v>23</v>
      </c>
      <c r="C103" s="16"/>
      <c r="D103" s="74"/>
      <c r="E103" s="16"/>
      <c r="F103" s="16"/>
      <c r="G103" s="75" t="b">
        <f t="shared" si="0"/>
        <v>0</v>
      </c>
      <c r="H103" s="16" t="b">
        <v>0</v>
      </c>
      <c r="I103" s="16" t="s">
        <v>53</v>
      </c>
      <c r="J103" s="16" t="s">
        <v>54</v>
      </c>
      <c r="K103" s="16" t="s">
        <v>55</v>
      </c>
      <c r="L103" s="16" t="s">
        <v>21</v>
      </c>
      <c r="M103" s="16">
        <v>727</v>
      </c>
    </row>
    <row r="104" ht="15.75" customHeight="1" spans="1:13">
      <c r="A104" s="16" t="s">
        <v>233</v>
      </c>
      <c r="B104" s="16" t="s">
        <v>23</v>
      </c>
      <c r="C104" s="16"/>
      <c r="D104" s="74" t="s">
        <v>234</v>
      </c>
      <c r="E104" s="16"/>
      <c r="F104" s="16"/>
      <c r="G104" s="75" t="b">
        <f t="shared" si="0"/>
        <v>0</v>
      </c>
      <c r="H104" s="16" t="b">
        <v>0</v>
      </c>
      <c r="I104" s="16" t="s">
        <v>25</v>
      </c>
      <c r="J104" s="16" t="s">
        <v>26</v>
      </c>
      <c r="K104" s="16" t="s">
        <v>43</v>
      </c>
      <c r="L104" s="16" t="s">
        <v>160</v>
      </c>
      <c r="M104" s="16">
        <v>662</v>
      </c>
    </row>
    <row r="105" ht="15.75" customHeight="1" spans="1:13">
      <c r="A105" s="16" t="s">
        <v>235</v>
      </c>
      <c r="B105" s="16" t="s">
        <v>23</v>
      </c>
      <c r="C105" s="16"/>
      <c r="D105" s="74" t="s">
        <v>236</v>
      </c>
      <c r="E105" s="16"/>
      <c r="F105" s="16"/>
      <c r="G105" s="75" t="b">
        <f t="shared" si="0"/>
        <v>0</v>
      </c>
      <c r="H105" s="16" t="b">
        <v>0</v>
      </c>
      <c r="I105" s="16" t="s">
        <v>25</v>
      </c>
      <c r="J105" s="16" t="s">
        <v>26</v>
      </c>
      <c r="K105" s="16" t="s">
        <v>77</v>
      </c>
      <c r="L105" s="16" t="s">
        <v>21</v>
      </c>
      <c r="M105" s="16">
        <v>597</v>
      </c>
    </row>
    <row r="106" ht="15.75" customHeight="1" spans="1:13">
      <c r="A106" s="16" t="s">
        <v>237</v>
      </c>
      <c r="B106" s="16" t="s">
        <v>23</v>
      </c>
      <c r="C106" s="16"/>
      <c r="D106" s="74" t="s">
        <v>238</v>
      </c>
      <c r="E106" s="16"/>
      <c r="F106" s="16"/>
      <c r="G106" s="75" t="b">
        <f t="shared" si="0"/>
        <v>0</v>
      </c>
      <c r="H106" s="16" t="b">
        <v>0</v>
      </c>
      <c r="I106" s="16" t="s">
        <v>25</v>
      </c>
      <c r="J106" s="16" t="s">
        <v>26</v>
      </c>
      <c r="K106" s="16" t="s">
        <v>43</v>
      </c>
      <c r="L106" s="16" t="s">
        <v>21</v>
      </c>
      <c r="M106" s="16">
        <v>663</v>
      </c>
    </row>
    <row r="107" ht="15.75" customHeight="1" spans="1:13">
      <c r="A107" s="16" t="s">
        <v>239</v>
      </c>
      <c r="B107" s="16" t="s">
        <v>23</v>
      </c>
      <c r="C107" s="16" t="s">
        <v>15</v>
      </c>
      <c r="D107" s="74"/>
      <c r="E107" s="16"/>
      <c r="F107" s="16"/>
      <c r="G107" s="75" t="b">
        <f t="shared" si="0"/>
        <v>0</v>
      </c>
      <c r="H107" s="16" t="b">
        <v>0</v>
      </c>
      <c r="I107" s="16" t="s">
        <v>29</v>
      </c>
      <c r="J107" s="16" t="s">
        <v>30</v>
      </c>
      <c r="K107" s="16" t="s">
        <v>31</v>
      </c>
      <c r="L107" s="16" t="s">
        <v>21</v>
      </c>
      <c r="M107" s="16">
        <v>951</v>
      </c>
    </row>
    <row r="108" ht="15.75" customHeight="1" spans="1:13">
      <c r="A108" s="16" t="s">
        <v>240</v>
      </c>
      <c r="B108" s="16" t="s">
        <v>23</v>
      </c>
      <c r="C108" s="16" t="s">
        <v>15</v>
      </c>
      <c r="D108" s="74"/>
      <c r="E108" s="16" t="s">
        <v>241</v>
      </c>
      <c r="F108" s="16"/>
      <c r="G108" s="75" t="b">
        <f t="shared" si="0"/>
        <v>0</v>
      </c>
      <c r="H108" s="16" t="b">
        <v>0</v>
      </c>
      <c r="I108" s="16" t="s">
        <v>82</v>
      </c>
      <c r="J108" s="16" t="s">
        <v>83</v>
      </c>
      <c r="K108" s="16" t="s">
        <v>84</v>
      </c>
      <c r="L108" s="16" t="s">
        <v>21</v>
      </c>
      <c r="M108" s="16">
        <v>183</v>
      </c>
    </row>
    <row r="109" ht="15.75" customHeight="1" spans="1:13">
      <c r="A109" s="16" t="s">
        <v>242</v>
      </c>
      <c r="B109" s="16" t="s">
        <v>147</v>
      </c>
      <c r="C109" s="16"/>
      <c r="D109" s="74"/>
      <c r="E109" s="16" t="s">
        <v>113</v>
      </c>
      <c r="F109" s="16"/>
      <c r="G109" s="75" t="b">
        <f t="shared" si="0"/>
        <v>0</v>
      </c>
      <c r="H109" s="16" t="b">
        <v>0</v>
      </c>
      <c r="I109" s="16" t="s">
        <v>25</v>
      </c>
      <c r="J109" s="16" t="s">
        <v>26</v>
      </c>
      <c r="K109" s="16" t="s">
        <v>77</v>
      </c>
      <c r="L109" s="16" t="s">
        <v>21</v>
      </c>
      <c r="M109" s="16">
        <v>154</v>
      </c>
    </row>
    <row r="110" ht="15.75" customHeight="1" spans="1:13">
      <c r="A110" s="16" t="s">
        <v>243</v>
      </c>
      <c r="B110" s="16" t="s">
        <v>147</v>
      </c>
      <c r="C110" s="16"/>
      <c r="D110" s="74"/>
      <c r="E110" s="16"/>
      <c r="F110" s="16"/>
      <c r="G110" s="75" t="b">
        <f t="shared" si="0"/>
        <v>0</v>
      </c>
      <c r="H110" s="16" t="b">
        <v>0</v>
      </c>
      <c r="I110" s="16" t="s">
        <v>92</v>
      </c>
      <c r="J110" s="16" t="s">
        <v>63</v>
      </c>
      <c r="K110" s="16" t="s">
        <v>93</v>
      </c>
      <c r="L110" s="16" t="s">
        <v>21</v>
      </c>
      <c r="M110" s="16">
        <v>255</v>
      </c>
    </row>
    <row r="111" ht="15.75" customHeight="1" spans="1:13">
      <c r="A111" s="16" t="s">
        <v>244</v>
      </c>
      <c r="B111" s="16" t="s">
        <v>147</v>
      </c>
      <c r="C111" s="16"/>
      <c r="D111" s="74"/>
      <c r="E111" s="16"/>
      <c r="F111" s="16"/>
      <c r="G111" s="75" t="b">
        <f t="shared" si="0"/>
        <v>0</v>
      </c>
      <c r="H111" s="16" t="b">
        <v>0</v>
      </c>
      <c r="I111" s="16" t="s">
        <v>25</v>
      </c>
      <c r="J111" s="16" t="s">
        <v>26</v>
      </c>
      <c r="K111" s="16" t="s">
        <v>27</v>
      </c>
      <c r="L111" s="16" t="s">
        <v>39</v>
      </c>
      <c r="M111" s="16">
        <v>808</v>
      </c>
    </row>
    <row r="112" ht="15.75" customHeight="1" spans="1:13">
      <c r="A112" s="16" t="s">
        <v>245</v>
      </c>
      <c r="B112" s="16" t="s">
        <v>147</v>
      </c>
      <c r="C112" s="16" t="s">
        <v>15</v>
      </c>
      <c r="D112" s="74"/>
      <c r="E112" s="16" t="s">
        <v>246</v>
      </c>
      <c r="F112" s="16"/>
      <c r="G112" s="75" t="b">
        <f t="shared" si="0"/>
        <v>0</v>
      </c>
      <c r="H112" s="16" t="b">
        <v>0</v>
      </c>
      <c r="I112" s="16" t="s">
        <v>29</v>
      </c>
      <c r="J112" s="16" t="s">
        <v>30</v>
      </c>
      <c r="K112" s="16" t="s">
        <v>31</v>
      </c>
      <c r="L112" s="16" t="s">
        <v>21</v>
      </c>
      <c r="M112" s="16">
        <v>150</v>
      </c>
    </row>
    <row r="113" ht="15.75" customHeight="1" spans="1:13">
      <c r="A113" s="16" t="s">
        <v>247</v>
      </c>
      <c r="B113" s="16" t="s">
        <v>147</v>
      </c>
      <c r="C113" s="16"/>
      <c r="D113" s="74"/>
      <c r="E113" s="16"/>
      <c r="F113" s="16"/>
      <c r="G113" s="75" t="b">
        <f t="shared" si="0"/>
        <v>0</v>
      </c>
      <c r="H113" s="16" t="b">
        <v>0</v>
      </c>
      <c r="I113" s="16" t="s">
        <v>25</v>
      </c>
      <c r="J113" s="16" t="s">
        <v>26</v>
      </c>
      <c r="K113" s="16" t="s">
        <v>43</v>
      </c>
      <c r="L113" s="16" t="s">
        <v>160</v>
      </c>
      <c r="M113" s="16">
        <v>666</v>
      </c>
    </row>
    <row r="114" ht="15.75" customHeight="1" spans="1:13">
      <c r="A114" s="16" t="s">
        <v>248</v>
      </c>
      <c r="B114" s="16" t="s">
        <v>147</v>
      </c>
      <c r="C114" s="16"/>
      <c r="D114" s="74"/>
      <c r="E114" s="16"/>
      <c r="F114" s="16"/>
      <c r="G114" s="75" t="b">
        <f t="shared" si="0"/>
        <v>0</v>
      </c>
      <c r="H114" s="16" t="b">
        <v>0</v>
      </c>
      <c r="I114" s="16" t="s">
        <v>92</v>
      </c>
      <c r="J114" s="16" t="s">
        <v>63</v>
      </c>
      <c r="K114" s="16" t="s">
        <v>93</v>
      </c>
      <c r="L114" s="16" t="s">
        <v>21</v>
      </c>
      <c r="M114" s="16">
        <v>921</v>
      </c>
    </row>
    <row r="115" ht="15.75" customHeight="1" spans="1:13">
      <c r="A115" s="16" t="s">
        <v>249</v>
      </c>
      <c r="B115" s="16" t="s">
        <v>147</v>
      </c>
      <c r="C115" s="16"/>
      <c r="D115" s="74"/>
      <c r="E115" s="16" t="s">
        <v>250</v>
      </c>
      <c r="F115" s="16"/>
      <c r="G115" s="75" t="b">
        <f t="shared" si="0"/>
        <v>0</v>
      </c>
      <c r="H115" s="16" t="b">
        <v>0</v>
      </c>
      <c r="I115" s="16" t="s">
        <v>131</v>
      </c>
      <c r="J115" s="16" t="s">
        <v>132</v>
      </c>
      <c r="K115" s="16" t="s">
        <v>251</v>
      </c>
      <c r="L115" s="16" t="s">
        <v>21</v>
      </c>
      <c r="M115" s="16">
        <v>1054</v>
      </c>
    </row>
    <row r="116" ht="15.75" customHeight="1" spans="1:13">
      <c r="A116" s="16" t="s">
        <v>252</v>
      </c>
      <c r="B116" s="16" t="s">
        <v>147</v>
      </c>
      <c r="C116" s="16" t="s">
        <v>15</v>
      </c>
      <c r="D116" s="74"/>
      <c r="E116" s="16"/>
      <c r="F116" s="16"/>
      <c r="G116" s="75" t="b">
        <f t="shared" si="0"/>
        <v>0</v>
      </c>
      <c r="H116" s="16" t="b">
        <v>0</v>
      </c>
      <c r="I116" s="16" t="s">
        <v>186</v>
      </c>
      <c r="J116" s="16" t="s">
        <v>187</v>
      </c>
      <c r="K116" s="16" t="s">
        <v>188</v>
      </c>
      <c r="L116" s="16" t="s">
        <v>21</v>
      </c>
      <c r="M116" s="16">
        <v>44</v>
      </c>
    </row>
    <row r="117" ht="15.75" customHeight="1" spans="1:13">
      <c r="A117" s="16" t="s">
        <v>253</v>
      </c>
      <c r="B117" s="16" t="s">
        <v>147</v>
      </c>
      <c r="C117" s="16"/>
      <c r="D117" s="74"/>
      <c r="E117" s="16" t="s">
        <v>254</v>
      </c>
      <c r="F117" s="16"/>
      <c r="G117" s="75" t="b">
        <f t="shared" si="0"/>
        <v>0</v>
      </c>
      <c r="H117" s="16" t="b">
        <v>0</v>
      </c>
      <c r="I117" s="16" t="s">
        <v>53</v>
      </c>
      <c r="J117" s="16" t="s">
        <v>54</v>
      </c>
      <c r="K117" s="16" t="s">
        <v>55</v>
      </c>
      <c r="L117" s="16" t="s">
        <v>21</v>
      </c>
      <c r="M117" s="16">
        <v>169</v>
      </c>
    </row>
    <row r="118" ht="15.75" customHeight="1" spans="1:13">
      <c r="A118" s="16" t="s">
        <v>255</v>
      </c>
      <c r="B118" s="16" t="s">
        <v>147</v>
      </c>
      <c r="C118" s="16"/>
      <c r="D118" s="74"/>
      <c r="E118" s="16" t="s">
        <v>256</v>
      </c>
      <c r="F118" s="16"/>
      <c r="G118" s="75" t="b">
        <f t="shared" si="0"/>
        <v>0</v>
      </c>
      <c r="H118" s="16" t="b">
        <v>0</v>
      </c>
      <c r="I118" s="16" t="s">
        <v>62</v>
      </c>
      <c r="J118" s="16" t="s">
        <v>63</v>
      </c>
      <c r="K118" s="16" t="s">
        <v>64</v>
      </c>
      <c r="L118" s="16" t="s">
        <v>21</v>
      </c>
      <c r="M118" s="16">
        <v>898</v>
      </c>
    </row>
    <row r="119" ht="15.75" customHeight="1" spans="1:13">
      <c r="A119" s="16" t="s">
        <v>257</v>
      </c>
      <c r="B119" s="16" t="s">
        <v>147</v>
      </c>
      <c r="C119" s="16" t="s">
        <v>15</v>
      </c>
      <c r="D119" s="74"/>
      <c r="E119" s="16"/>
      <c r="F119" s="16"/>
      <c r="G119" s="75" t="b">
        <f t="shared" si="0"/>
        <v>0</v>
      </c>
      <c r="H119" s="16" t="b">
        <v>0</v>
      </c>
      <c r="I119" s="16" t="s">
        <v>258</v>
      </c>
      <c r="J119" s="16" t="s">
        <v>259</v>
      </c>
      <c r="K119" s="16" t="s">
        <v>260</v>
      </c>
      <c r="L119" s="16" t="s">
        <v>21</v>
      </c>
      <c r="M119" s="16">
        <v>203</v>
      </c>
    </row>
    <row r="120" ht="15.75" customHeight="1" spans="1:13">
      <c r="A120" s="16" t="s">
        <v>261</v>
      </c>
      <c r="B120" s="16" t="s">
        <v>23</v>
      </c>
      <c r="C120" s="16" t="s">
        <v>15</v>
      </c>
      <c r="D120" s="74" t="s">
        <v>262</v>
      </c>
      <c r="E120" s="16" t="s">
        <v>263</v>
      </c>
      <c r="F120" s="16"/>
      <c r="G120" s="75" t="b">
        <f t="shared" si="0"/>
        <v>0</v>
      </c>
      <c r="H120" s="16" t="b">
        <v>0</v>
      </c>
      <c r="I120" s="16" t="s">
        <v>258</v>
      </c>
      <c r="J120" s="16" t="s">
        <v>264</v>
      </c>
      <c r="K120" s="16" t="s">
        <v>265</v>
      </c>
      <c r="L120" s="16" t="s">
        <v>21</v>
      </c>
      <c r="M120" s="16">
        <v>826</v>
      </c>
    </row>
    <row r="121" ht="15.75" customHeight="1" spans="1:13">
      <c r="A121" s="16" t="s">
        <v>266</v>
      </c>
      <c r="B121" s="16" t="s">
        <v>147</v>
      </c>
      <c r="C121" s="16"/>
      <c r="D121" s="74"/>
      <c r="E121" s="16"/>
      <c r="F121" s="16"/>
      <c r="G121" s="75" t="b">
        <f t="shared" si="0"/>
        <v>0</v>
      </c>
      <c r="H121" s="16" t="b">
        <v>0</v>
      </c>
      <c r="I121" s="16" t="s">
        <v>25</v>
      </c>
      <c r="J121" s="16" t="s">
        <v>26</v>
      </c>
      <c r="K121" s="16" t="s">
        <v>27</v>
      </c>
      <c r="L121" s="16" t="s">
        <v>21</v>
      </c>
      <c r="M121" s="16">
        <v>572</v>
      </c>
    </row>
    <row r="122" ht="15.75" customHeight="1" spans="1:13">
      <c r="A122" s="16" t="s">
        <v>267</v>
      </c>
      <c r="B122" s="16" t="s">
        <v>147</v>
      </c>
      <c r="C122" s="16"/>
      <c r="D122" s="74"/>
      <c r="E122" s="16"/>
      <c r="F122" s="16"/>
      <c r="G122" s="75" t="b">
        <f t="shared" si="0"/>
        <v>0</v>
      </c>
      <c r="H122" s="16" t="b">
        <v>0</v>
      </c>
      <c r="I122" s="16" t="s">
        <v>207</v>
      </c>
      <c r="J122" s="16" t="s">
        <v>63</v>
      </c>
      <c r="K122" s="16" t="s">
        <v>169</v>
      </c>
      <c r="L122" s="16" t="s">
        <v>21</v>
      </c>
      <c r="M122" s="16">
        <v>670</v>
      </c>
    </row>
    <row r="123" ht="15.75" customHeight="1" spans="1:13">
      <c r="A123" s="16" t="s">
        <v>268</v>
      </c>
      <c r="B123" s="16" t="s">
        <v>147</v>
      </c>
      <c r="C123" s="16"/>
      <c r="D123" s="74"/>
      <c r="E123" s="16"/>
      <c r="F123" s="16"/>
      <c r="G123" s="75" t="b">
        <f t="shared" si="0"/>
        <v>0</v>
      </c>
      <c r="H123" s="16" t="b">
        <v>0</v>
      </c>
      <c r="I123" s="16" t="s">
        <v>269</v>
      </c>
      <c r="J123" s="16" t="s">
        <v>132</v>
      </c>
      <c r="K123" s="16" t="s">
        <v>270</v>
      </c>
      <c r="L123" s="16" t="s">
        <v>21</v>
      </c>
      <c r="M123" s="16">
        <v>373</v>
      </c>
    </row>
    <row r="124" ht="15.75" customHeight="1" spans="1:13">
      <c r="A124" s="16" t="s">
        <v>271</v>
      </c>
      <c r="B124" s="16" t="s">
        <v>147</v>
      </c>
      <c r="C124" s="16"/>
      <c r="D124" s="74"/>
      <c r="E124" s="16"/>
      <c r="F124" s="16"/>
      <c r="G124" s="75" t="b">
        <f t="shared" si="0"/>
        <v>0</v>
      </c>
      <c r="H124" s="16" t="b">
        <v>0</v>
      </c>
      <c r="I124" s="16" t="s">
        <v>25</v>
      </c>
      <c r="J124" s="16" t="s">
        <v>26</v>
      </c>
      <c r="K124" s="16" t="s">
        <v>27</v>
      </c>
      <c r="L124" s="16" t="s">
        <v>21</v>
      </c>
      <c r="M124" s="16">
        <v>583</v>
      </c>
    </row>
    <row r="125" ht="15.75" customHeight="1" spans="1:13">
      <c r="A125" s="16" t="s">
        <v>272</v>
      </c>
      <c r="B125" s="16" t="s">
        <v>147</v>
      </c>
      <c r="C125" s="16"/>
      <c r="D125" s="74"/>
      <c r="E125" s="16"/>
      <c r="F125" s="16"/>
      <c r="G125" s="75" t="b">
        <f t="shared" si="0"/>
        <v>0</v>
      </c>
      <c r="H125" s="16" t="b">
        <v>0</v>
      </c>
      <c r="I125" s="16" t="s">
        <v>25</v>
      </c>
      <c r="J125" s="16" t="s">
        <v>26</v>
      </c>
      <c r="K125" s="16" t="s">
        <v>50</v>
      </c>
      <c r="L125" s="16" t="s">
        <v>39</v>
      </c>
      <c r="M125" s="16">
        <v>618</v>
      </c>
    </row>
    <row r="126" ht="15.75" customHeight="1" spans="1:13">
      <c r="A126" s="16" t="s">
        <v>273</v>
      </c>
      <c r="B126" s="16" t="s">
        <v>147</v>
      </c>
      <c r="C126" s="16"/>
      <c r="D126" s="74"/>
      <c r="E126" s="16"/>
      <c r="F126" s="16"/>
      <c r="G126" s="75" t="b">
        <f t="shared" si="0"/>
        <v>0</v>
      </c>
      <c r="H126" s="16" t="b">
        <v>0</v>
      </c>
      <c r="I126" s="16" t="s">
        <v>109</v>
      </c>
      <c r="J126" s="16" t="s">
        <v>58</v>
      </c>
      <c r="K126" s="16" t="s">
        <v>177</v>
      </c>
      <c r="L126" s="16" t="s">
        <v>21</v>
      </c>
      <c r="M126" s="16">
        <v>451</v>
      </c>
    </row>
    <row r="127" ht="15.75" customHeight="1" spans="1:13">
      <c r="A127" s="16" t="s">
        <v>274</v>
      </c>
      <c r="B127" s="16" t="s">
        <v>147</v>
      </c>
      <c r="C127" s="16"/>
      <c r="D127" s="74"/>
      <c r="E127" s="16"/>
      <c r="F127" s="16"/>
      <c r="G127" s="75" t="b">
        <f t="shared" si="0"/>
        <v>0</v>
      </c>
      <c r="H127" s="16" t="b">
        <v>0</v>
      </c>
      <c r="I127" s="16" t="s">
        <v>25</v>
      </c>
      <c r="J127" s="16" t="s">
        <v>26</v>
      </c>
      <c r="K127" s="16" t="s">
        <v>27</v>
      </c>
      <c r="L127" s="16" t="s">
        <v>21</v>
      </c>
      <c r="M127" s="16">
        <v>579</v>
      </c>
    </row>
    <row r="128" ht="15.75" customHeight="1" spans="1:13">
      <c r="A128" s="16" t="s">
        <v>275</v>
      </c>
      <c r="B128" s="16" t="s">
        <v>147</v>
      </c>
      <c r="C128" s="16" t="s">
        <v>15</v>
      </c>
      <c r="D128" s="74"/>
      <c r="E128" s="16"/>
      <c r="F128" s="16"/>
      <c r="G128" s="75" t="b">
        <f t="shared" si="0"/>
        <v>0</v>
      </c>
      <c r="H128" s="16" t="b">
        <v>0</v>
      </c>
      <c r="I128" s="16" t="s">
        <v>276</v>
      </c>
      <c r="J128" s="16" t="s">
        <v>63</v>
      </c>
      <c r="K128" s="16" t="s">
        <v>169</v>
      </c>
      <c r="L128" s="16" t="s">
        <v>21</v>
      </c>
      <c r="M128" s="16">
        <v>383</v>
      </c>
    </row>
    <row r="129" ht="15.75" customHeight="1" spans="1:13">
      <c r="A129" s="16" t="s">
        <v>277</v>
      </c>
      <c r="B129" s="16" t="s">
        <v>147</v>
      </c>
      <c r="C129" s="16"/>
      <c r="D129" s="74"/>
      <c r="E129" s="16"/>
      <c r="F129" s="16"/>
      <c r="G129" s="75" t="b">
        <f t="shared" si="0"/>
        <v>0</v>
      </c>
      <c r="H129" s="16" t="b">
        <v>0</v>
      </c>
      <c r="I129" s="16" t="s">
        <v>278</v>
      </c>
      <c r="J129" s="16" t="s">
        <v>19</v>
      </c>
      <c r="K129" s="16" t="s">
        <v>20</v>
      </c>
      <c r="L129" s="16" t="s">
        <v>21</v>
      </c>
      <c r="M129" s="16">
        <v>172</v>
      </c>
    </row>
    <row r="130" ht="15.75" customHeight="1" spans="1:13">
      <c r="A130" s="16" t="s">
        <v>279</v>
      </c>
      <c r="B130" s="16" t="s">
        <v>147</v>
      </c>
      <c r="C130" s="16"/>
      <c r="D130" s="74"/>
      <c r="E130" s="16"/>
      <c r="F130" s="16"/>
      <c r="G130" s="75" t="b">
        <f t="shared" si="0"/>
        <v>0</v>
      </c>
      <c r="H130" s="16" t="b">
        <v>0</v>
      </c>
      <c r="I130" s="16" t="s">
        <v>25</v>
      </c>
      <c r="J130" s="16" t="s">
        <v>26</v>
      </c>
      <c r="K130" s="16" t="s">
        <v>50</v>
      </c>
      <c r="L130" s="16" t="s">
        <v>39</v>
      </c>
      <c r="M130" s="16">
        <v>220</v>
      </c>
    </row>
    <row r="131" ht="15.75" customHeight="1" spans="1:13">
      <c r="A131" s="16" t="s">
        <v>280</v>
      </c>
      <c r="B131" s="16" t="s">
        <v>23</v>
      </c>
      <c r="C131" s="16" t="s">
        <v>183</v>
      </c>
      <c r="D131" s="74" t="s">
        <v>281</v>
      </c>
      <c r="E131" s="16" t="s">
        <v>282</v>
      </c>
      <c r="F131" s="16"/>
      <c r="G131" s="75" t="b">
        <f t="shared" si="0"/>
        <v>0</v>
      </c>
      <c r="H131" s="16" t="b">
        <v>0</v>
      </c>
      <c r="I131" s="16" t="s">
        <v>18</v>
      </c>
      <c r="J131" s="16" t="s">
        <v>38</v>
      </c>
      <c r="K131" s="16"/>
      <c r="L131" s="16" t="s">
        <v>39</v>
      </c>
      <c r="M131" s="16">
        <v>964</v>
      </c>
    </row>
    <row r="132" ht="15.75" customHeight="1" spans="1:13">
      <c r="A132" s="16" t="s">
        <v>283</v>
      </c>
      <c r="B132" s="16" t="s">
        <v>147</v>
      </c>
      <c r="C132" s="16" t="s">
        <v>15</v>
      </c>
      <c r="D132" s="74"/>
      <c r="E132" s="16"/>
      <c r="F132" s="16"/>
      <c r="G132" s="75" t="b">
        <f t="shared" si="0"/>
        <v>0</v>
      </c>
      <c r="H132" s="16" t="b">
        <v>0</v>
      </c>
      <c r="I132" s="16" t="s">
        <v>92</v>
      </c>
      <c r="J132" s="16" t="s">
        <v>63</v>
      </c>
      <c r="K132" s="16" t="s">
        <v>93</v>
      </c>
      <c r="L132" s="16" t="s">
        <v>21</v>
      </c>
      <c r="M132" s="16">
        <v>278</v>
      </c>
    </row>
    <row r="133" ht="15.75" customHeight="1" spans="1:13">
      <c r="A133" s="16" t="s">
        <v>284</v>
      </c>
      <c r="B133" s="16" t="s">
        <v>23</v>
      </c>
      <c r="C133" s="16" t="s">
        <v>15</v>
      </c>
      <c r="D133" s="74"/>
      <c r="E133" s="16"/>
      <c r="F133" s="16"/>
      <c r="G133" s="75" t="b">
        <f t="shared" si="0"/>
        <v>0</v>
      </c>
      <c r="H133" s="16" t="b">
        <v>0</v>
      </c>
      <c r="I133" s="16" t="s">
        <v>29</v>
      </c>
      <c r="J133" s="16" t="s">
        <v>30</v>
      </c>
      <c r="K133" s="16" t="s">
        <v>31</v>
      </c>
      <c r="L133" s="16" t="s">
        <v>21</v>
      </c>
      <c r="M133" s="16">
        <v>252</v>
      </c>
    </row>
    <row r="134" ht="15.75" customHeight="1" spans="1:13">
      <c r="A134" s="16" t="s">
        <v>285</v>
      </c>
      <c r="B134" s="16" t="s">
        <v>147</v>
      </c>
      <c r="C134" s="16"/>
      <c r="D134" s="74"/>
      <c r="E134" s="16"/>
      <c r="F134" s="16"/>
      <c r="G134" s="75" t="b">
        <f t="shared" si="0"/>
        <v>0</v>
      </c>
      <c r="H134" s="16" t="b">
        <v>0</v>
      </c>
      <c r="I134" s="16" t="s">
        <v>25</v>
      </c>
      <c r="J134" s="16" t="s">
        <v>26</v>
      </c>
      <c r="K134" s="16" t="s">
        <v>50</v>
      </c>
      <c r="L134" s="16" t="s">
        <v>21</v>
      </c>
      <c r="M134" s="16">
        <v>577</v>
      </c>
    </row>
    <row r="135" ht="15.75" customHeight="1" spans="1:13">
      <c r="A135" s="16" t="s">
        <v>286</v>
      </c>
      <c r="B135" s="16" t="s">
        <v>147</v>
      </c>
      <c r="C135" s="16" t="s">
        <v>15</v>
      </c>
      <c r="D135" s="74"/>
      <c r="E135" s="16"/>
      <c r="F135" s="16"/>
      <c r="G135" s="75" t="b">
        <f t="shared" si="0"/>
        <v>0</v>
      </c>
      <c r="H135" s="16" t="b">
        <v>0</v>
      </c>
      <c r="I135" s="16" t="s">
        <v>62</v>
      </c>
      <c r="J135" s="16" t="s">
        <v>63</v>
      </c>
      <c r="K135" s="16" t="s">
        <v>64</v>
      </c>
      <c r="L135" s="16" t="s">
        <v>21</v>
      </c>
      <c r="M135" s="16">
        <v>710</v>
      </c>
    </row>
    <row r="136" ht="15.75" customHeight="1" spans="1:13">
      <c r="A136" s="16" t="s">
        <v>287</v>
      </c>
      <c r="B136" s="16" t="s">
        <v>147</v>
      </c>
      <c r="C136" s="16" t="s">
        <v>15</v>
      </c>
      <c r="D136" s="74"/>
      <c r="E136" s="16"/>
      <c r="F136" s="16"/>
      <c r="G136" s="75" t="b">
        <f t="shared" si="0"/>
        <v>0</v>
      </c>
      <c r="H136" s="16" t="b">
        <v>0</v>
      </c>
      <c r="I136" s="16" t="s">
        <v>62</v>
      </c>
      <c r="J136" s="16" t="s">
        <v>63</v>
      </c>
      <c r="K136" s="16" t="s">
        <v>288</v>
      </c>
      <c r="L136" s="16" t="s">
        <v>21</v>
      </c>
      <c r="M136" s="16">
        <v>708</v>
      </c>
    </row>
    <row r="137" ht="15.75" customHeight="1" spans="1:13">
      <c r="A137" s="16" t="s">
        <v>289</v>
      </c>
      <c r="B137" s="16" t="s">
        <v>147</v>
      </c>
      <c r="C137" s="16"/>
      <c r="D137" s="74"/>
      <c r="E137" s="16"/>
      <c r="F137" s="16"/>
      <c r="G137" s="75" t="b">
        <f t="shared" si="0"/>
        <v>0</v>
      </c>
      <c r="H137" s="16" t="b">
        <v>0</v>
      </c>
      <c r="I137" s="16" t="s">
        <v>25</v>
      </c>
      <c r="J137" s="16" t="s">
        <v>26</v>
      </c>
      <c r="K137" s="16" t="s">
        <v>27</v>
      </c>
      <c r="L137" s="16" t="s">
        <v>39</v>
      </c>
      <c r="M137" s="16">
        <v>519</v>
      </c>
    </row>
    <row r="138" ht="15.75" customHeight="1" spans="1:13">
      <c r="A138" s="16" t="s">
        <v>290</v>
      </c>
      <c r="B138" s="16" t="s">
        <v>147</v>
      </c>
      <c r="C138" s="16"/>
      <c r="D138" s="74"/>
      <c r="E138" s="16"/>
      <c r="F138" s="16"/>
      <c r="G138" s="75" t="b">
        <f t="shared" si="0"/>
        <v>0</v>
      </c>
      <c r="H138" s="16" t="b">
        <v>0</v>
      </c>
      <c r="I138" s="16" t="s">
        <v>144</v>
      </c>
      <c r="J138" s="16" t="s">
        <v>54</v>
      </c>
      <c r="K138" s="16" t="s">
        <v>75</v>
      </c>
      <c r="L138" s="16" t="s">
        <v>21</v>
      </c>
      <c r="M138" s="16">
        <v>243</v>
      </c>
    </row>
    <row r="139" ht="15.75" customHeight="1" spans="1:13">
      <c r="A139" s="16" t="s">
        <v>291</v>
      </c>
      <c r="B139" s="16" t="s">
        <v>147</v>
      </c>
      <c r="C139" s="16"/>
      <c r="D139" s="74"/>
      <c r="E139" s="16"/>
      <c r="F139" s="16"/>
      <c r="G139" s="75" t="b">
        <f t="shared" si="0"/>
        <v>0</v>
      </c>
      <c r="H139" s="16" t="b">
        <v>0</v>
      </c>
      <c r="I139" s="16" t="s">
        <v>45</v>
      </c>
      <c r="J139" s="16" t="s">
        <v>54</v>
      </c>
      <c r="K139" s="16" t="s">
        <v>75</v>
      </c>
      <c r="L139" s="16" t="s">
        <v>21</v>
      </c>
      <c r="M139" s="16">
        <v>981</v>
      </c>
    </row>
    <row r="140" ht="15.75" customHeight="1" spans="1:13">
      <c r="A140" s="16" t="s">
        <v>292</v>
      </c>
      <c r="B140" s="16" t="s">
        <v>147</v>
      </c>
      <c r="C140" s="16" t="s">
        <v>15</v>
      </c>
      <c r="D140" s="74"/>
      <c r="E140" s="16"/>
      <c r="F140" s="16"/>
      <c r="G140" s="75" t="b">
        <f t="shared" si="0"/>
        <v>0</v>
      </c>
      <c r="H140" s="16" t="b">
        <v>0</v>
      </c>
      <c r="I140" s="16" t="s">
        <v>18</v>
      </c>
      <c r="J140" s="16" t="s">
        <v>19</v>
      </c>
      <c r="K140" s="16" t="s">
        <v>20</v>
      </c>
      <c r="L140" s="16" t="s">
        <v>21</v>
      </c>
      <c r="M140" s="16">
        <v>448</v>
      </c>
    </row>
    <row r="141" ht="15.75" customHeight="1" spans="1:13">
      <c r="A141" s="16" t="s">
        <v>293</v>
      </c>
      <c r="B141" s="16" t="s">
        <v>147</v>
      </c>
      <c r="C141" s="16"/>
      <c r="D141" s="74"/>
      <c r="E141" s="16"/>
      <c r="F141" s="16"/>
      <c r="G141" s="75" t="b">
        <f t="shared" si="0"/>
        <v>0</v>
      </c>
      <c r="H141" s="16" t="b">
        <v>0</v>
      </c>
      <c r="I141" s="16" t="s">
        <v>25</v>
      </c>
      <c r="J141" s="16" t="s">
        <v>26</v>
      </c>
      <c r="K141" s="16" t="s">
        <v>77</v>
      </c>
      <c r="L141" s="16" t="s">
        <v>160</v>
      </c>
      <c r="M141" s="16">
        <v>631</v>
      </c>
    </row>
    <row r="142" ht="15.75" customHeight="1" spans="1:13">
      <c r="A142" s="16" t="s">
        <v>294</v>
      </c>
      <c r="B142" s="16" t="s">
        <v>147</v>
      </c>
      <c r="C142" s="16"/>
      <c r="D142" s="74"/>
      <c r="E142" s="16"/>
      <c r="F142" s="16"/>
      <c r="G142" s="75" t="b">
        <f t="shared" si="0"/>
        <v>0</v>
      </c>
      <c r="H142" s="16" t="b">
        <v>0</v>
      </c>
      <c r="I142" s="16" t="s">
        <v>41</v>
      </c>
      <c r="J142" s="16" t="s">
        <v>132</v>
      </c>
      <c r="K142" s="16" t="s">
        <v>295</v>
      </c>
      <c r="L142" s="16" t="s">
        <v>21</v>
      </c>
      <c r="M142" s="16">
        <v>302</v>
      </c>
    </row>
    <row r="143" ht="15.75" customHeight="1" spans="1:13">
      <c r="A143" s="16" t="s">
        <v>296</v>
      </c>
      <c r="B143" s="16" t="s">
        <v>147</v>
      </c>
      <c r="C143" s="16"/>
      <c r="D143" s="74"/>
      <c r="E143" s="16"/>
      <c r="F143" s="16"/>
      <c r="G143" s="75" t="b">
        <f t="shared" si="0"/>
        <v>0</v>
      </c>
      <c r="H143" s="16" t="b">
        <v>0</v>
      </c>
      <c r="I143" s="16" t="s">
        <v>207</v>
      </c>
      <c r="J143" s="16" t="s">
        <v>63</v>
      </c>
      <c r="K143" s="16" t="s">
        <v>169</v>
      </c>
      <c r="L143" s="16" t="s">
        <v>21</v>
      </c>
      <c r="M143" s="16">
        <v>226</v>
      </c>
    </row>
    <row r="144" ht="15.75" customHeight="1" spans="1:13">
      <c r="A144" s="16" t="s">
        <v>297</v>
      </c>
      <c r="B144" s="16" t="s">
        <v>23</v>
      </c>
      <c r="C144" s="16" t="s">
        <v>15</v>
      </c>
      <c r="D144" s="74"/>
      <c r="E144" s="16" t="s">
        <v>298</v>
      </c>
      <c r="F144" s="16"/>
      <c r="G144" s="75" t="b">
        <f t="shared" si="0"/>
        <v>0</v>
      </c>
      <c r="H144" s="16" t="b">
        <v>0</v>
      </c>
      <c r="I144" s="16" t="s">
        <v>141</v>
      </c>
      <c r="J144" s="16" t="s">
        <v>19</v>
      </c>
      <c r="K144" s="16" t="s">
        <v>20</v>
      </c>
      <c r="L144" s="16" t="s">
        <v>21</v>
      </c>
      <c r="M144" s="16">
        <v>998</v>
      </c>
    </row>
    <row r="145" ht="15.75" customHeight="1" spans="1:13">
      <c r="A145" s="16" t="s">
        <v>299</v>
      </c>
      <c r="B145" s="16" t="s">
        <v>147</v>
      </c>
      <c r="C145" s="16"/>
      <c r="D145" s="74"/>
      <c r="E145" s="16"/>
      <c r="F145" s="16"/>
      <c r="G145" s="75" t="b">
        <f t="shared" si="0"/>
        <v>0</v>
      </c>
      <c r="H145" s="16" t="b">
        <v>0</v>
      </c>
      <c r="I145" s="16" t="s">
        <v>29</v>
      </c>
      <c r="J145" s="16" t="s">
        <v>30</v>
      </c>
      <c r="K145" s="16" t="s">
        <v>31</v>
      </c>
      <c r="L145" s="16" t="s">
        <v>21</v>
      </c>
      <c r="M145" s="16">
        <v>70</v>
      </c>
    </row>
    <row r="146" ht="15.75" customHeight="1" spans="1:13">
      <c r="A146" s="16" t="s">
        <v>300</v>
      </c>
      <c r="B146" s="16" t="s">
        <v>147</v>
      </c>
      <c r="C146" s="16" t="s">
        <v>15</v>
      </c>
      <c r="D146" s="74"/>
      <c r="E146" s="16"/>
      <c r="F146" s="16"/>
      <c r="G146" s="75" t="b">
        <f t="shared" si="0"/>
        <v>0</v>
      </c>
      <c r="H146" s="16" t="b">
        <v>0</v>
      </c>
      <c r="I146" s="16" t="s">
        <v>62</v>
      </c>
      <c r="J146" s="16" t="s">
        <v>63</v>
      </c>
      <c r="K146" s="16" t="s">
        <v>93</v>
      </c>
      <c r="L146" s="16" t="s">
        <v>21</v>
      </c>
      <c r="M146" s="16">
        <v>78</v>
      </c>
    </row>
    <row r="147" ht="15.75" customHeight="1" spans="1:13">
      <c r="A147" s="16" t="s">
        <v>301</v>
      </c>
      <c r="B147" s="16" t="s">
        <v>147</v>
      </c>
      <c r="C147" s="16"/>
      <c r="D147" s="74"/>
      <c r="E147" s="16"/>
      <c r="F147" s="16"/>
      <c r="G147" s="75" t="b">
        <f t="shared" si="0"/>
        <v>0</v>
      </c>
      <c r="H147" s="16" t="b">
        <v>0</v>
      </c>
      <c r="I147" s="16" t="s">
        <v>53</v>
      </c>
      <c r="J147" s="16" t="s">
        <v>54</v>
      </c>
      <c r="K147" s="16" t="s">
        <v>198</v>
      </c>
      <c r="L147" s="16" t="s">
        <v>21</v>
      </c>
      <c r="M147" s="16">
        <v>329</v>
      </c>
    </row>
    <row r="148" ht="15.75" customHeight="1" spans="1:13">
      <c r="A148" s="16" t="s">
        <v>302</v>
      </c>
      <c r="B148" s="16" t="s">
        <v>147</v>
      </c>
      <c r="C148" s="16"/>
      <c r="D148" s="74"/>
      <c r="E148" s="16"/>
      <c r="F148" s="16"/>
      <c r="G148" s="75" t="b">
        <f t="shared" si="0"/>
        <v>0</v>
      </c>
      <c r="H148" s="16" t="b">
        <v>0</v>
      </c>
      <c r="I148" s="16" t="s">
        <v>303</v>
      </c>
      <c r="J148" s="16" t="s">
        <v>19</v>
      </c>
      <c r="K148" s="16" t="s">
        <v>20</v>
      </c>
      <c r="L148" s="16" t="s">
        <v>21</v>
      </c>
      <c r="M148" s="16">
        <v>1038</v>
      </c>
    </row>
    <row r="149" ht="15.75" customHeight="1" spans="1:13">
      <c r="A149" s="16" t="s">
        <v>304</v>
      </c>
      <c r="B149" s="16" t="s">
        <v>147</v>
      </c>
      <c r="C149" s="16"/>
      <c r="D149" s="74"/>
      <c r="E149" s="16"/>
      <c r="F149" s="16"/>
      <c r="G149" s="75" t="b">
        <f t="shared" si="0"/>
        <v>0</v>
      </c>
      <c r="H149" s="16" t="b">
        <v>0</v>
      </c>
      <c r="I149" s="16" t="s">
        <v>305</v>
      </c>
      <c r="J149" s="16" t="s">
        <v>19</v>
      </c>
      <c r="K149" s="16" t="s">
        <v>306</v>
      </c>
      <c r="L149" s="16" t="s">
        <v>21</v>
      </c>
      <c r="M149" s="16">
        <v>43</v>
      </c>
    </row>
    <row r="150" ht="15.75" customHeight="1" spans="1:13">
      <c r="A150" s="16" t="s">
        <v>307</v>
      </c>
      <c r="B150" s="16" t="s">
        <v>147</v>
      </c>
      <c r="C150" s="16"/>
      <c r="D150" s="74"/>
      <c r="E150" s="16"/>
      <c r="F150" s="16"/>
      <c r="G150" s="75" t="b">
        <f t="shared" si="0"/>
        <v>0</v>
      </c>
      <c r="H150" s="16" t="b">
        <v>0</v>
      </c>
      <c r="I150" s="16" t="s">
        <v>53</v>
      </c>
      <c r="J150" s="16" t="s">
        <v>54</v>
      </c>
      <c r="K150" s="16" t="s">
        <v>198</v>
      </c>
      <c r="L150" s="16" t="s">
        <v>21</v>
      </c>
      <c r="M150" s="16">
        <v>538</v>
      </c>
    </row>
    <row r="151" ht="15.75" customHeight="1" spans="1:13">
      <c r="A151" s="16" t="s">
        <v>308</v>
      </c>
      <c r="B151" s="16" t="s">
        <v>147</v>
      </c>
      <c r="C151" s="16"/>
      <c r="D151" s="74"/>
      <c r="E151" s="16"/>
      <c r="F151" s="16"/>
      <c r="G151" s="75" t="b">
        <f t="shared" si="0"/>
        <v>0</v>
      </c>
      <c r="H151" s="16" t="b">
        <v>0</v>
      </c>
      <c r="I151" s="16" t="s">
        <v>131</v>
      </c>
      <c r="J151" s="16" t="s">
        <v>132</v>
      </c>
      <c r="K151" s="16" t="s">
        <v>309</v>
      </c>
      <c r="L151" s="16" t="s">
        <v>21</v>
      </c>
      <c r="M151" s="16">
        <v>51</v>
      </c>
    </row>
    <row r="152" ht="15.75" customHeight="1" spans="1:13">
      <c r="A152" s="16" t="s">
        <v>310</v>
      </c>
      <c r="B152" s="16" t="s">
        <v>147</v>
      </c>
      <c r="C152" s="16"/>
      <c r="D152" s="74"/>
      <c r="E152" s="16"/>
      <c r="F152" s="16"/>
      <c r="G152" s="75" t="b">
        <f t="shared" si="0"/>
        <v>0</v>
      </c>
      <c r="H152" s="16" t="b">
        <v>0</v>
      </c>
      <c r="I152" s="16" t="s">
        <v>25</v>
      </c>
      <c r="J152" s="16" t="s">
        <v>26</v>
      </c>
      <c r="K152" s="16" t="s">
        <v>27</v>
      </c>
      <c r="L152" s="16" t="s">
        <v>21</v>
      </c>
      <c r="M152" s="16">
        <v>564</v>
      </c>
    </row>
    <row r="153" ht="15.75" customHeight="1" spans="1:13">
      <c r="A153" s="16" t="s">
        <v>311</v>
      </c>
      <c r="B153" s="16" t="s">
        <v>147</v>
      </c>
      <c r="C153" s="16" t="s">
        <v>15</v>
      </c>
      <c r="D153" s="74"/>
      <c r="E153" s="16"/>
      <c r="F153" s="16"/>
      <c r="G153" s="75" t="b">
        <f t="shared" si="0"/>
        <v>0</v>
      </c>
      <c r="H153" s="16" t="b">
        <v>0</v>
      </c>
      <c r="I153" s="16" t="s">
        <v>312</v>
      </c>
      <c r="J153" s="16" t="s">
        <v>63</v>
      </c>
      <c r="K153" s="16" t="s">
        <v>169</v>
      </c>
      <c r="L153" s="16" t="s">
        <v>21</v>
      </c>
      <c r="M153" s="16">
        <v>1056</v>
      </c>
    </row>
    <row r="154" ht="15.75" customHeight="1" spans="1:13">
      <c r="A154" s="16" t="s">
        <v>313</v>
      </c>
      <c r="B154" s="16" t="s">
        <v>147</v>
      </c>
      <c r="C154" s="16"/>
      <c r="D154" s="74"/>
      <c r="E154" s="16"/>
      <c r="F154" s="16"/>
      <c r="G154" s="75" t="b">
        <f t="shared" si="0"/>
        <v>0</v>
      </c>
      <c r="H154" s="16" t="b">
        <v>0</v>
      </c>
      <c r="I154" s="16" t="s">
        <v>207</v>
      </c>
      <c r="J154" s="16" t="s">
        <v>63</v>
      </c>
      <c r="K154" s="16" t="s">
        <v>169</v>
      </c>
      <c r="L154" s="16" t="s">
        <v>21</v>
      </c>
      <c r="M154" s="16">
        <v>185</v>
      </c>
    </row>
    <row r="155" ht="15.75" customHeight="1" spans="1:13">
      <c r="A155" s="16" t="s">
        <v>314</v>
      </c>
      <c r="B155" s="16" t="s">
        <v>147</v>
      </c>
      <c r="C155" s="16"/>
      <c r="D155" s="74"/>
      <c r="E155" s="16" t="s">
        <v>315</v>
      </c>
      <c r="F155" s="16"/>
      <c r="G155" s="75" t="b">
        <f t="shared" si="0"/>
        <v>0</v>
      </c>
      <c r="H155" s="16" t="b">
        <v>0</v>
      </c>
      <c r="I155" s="16" t="s">
        <v>25</v>
      </c>
      <c r="J155" s="16" t="s">
        <v>26</v>
      </c>
      <c r="K155" s="16" t="s">
        <v>43</v>
      </c>
      <c r="L155" s="16" t="s">
        <v>21</v>
      </c>
      <c r="M155" s="16">
        <v>647</v>
      </c>
    </row>
    <row r="156" ht="15.75" customHeight="1" spans="1:13">
      <c r="A156" s="16" t="s">
        <v>316</v>
      </c>
      <c r="B156" s="16" t="s">
        <v>147</v>
      </c>
      <c r="C156" s="16" t="s">
        <v>15</v>
      </c>
      <c r="D156" s="74"/>
      <c r="E156" s="16"/>
      <c r="F156" s="16"/>
      <c r="G156" s="75" t="b">
        <f t="shared" si="0"/>
        <v>0</v>
      </c>
      <c r="H156" s="16" t="b">
        <v>0</v>
      </c>
      <c r="I156" s="16" t="s">
        <v>131</v>
      </c>
      <c r="J156" s="16" t="s">
        <v>132</v>
      </c>
      <c r="K156" s="16" t="s">
        <v>317</v>
      </c>
      <c r="L156" s="16" t="s">
        <v>21</v>
      </c>
      <c r="M156" s="16">
        <v>1000</v>
      </c>
    </row>
    <row r="157" ht="15.75" customHeight="1" spans="1:13">
      <c r="A157" s="16" t="s">
        <v>318</v>
      </c>
      <c r="B157" s="16" t="s">
        <v>147</v>
      </c>
      <c r="C157" s="16"/>
      <c r="D157" s="74"/>
      <c r="E157" s="16"/>
      <c r="F157" s="16"/>
      <c r="G157" s="75" t="b">
        <f t="shared" si="0"/>
        <v>0</v>
      </c>
      <c r="H157" s="16" t="b">
        <v>0</v>
      </c>
      <c r="I157" s="16" t="s">
        <v>319</v>
      </c>
      <c r="J157" s="16" t="s">
        <v>126</v>
      </c>
      <c r="K157" s="16" t="s">
        <v>127</v>
      </c>
      <c r="L157" s="16" t="s">
        <v>21</v>
      </c>
      <c r="M157" s="16">
        <v>64</v>
      </c>
    </row>
    <row r="158" ht="15.75" customHeight="1" spans="1:13">
      <c r="A158" s="16" t="s">
        <v>320</v>
      </c>
      <c r="B158" s="16" t="s">
        <v>147</v>
      </c>
      <c r="C158" s="16"/>
      <c r="D158" s="74"/>
      <c r="E158" s="16"/>
      <c r="F158" s="16"/>
      <c r="G158" s="75" t="b">
        <f t="shared" si="0"/>
        <v>0</v>
      </c>
      <c r="H158" s="16" t="b">
        <v>0</v>
      </c>
      <c r="I158" s="16" t="s">
        <v>207</v>
      </c>
      <c r="J158" s="16" t="s">
        <v>63</v>
      </c>
      <c r="K158" s="16" t="s">
        <v>169</v>
      </c>
      <c r="L158" s="16" t="s">
        <v>21</v>
      </c>
      <c r="M158" s="16">
        <v>130</v>
      </c>
    </row>
    <row r="159" ht="15.75" customHeight="1" spans="1:13">
      <c r="A159" s="16" t="s">
        <v>321</v>
      </c>
      <c r="B159" s="16" t="s">
        <v>147</v>
      </c>
      <c r="C159" s="16"/>
      <c r="D159" s="74"/>
      <c r="E159" s="16"/>
      <c r="F159" s="16"/>
      <c r="G159" s="75" t="b">
        <f t="shared" si="0"/>
        <v>0</v>
      </c>
      <c r="H159" s="16" t="b">
        <v>0</v>
      </c>
      <c r="I159" s="16" t="s">
        <v>57</v>
      </c>
      <c r="J159" s="16" t="s">
        <v>58</v>
      </c>
      <c r="K159" s="16" t="s">
        <v>59</v>
      </c>
      <c r="L159" s="16" t="s">
        <v>21</v>
      </c>
      <c r="M159" s="16">
        <v>200</v>
      </c>
    </row>
    <row r="160" ht="15.75" customHeight="1" spans="1:13">
      <c r="A160" s="16" t="s">
        <v>322</v>
      </c>
      <c r="B160" s="16" t="s">
        <v>147</v>
      </c>
      <c r="C160" s="16" t="s">
        <v>15</v>
      </c>
      <c r="D160" s="74"/>
      <c r="E160" s="16"/>
      <c r="F160" s="16"/>
      <c r="G160" s="75" t="b">
        <f t="shared" si="0"/>
        <v>0</v>
      </c>
      <c r="H160" s="16" t="b">
        <v>0</v>
      </c>
      <c r="I160" s="16" t="s">
        <v>18</v>
      </c>
      <c r="J160" s="16" t="s">
        <v>19</v>
      </c>
      <c r="K160" s="16" t="s">
        <v>20</v>
      </c>
      <c r="L160" s="16" t="s">
        <v>21</v>
      </c>
      <c r="M160" s="16">
        <v>455</v>
      </c>
    </row>
    <row r="161" ht="15.75" customHeight="1" spans="1:13">
      <c r="A161" s="16" t="s">
        <v>323</v>
      </c>
      <c r="B161" s="16" t="s">
        <v>147</v>
      </c>
      <c r="C161" s="16"/>
      <c r="D161" s="74"/>
      <c r="E161" s="16"/>
      <c r="F161" s="16"/>
      <c r="G161" s="75" t="b">
        <f t="shared" si="0"/>
        <v>0</v>
      </c>
      <c r="H161" s="16" t="b">
        <v>0</v>
      </c>
      <c r="I161" s="16" t="s">
        <v>109</v>
      </c>
      <c r="J161" s="16" t="s">
        <v>58</v>
      </c>
      <c r="K161" s="16" t="s">
        <v>177</v>
      </c>
      <c r="L161" s="16" t="s">
        <v>21</v>
      </c>
      <c r="M161" s="16">
        <v>587</v>
      </c>
    </row>
    <row r="162" ht="15.75" customHeight="1" spans="1:13">
      <c r="A162" s="16" t="s">
        <v>324</v>
      </c>
      <c r="B162" s="16" t="s">
        <v>147</v>
      </c>
      <c r="C162" s="16"/>
      <c r="D162" s="74"/>
      <c r="E162" s="16"/>
      <c r="F162" s="16"/>
      <c r="G162" s="75" t="b">
        <f t="shared" si="0"/>
        <v>0</v>
      </c>
      <c r="H162" s="16" t="b">
        <v>0</v>
      </c>
      <c r="I162" s="16" t="s">
        <v>57</v>
      </c>
      <c r="J162" s="16" t="s">
        <v>58</v>
      </c>
      <c r="K162" s="16" t="s">
        <v>177</v>
      </c>
      <c r="L162" s="16" t="s">
        <v>21</v>
      </c>
      <c r="M162" s="16">
        <v>523</v>
      </c>
    </row>
    <row r="163" ht="15.75" customHeight="1" spans="1:13">
      <c r="A163" s="16" t="s">
        <v>325</v>
      </c>
      <c r="B163" s="16" t="s">
        <v>147</v>
      </c>
      <c r="C163" s="16"/>
      <c r="D163" s="74"/>
      <c r="E163" s="16"/>
      <c r="F163" s="16"/>
      <c r="G163" s="75" t="b">
        <f t="shared" si="0"/>
        <v>0</v>
      </c>
      <c r="H163" s="16" t="b">
        <v>0</v>
      </c>
      <c r="I163" s="16" t="s">
        <v>109</v>
      </c>
      <c r="J163" s="16" t="s">
        <v>58</v>
      </c>
      <c r="K163" s="16" t="s">
        <v>177</v>
      </c>
      <c r="L163" s="16" t="s">
        <v>21</v>
      </c>
      <c r="M163" s="16">
        <v>838</v>
      </c>
    </row>
    <row r="164" ht="15.75" customHeight="1" spans="1:13">
      <c r="A164" s="16" t="s">
        <v>326</v>
      </c>
      <c r="B164" s="16" t="s">
        <v>23</v>
      </c>
      <c r="C164" s="16" t="s">
        <v>15</v>
      </c>
      <c r="D164" s="74"/>
      <c r="E164" s="16" t="s">
        <v>327</v>
      </c>
      <c r="F164" s="16"/>
      <c r="G164" s="75" t="b">
        <f t="shared" si="0"/>
        <v>0</v>
      </c>
      <c r="H164" s="16" t="b">
        <v>0</v>
      </c>
      <c r="I164" s="16" t="s">
        <v>207</v>
      </c>
      <c r="J164" s="16" t="s">
        <v>63</v>
      </c>
      <c r="K164" s="16" t="s">
        <v>169</v>
      </c>
      <c r="L164" s="16" t="s">
        <v>160</v>
      </c>
      <c r="M164" s="16">
        <v>949</v>
      </c>
    </row>
    <row r="165" ht="15.75" customHeight="1" spans="1:13">
      <c r="A165" s="16" t="s">
        <v>328</v>
      </c>
      <c r="B165" s="16" t="s">
        <v>147</v>
      </c>
      <c r="C165" s="16" t="s">
        <v>15</v>
      </c>
      <c r="D165" s="74"/>
      <c r="E165" s="16"/>
      <c r="F165" s="16"/>
      <c r="G165" s="75" t="b">
        <f t="shared" si="0"/>
        <v>0</v>
      </c>
      <c r="H165" s="16" t="b">
        <v>0</v>
      </c>
      <c r="I165" s="16" t="s">
        <v>72</v>
      </c>
      <c r="J165" s="16" t="s">
        <v>63</v>
      </c>
      <c r="K165" s="16" t="s">
        <v>73</v>
      </c>
      <c r="L165" s="16" t="s">
        <v>21</v>
      </c>
      <c r="M165" s="16">
        <v>906</v>
      </c>
    </row>
    <row r="166" ht="15.75" customHeight="1" spans="1:13">
      <c r="A166" s="16" t="s">
        <v>329</v>
      </c>
      <c r="B166" s="16" t="s">
        <v>147</v>
      </c>
      <c r="C166" s="16"/>
      <c r="D166" s="74"/>
      <c r="E166" s="16"/>
      <c r="F166" s="16"/>
      <c r="G166" s="75" t="b">
        <f t="shared" si="0"/>
        <v>0</v>
      </c>
      <c r="H166" s="16" t="b">
        <v>0</v>
      </c>
      <c r="I166" s="16" t="s">
        <v>278</v>
      </c>
      <c r="J166" s="16" t="s">
        <v>19</v>
      </c>
      <c r="K166" s="16" t="s">
        <v>20</v>
      </c>
      <c r="L166" s="16" t="s">
        <v>21</v>
      </c>
      <c r="M166" s="16">
        <v>100</v>
      </c>
    </row>
    <row r="167" ht="15.75" customHeight="1" spans="1:13">
      <c r="A167" s="16" t="s">
        <v>330</v>
      </c>
      <c r="B167" s="16" t="s">
        <v>23</v>
      </c>
      <c r="C167" s="16" t="s">
        <v>15</v>
      </c>
      <c r="D167" s="74"/>
      <c r="E167" s="16"/>
      <c r="F167" s="16"/>
      <c r="G167" s="75" t="b">
        <f t="shared" si="0"/>
        <v>0</v>
      </c>
      <c r="H167" s="16" t="b">
        <v>0</v>
      </c>
      <c r="I167" s="16" t="s">
        <v>29</v>
      </c>
      <c r="J167" s="16" t="s">
        <v>63</v>
      </c>
      <c r="K167" s="16" t="s">
        <v>93</v>
      </c>
      <c r="L167" s="16" t="s">
        <v>21</v>
      </c>
      <c r="M167" s="16">
        <v>247</v>
      </c>
    </row>
    <row r="168" ht="15.75" customHeight="1" spans="1:13">
      <c r="A168" s="16" t="s">
        <v>331</v>
      </c>
      <c r="B168" s="16" t="s">
        <v>147</v>
      </c>
      <c r="C168" s="16"/>
      <c r="D168" s="74"/>
      <c r="E168" s="16"/>
      <c r="F168" s="16"/>
      <c r="G168" s="75" t="b">
        <f t="shared" si="0"/>
        <v>0</v>
      </c>
      <c r="H168" s="16" t="b">
        <v>0</v>
      </c>
      <c r="I168" s="16" t="s">
        <v>173</v>
      </c>
      <c r="J168" s="16" t="s">
        <v>54</v>
      </c>
      <c r="K168" s="16" t="s">
        <v>75</v>
      </c>
      <c r="L168" s="16" t="s">
        <v>21</v>
      </c>
      <c r="M168" s="16">
        <v>530</v>
      </c>
    </row>
    <row r="169" ht="15.75" customHeight="1" spans="1:13">
      <c r="A169" s="16" t="s">
        <v>332</v>
      </c>
      <c r="B169" s="16" t="s">
        <v>147</v>
      </c>
      <c r="C169" s="16"/>
      <c r="D169" s="74"/>
      <c r="E169" s="16"/>
      <c r="F169" s="16"/>
      <c r="G169" s="75" t="b">
        <f t="shared" si="0"/>
        <v>0</v>
      </c>
      <c r="H169" s="16" t="b">
        <v>0</v>
      </c>
      <c r="I169" s="16" t="s">
        <v>67</v>
      </c>
      <c r="J169" s="16" t="s">
        <v>26</v>
      </c>
      <c r="K169" s="16" t="s">
        <v>68</v>
      </c>
      <c r="L169" s="16" t="s">
        <v>21</v>
      </c>
      <c r="M169" s="16">
        <v>225</v>
      </c>
    </row>
    <row r="170" ht="15.75" customHeight="1" spans="1:13">
      <c r="A170" s="16" t="s">
        <v>333</v>
      </c>
      <c r="B170" s="16" t="s">
        <v>14</v>
      </c>
      <c r="C170" s="16" t="s">
        <v>15</v>
      </c>
      <c r="D170" s="74"/>
      <c r="E170" s="16" t="s">
        <v>334</v>
      </c>
      <c r="F170" s="16"/>
      <c r="G170" s="75" t="b">
        <f t="shared" si="0"/>
        <v>0</v>
      </c>
      <c r="H170" s="16" t="b">
        <v>0</v>
      </c>
      <c r="I170" s="16" t="s">
        <v>335</v>
      </c>
      <c r="J170" s="16" t="s">
        <v>19</v>
      </c>
      <c r="K170" s="16" t="s">
        <v>119</v>
      </c>
      <c r="L170" s="16" t="s">
        <v>21</v>
      </c>
      <c r="M170" s="16">
        <v>20</v>
      </c>
    </row>
    <row r="171" ht="15.75" customHeight="1" spans="1:13">
      <c r="A171" s="16" t="s">
        <v>336</v>
      </c>
      <c r="B171" s="16" t="s">
        <v>147</v>
      </c>
      <c r="C171" s="16" t="s">
        <v>15</v>
      </c>
      <c r="D171" s="74"/>
      <c r="E171" s="16"/>
      <c r="F171" s="16"/>
      <c r="G171" s="75" t="b">
        <f t="shared" si="0"/>
        <v>0</v>
      </c>
      <c r="H171" s="16" t="b">
        <v>0</v>
      </c>
      <c r="I171" s="16" t="s">
        <v>62</v>
      </c>
      <c r="J171" s="16" t="s">
        <v>63</v>
      </c>
      <c r="K171" s="16" t="s">
        <v>64</v>
      </c>
      <c r="L171" s="16" t="s">
        <v>21</v>
      </c>
      <c r="M171" s="16">
        <v>707</v>
      </c>
    </row>
    <row r="172" ht="15.75" customHeight="1" spans="1:13">
      <c r="A172" s="16" t="s">
        <v>337</v>
      </c>
      <c r="B172" s="16" t="s">
        <v>147</v>
      </c>
      <c r="C172" s="16"/>
      <c r="D172" s="74"/>
      <c r="E172" s="16"/>
      <c r="F172" s="16"/>
      <c r="G172" s="75" t="b">
        <f t="shared" si="0"/>
        <v>0</v>
      </c>
      <c r="H172" s="16" t="b">
        <v>0</v>
      </c>
      <c r="I172" s="16" t="s">
        <v>338</v>
      </c>
      <c r="J172" s="16" t="s">
        <v>30</v>
      </c>
      <c r="K172" s="16" t="s">
        <v>31</v>
      </c>
      <c r="L172" s="16" t="s">
        <v>21</v>
      </c>
      <c r="M172" s="16">
        <v>968</v>
      </c>
    </row>
    <row r="173" ht="15.75" customHeight="1" spans="1:13">
      <c r="A173" s="16" t="s">
        <v>339</v>
      </c>
      <c r="B173" s="16" t="s">
        <v>147</v>
      </c>
      <c r="C173" s="16" t="s">
        <v>15</v>
      </c>
      <c r="D173" s="74"/>
      <c r="E173" s="16" t="s">
        <v>340</v>
      </c>
      <c r="F173" s="16"/>
      <c r="G173" s="75" t="b">
        <f t="shared" si="0"/>
        <v>0</v>
      </c>
      <c r="H173" s="16" t="b">
        <v>0</v>
      </c>
      <c r="I173" s="16" t="s">
        <v>18</v>
      </c>
      <c r="J173" s="16" t="s">
        <v>38</v>
      </c>
      <c r="K173" s="16"/>
      <c r="L173" s="16" t="s">
        <v>39</v>
      </c>
      <c r="M173" s="16">
        <v>965</v>
      </c>
    </row>
    <row r="174" ht="15.75" customHeight="1" spans="1:13">
      <c r="A174" s="16" t="s">
        <v>341</v>
      </c>
      <c r="B174" s="16" t="s">
        <v>147</v>
      </c>
      <c r="C174" s="16"/>
      <c r="D174" s="74"/>
      <c r="E174" s="16"/>
      <c r="F174" s="16"/>
      <c r="G174" s="75" t="b">
        <f t="shared" si="0"/>
        <v>0</v>
      </c>
      <c r="H174" s="16" t="b">
        <v>0</v>
      </c>
      <c r="I174" s="16" t="s">
        <v>207</v>
      </c>
      <c r="J174" s="16" t="s">
        <v>126</v>
      </c>
      <c r="K174" s="16" t="s">
        <v>142</v>
      </c>
      <c r="L174" s="16" t="s">
        <v>21</v>
      </c>
      <c r="M174" s="16">
        <v>136</v>
      </c>
    </row>
    <row r="175" ht="15.75" customHeight="1" spans="1:13">
      <c r="A175" s="16" t="s">
        <v>342</v>
      </c>
      <c r="B175" s="16" t="s">
        <v>14</v>
      </c>
      <c r="C175" s="16" t="s">
        <v>15</v>
      </c>
      <c r="D175" s="74"/>
      <c r="E175" s="16" t="s">
        <v>343</v>
      </c>
      <c r="F175" s="16"/>
      <c r="G175" s="75" t="b">
        <f t="shared" si="0"/>
        <v>0</v>
      </c>
      <c r="H175" s="16" t="b">
        <v>0</v>
      </c>
      <c r="I175" s="16" t="s">
        <v>25</v>
      </c>
      <c r="J175" s="16" t="s">
        <v>26</v>
      </c>
      <c r="K175" s="16" t="s">
        <v>77</v>
      </c>
      <c r="L175" s="16" t="s">
        <v>39</v>
      </c>
      <c r="M175" s="16">
        <v>1010</v>
      </c>
    </row>
    <row r="176" ht="15.75" customHeight="1" spans="1:13">
      <c r="A176" s="16" t="s">
        <v>344</v>
      </c>
      <c r="B176" s="16" t="s">
        <v>147</v>
      </c>
      <c r="C176" s="16"/>
      <c r="D176" s="74"/>
      <c r="E176" s="16"/>
      <c r="F176" s="16"/>
      <c r="G176" s="75" t="b">
        <f t="shared" si="0"/>
        <v>0</v>
      </c>
      <c r="H176" s="16" t="b">
        <v>0</v>
      </c>
      <c r="I176" s="16" t="s">
        <v>131</v>
      </c>
      <c r="J176" s="16" t="s">
        <v>132</v>
      </c>
      <c r="K176" s="16" t="s">
        <v>309</v>
      </c>
      <c r="L176" s="16" t="s">
        <v>21</v>
      </c>
      <c r="M176" s="16">
        <v>56</v>
      </c>
    </row>
    <row r="177" ht="15.75" customHeight="1" spans="1:13">
      <c r="A177" s="16" t="s">
        <v>345</v>
      </c>
      <c r="B177" s="16" t="s">
        <v>147</v>
      </c>
      <c r="C177" s="16" t="s">
        <v>15</v>
      </c>
      <c r="D177" s="74"/>
      <c r="E177" s="16"/>
      <c r="F177" s="16"/>
      <c r="G177" s="75" t="b">
        <f t="shared" si="0"/>
        <v>0</v>
      </c>
      <c r="H177" s="16" t="b">
        <v>0</v>
      </c>
      <c r="I177" s="16" t="s">
        <v>62</v>
      </c>
      <c r="J177" s="16" t="s">
        <v>63</v>
      </c>
      <c r="K177" s="16" t="s">
        <v>64</v>
      </c>
      <c r="L177" s="16" t="s">
        <v>21</v>
      </c>
      <c r="M177" s="16">
        <v>771</v>
      </c>
    </row>
    <row r="178" ht="15.75" customHeight="1" spans="1:13">
      <c r="A178" s="16" t="s">
        <v>346</v>
      </c>
      <c r="B178" s="16" t="s">
        <v>147</v>
      </c>
      <c r="C178" s="16"/>
      <c r="D178" s="74"/>
      <c r="E178" s="16"/>
      <c r="F178" s="16"/>
      <c r="G178" s="75" t="b">
        <f t="shared" si="0"/>
        <v>0</v>
      </c>
      <c r="H178" s="16" t="b">
        <v>0</v>
      </c>
      <c r="I178" s="16" t="s">
        <v>347</v>
      </c>
      <c r="J178" s="16" t="s">
        <v>63</v>
      </c>
      <c r="K178" s="16" t="s">
        <v>169</v>
      </c>
      <c r="L178" s="16" t="s">
        <v>21</v>
      </c>
      <c r="M178" s="16">
        <v>186</v>
      </c>
    </row>
    <row r="179" ht="15.75" customHeight="1" spans="1:13">
      <c r="A179" s="16" t="s">
        <v>348</v>
      </c>
      <c r="B179" s="16" t="s">
        <v>23</v>
      </c>
      <c r="C179" s="16" t="s">
        <v>183</v>
      </c>
      <c r="D179" s="74" t="s">
        <v>349</v>
      </c>
      <c r="E179" s="16"/>
      <c r="F179" s="16"/>
      <c r="G179" s="75" t="b">
        <f t="shared" si="0"/>
        <v>0</v>
      </c>
      <c r="H179" s="16" t="b">
        <v>0</v>
      </c>
      <c r="I179" s="16" t="s">
        <v>92</v>
      </c>
      <c r="J179" s="16" t="s">
        <v>63</v>
      </c>
      <c r="K179" s="16" t="s">
        <v>93</v>
      </c>
      <c r="L179" s="16" t="s">
        <v>21</v>
      </c>
      <c r="M179" s="16">
        <v>904</v>
      </c>
    </row>
    <row r="180" ht="15.75" customHeight="1" spans="1:13">
      <c r="A180" s="16" t="s">
        <v>350</v>
      </c>
      <c r="B180" s="16" t="s">
        <v>147</v>
      </c>
      <c r="C180" s="16"/>
      <c r="D180" s="74"/>
      <c r="E180" s="16"/>
      <c r="F180" s="16"/>
      <c r="G180" s="75" t="b">
        <f t="shared" si="0"/>
        <v>0</v>
      </c>
      <c r="H180" s="16" t="b">
        <v>0</v>
      </c>
      <c r="I180" s="16" t="s">
        <v>53</v>
      </c>
      <c r="J180" s="16" t="s">
        <v>54</v>
      </c>
      <c r="K180" s="16" t="s">
        <v>153</v>
      </c>
      <c r="L180" s="16" t="s">
        <v>21</v>
      </c>
      <c r="M180" s="16">
        <v>115</v>
      </c>
    </row>
    <row r="181" ht="15.75" customHeight="1" spans="1:13">
      <c r="A181" s="16" t="s">
        <v>351</v>
      </c>
      <c r="B181" s="16" t="s">
        <v>147</v>
      </c>
      <c r="C181" s="16"/>
      <c r="D181" s="74"/>
      <c r="E181" s="16"/>
      <c r="F181" s="16"/>
      <c r="G181" s="75" t="b">
        <f t="shared" si="0"/>
        <v>0</v>
      </c>
      <c r="H181" s="16" t="b">
        <v>0</v>
      </c>
      <c r="I181" s="16" t="s">
        <v>131</v>
      </c>
      <c r="J181" s="16" t="s">
        <v>132</v>
      </c>
      <c r="K181" s="16" t="s">
        <v>133</v>
      </c>
      <c r="L181" s="16" t="s">
        <v>21</v>
      </c>
      <c r="M181" s="16">
        <v>54</v>
      </c>
    </row>
    <row r="182" ht="15.75" customHeight="1" spans="1:13">
      <c r="A182" s="16" t="s">
        <v>352</v>
      </c>
      <c r="B182" s="16" t="s">
        <v>147</v>
      </c>
      <c r="C182" s="16"/>
      <c r="D182" s="74"/>
      <c r="E182" s="16"/>
      <c r="F182" s="16"/>
      <c r="G182" s="75" t="b">
        <f t="shared" si="0"/>
        <v>0</v>
      </c>
      <c r="H182" s="16" t="b">
        <v>0</v>
      </c>
      <c r="I182" s="16" t="s">
        <v>67</v>
      </c>
      <c r="J182" s="16" t="s">
        <v>26</v>
      </c>
      <c r="K182" s="16" t="s">
        <v>68</v>
      </c>
      <c r="L182" s="16" t="s">
        <v>21</v>
      </c>
      <c r="M182" s="16">
        <v>317</v>
      </c>
    </row>
    <row r="183" ht="15.75" customHeight="1" spans="1:13">
      <c r="A183" s="16" t="s">
        <v>353</v>
      </c>
      <c r="B183" s="16" t="s">
        <v>147</v>
      </c>
      <c r="C183" s="16"/>
      <c r="D183" s="74"/>
      <c r="E183" s="16"/>
      <c r="F183" s="16"/>
      <c r="G183" s="75" t="b">
        <f t="shared" si="0"/>
        <v>0</v>
      </c>
      <c r="H183" s="16" t="b">
        <v>0</v>
      </c>
      <c r="I183" s="16" t="s">
        <v>131</v>
      </c>
      <c r="J183" s="16" t="s">
        <v>132</v>
      </c>
      <c r="K183" s="16" t="s">
        <v>317</v>
      </c>
      <c r="L183" s="16" t="s">
        <v>21</v>
      </c>
      <c r="M183" s="16">
        <v>211</v>
      </c>
    </row>
    <row r="184" ht="15.75" customHeight="1" spans="1:13">
      <c r="A184" s="16" t="s">
        <v>354</v>
      </c>
      <c r="B184" s="16" t="s">
        <v>147</v>
      </c>
      <c r="C184" s="16" t="s">
        <v>15</v>
      </c>
      <c r="D184" s="74"/>
      <c r="E184" s="16"/>
      <c r="F184" s="16"/>
      <c r="G184" s="75" t="b">
        <f t="shared" si="0"/>
        <v>0</v>
      </c>
      <c r="H184" s="16" t="b">
        <v>0</v>
      </c>
      <c r="I184" s="16" t="s">
        <v>72</v>
      </c>
      <c r="J184" s="16" t="s">
        <v>63</v>
      </c>
      <c r="K184" s="16" t="s">
        <v>73</v>
      </c>
      <c r="L184" s="16" t="s">
        <v>160</v>
      </c>
      <c r="M184" s="16">
        <v>919</v>
      </c>
    </row>
    <row r="185" ht="15.75" customHeight="1" spans="1:13">
      <c r="A185" s="16" t="s">
        <v>355</v>
      </c>
      <c r="B185" s="16" t="s">
        <v>147</v>
      </c>
      <c r="C185" s="16"/>
      <c r="D185" s="74"/>
      <c r="E185" s="16"/>
      <c r="F185" s="16"/>
      <c r="G185" s="75" t="b">
        <f t="shared" si="0"/>
        <v>0</v>
      </c>
      <c r="H185" s="16" t="b">
        <v>0</v>
      </c>
      <c r="I185" s="16" t="s">
        <v>25</v>
      </c>
      <c r="J185" s="16" t="s">
        <v>26</v>
      </c>
      <c r="K185" s="16" t="s">
        <v>27</v>
      </c>
      <c r="L185" s="16" t="s">
        <v>39</v>
      </c>
      <c r="M185" s="16">
        <v>1012</v>
      </c>
    </row>
    <row r="186" ht="15.75" customHeight="1" spans="1:13">
      <c r="A186" s="16" t="s">
        <v>356</v>
      </c>
      <c r="B186" s="16" t="s">
        <v>147</v>
      </c>
      <c r="C186" s="16"/>
      <c r="D186" s="74"/>
      <c r="E186" s="16"/>
      <c r="F186" s="16"/>
      <c r="G186" s="75" t="b">
        <f t="shared" si="0"/>
        <v>0</v>
      </c>
      <c r="H186" s="16" t="b">
        <v>0</v>
      </c>
      <c r="I186" s="16" t="s">
        <v>25</v>
      </c>
      <c r="J186" s="16" t="s">
        <v>26</v>
      </c>
      <c r="K186" s="16" t="s">
        <v>50</v>
      </c>
      <c r="L186" s="16" t="s">
        <v>21</v>
      </c>
      <c r="M186" s="16">
        <v>567</v>
      </c>
    </row>
    <row r="187" ht="15.75" customHeight="1" spans="1:13">
      <c r="A187" s="16" t="s">
        <v>357</v>
      </c>
      <c r="B187" s="16" t="s">
        <v>147</v>
      </c>
      <c r="C187" s="16" t="s">
        <v>15</v>
      </c>
      <c r="D187" s="74"/>
      <c r="E187" s="16"/>
      <c r="F187" s="16"/>
      <c r="G187" s="75" t="b">
        <f t="shared" si="0"/>
        <v>0</v>
      </c>
      <c r="H187" s="16" t="b">
        <v>0</v>
      </c>
      <c r="I187" s="16" t="s">
        <v>358</v>
      </c>
      <c r="J187" s="16" t="s">
        <v>63</v>
      </c>
      <c r="K187" s="16" t="s">
        <v>93</v>
      </c>
      <c r="L187" s="16" t="s">
        <v>39</v>
      </c>
      <c r="M187" s="16">
        <v>407</v>
      </c>
    </row>
    <row r="188" ht="15.75" customHeight="1" spans="1:13">
      <c r="A188" s="16" t="s">
        <v>359</v>
      </c>
      <c r="B188" s="16" t="s">
        <v>23</v>
      </c>
      <c r="C188" s="16" t="s">
        <v>15</v>
      </c>
      <c r="D188" s="74"/>
      <c r="E188" s="16"/>
      <c r="F188" s="16"/>
      <c r="G188" s="75" t="b">
        <f t="shared" si="0"/>
        <v>0</v>
      </c>
      <c r="H188" s="16" t="b">
        <v>0</v>
      </c>
      <c r="I188" s="16" t="s">
        <v>82</v>
      </c>
      <c r="J188" s="16" t="s">
        <v>83</v>
      </c>
      <c r="K188" s="16" t="s">
        <v>84</v>
      </c>
      <c r="L188" s="16" t="s">
        <v>21</v>
      </c>
      <c r="M188" s="16">
        <v>470</v>
      </c>
    </row>
    <row r="189" ht="15.75" customHeight="1" spans="1:13">
      <c r="A189" s="16" t="s">
        <v>360</v>
      </c>
      <c r="B189" s="16" t="s">
        <v>147</v>
      </c>
      <c r="C189" s="16"/>
      <c r="D189" s="74"/>
      <c r="E189" s="16"/>
      <c r="F189" s="16"/>
      <c r="G189" s="75" t="b">
        <f t="shared" si="0"/>
        <v>0</v>
      </c>
      <c r="H189" s="16" t="b">
        <v>0</v>
      </c>
      <c r="I189" s="16" t="s">
        <v>62</v>
      </c>
      <c r="J189" s="16" t="s">
        <v>63</v>
      </c>
      <c r="K189" s="16" t="s">
        <v>64</v>
      </c>
      <c r="L189" s="16" t="s">
        <v>21</v>
      </c>
      <c r="M189" s="16">
        <v>896</v>
      </c>
    </row>
    <row r="190" ht="15.75" customHeight="1" spans="1:13">
      <c r="A190" s="16" t="s">
        <v>361</v>
      </c>
      <c r="B190" s="16" t="s">
        <v>147</v>
      </c>
      <c r="C190" s="16"/>
      <c r="D190" s="74"/>
      <c r="E190" s="16"/>
      <c r="F190" s="16"/>
      <c r="G190" s="75" t="b">
        <f t="shared" si="0"/>
        <v>0</v>
      </c>
      <c r="H190" s="16" t="b">
        <v>0</v>
      </c>
      <c r="I190" s="16" t="s">
        <v>82</v>
      </c>
      <c r="J190" s="16" t="s">
        <v>83</v>
      </c>
      <c r="K190" s="16" t="s">
        <v>362</v>
      </c>
      <c r="L190" s="16" t="s">
        <v>21</v>
      </c>
      <c r="M190" s="16">
        <v>377</v>
      </c>
    </row>
    <row r="191" ht="15.75" customHeight="1" spans="1:13">
      <c r="A191" s="16" t="s">
        <v>363</v>
      </c>
      <c r="B191" s="16" t="s">
        <v>147</v>
      </c>
      <c r="C191" s="16"/>
      <c r="D191" s="74"/>
      <c r="E191" s="16"/>
      <c r="F191" s="16"/>
      <c r="G191" s="75" t="b">
        <f t="shared" si="0"/>
        <v>0</v>
      </c>
      <c r="H191" s="16" t="b">
        <v>0</v>
      </c>
      <c r="I191" s="16" t="s">
        <v>53</v>
      </c>
      <c r="J191" s="16" t="s">
        <v>54</v>
      </c>
      <c r="K191" s="16" t="s">
        <v>55</v>
      </c>
      <c r="L191" s="16" t="s">
        <v>21</v>
      </c>
      <c r="M191" s="16">
        <v>1042</v>
      </c>
    </row>
    <row r="192" ht="15.75" customHeight="1" spans="1:13">
      <c r="A192" s="16" t="s">
        <v>364</v>
      </c>
      <c r="B192" s="16" t="s">
        <v>147</v>
      </c>
      <c r="C192" s="16"/>
      <c r="D192" s="74"/>
      <c r="E192" s="16"/>
      <c r="F192" s="16"/>
      <c r="G192" s="75" t="b">
        <f t="shared" si="0"/>
        <v>0</v>
      </c>
      <c r="H192" s="16" t="b">
        <v>0</v>
      </c>
      <c r="I192" s="16" t="s">
        <v>230</v>
      </c>
      <c r="J192" s="16" t="s">
        <v>26</v>
      </c>
      <c r="K192" s="16" t="s">
        <v>43</v>
      </c>
      <c r="L192" s="16" t="s">
        <v>21</v>
      </c>
      <c r="M192" s="16">
        <v>824</v>
      </c>
    </row>
    <row r="193" ht="15.75" customHeight="1" spans="1:13">
      <c r="A193" s="16" t="s">
        <v>365</v>
      </c>
      <c r="B193" s="16" t="s">
        <v>147</v>
      </c>
      <c r="C193" s="16"/>
      <c r="D193" s="74"/>
      <c r="E193" s="16"/>
      <c r="F193" s="16"/>
      <c r="G193" s="75" t="b">
        <f t="shared" si="0"/>
        <v>0</v>
      </c>
      <c r="H193" s="16" t="b">
        <v>0</v>
      </c>
      <c r="I193" s="16" t="s">
        <v>62</v>
      </c>
      <c r="J193" s="16" t="s">
        <v>63</v>
      </c>
      <c r="K193" s="16" t="s">
        <v>288</v>
      </c>
      <c r="L193" s="16" t="s">
        <v>21</v>
      </c>
      <c r="M193" s="16">
        <v>717</v>
      </c>
    </row>
    <row r="194" ht="15.75" customHeight="1" spans="1:13">
      <c r="A194" s="16" t="s">
        <v>366</v>
      </c>
      <c r="B194" s="16" t="s">
        <v>147</v>
      </c>
      <c r="C194" s="16"/>
      <c r="D194" s="74"/>
      <c r="E194" s="16"/>
      <c r="F194" s="16"/>
      <c r="G194" s="75" t="b">
        <f t="shared" si="0"/>
        <v>0</v>
      </c>
      <c r="H194" s="16" t="b">
        <v>0</v>
      </c>
      <c r="I194" s="16" t="s">
        <v>109</v>
      </c>
      <c r="J194" s="16" t="s">
        <v>58</v>
      </c>
      <c r="K194" s="16" t="s">
        <v>177</v>
      </c>
      <c r="L194" s="16" t="s">
        <v>21</v>
      </c>
      <c r="M194" s="16">
        <v>522</v>
      </c>
    </row>
    <row r="195" ht="15.75" customHeight="1" spans="1:13">
      <c r="A195" s="16" t="s">
        <v>367</v>
      </c>
      <c r="B195" s="16" t="s">
        <v>147</v>
      </c>
      <c r="C195" s="16"/>
      <c r="D195" s="74"/>
      <c r="E195" s="16"/>
      <c r="F195" s="16"/>
      <c r="G195" s="75" t="b">
        <f t="shared" si="0"/>
        <v>0</v>
      </c>
      <c r="H195" s="16" t="b">
        <v>0</v>
      </c>
      <c r="I195" s="16" t="s">
        <v>53</v>
      </c>
      <c r="J195" s="16" t="s">
        <v>54</v>
      </c>
      <c r="K195" s="16" t="s">
        <v>124</v>
      </c>
      <c r="L195" s="16" t="s">
        <v>21</v>
      </c>
      <c r="M195" s="16">
        <v>426</v>
      </c>
    </row>
    <row r="196" ht="15.75" customHeight="1" spans="1:13">
      <c r="A196" s="16" t="s">
        <v>368</v>
      </c>
      <c r="B196" s="16" t="s">
        <v>147</v>
      </c>
      <c r="C196" s="16" t="s">
        <v>190</v>
      </c>
      <c r="D196" s="74"/>
      <c r="E196" s="16"/>
      <c r="F196" s="16"/>
      <c r="G196" s="75" t="b">
        <f t="shared" si="0"/>
        <v>0</v>
      </c>
      <c r="H196" s="16" t="b">
        <v>0</v>
      </c>
      <c r="I196" s="16" t="s">
        <v>72</v>
      </c>
      <c r="J196" s="16" t="s">
        <v>63</v>
      </c>
      <c r="K196" s="16" t="s">
        <v>73</v>
      </c>
      <c r="L196" s="16" t="s">
        <v>21</v>
      </c>
      <c r="M196" s="16">
        <v>889</v>
      </c>
    </row>
    <row r="197" ht="15.75" customHeight="1" spans="1:13">
      <c r="A197" s="16" t="s">
        <v>369</v>
      </c>
      <c r="B197" s="16" t="s">
        <v>147</v>
      </c>
      <c r="C197" s="16"/>
      <c r="D197" s="74"/>
      <c r="E197" s="16"/>
      <c r="F197" s="16"/>
      <c r="G197" s="75" t="b">
        <f t="shared" si="0"/>
        <v>0</v>
      </c>
      <c r="H197" s="16" t="b">
        <v>0</v>
      </c>
      <c r="I197" s="16" t="s">
        <v>144</v>
      </c>
      <c r="J197" s="16" t="s">
        <v>30</v>
      </c>
      <c r="K197" s="16" t="s">
        <v>31</v>
      </c>
      <c r="L197" s="16" t="s">
        <v>21</v>
      </c>
      <c r="M197" s="16">
        <v>705</v>
      </c>
    </row>
    <row r="198" ht="15.75" customHeight="1" spans="1:13">
      <c r="A198" s="16" t="s">
        <v>370</v>
      </c>
      <c r="B198" s="16" t="s">
        <v>147</v>
      </c>
      <c r="C198" s="16"/>
      <c r="D198" s="74"/>
      <c r="E198" s="16"/>
      <c r="F198" s="16"/>
      <c r="G198" s="75" t="b">
        <f t="shared" si="0"/>
        <v>0</v>
      </c>
      <c r="H198" s="16" t="b">
        <v>0</v>
      </c>
      <c r="I198" s="16" t="s">
        <v>131</v>
      </c>
      <c r="J198" s="16" t="s">
        <v>132</v>
      </c>
      <c r="K198" s="16" t="s">
        <v>371</v>
      </c>
      <c r="L198" s="16" t="s">
        <v>21</v>
      </c>
      <c r="M198" s="16">
        <v>1002</v>
      </c>
    </row>
    <row r="199" ht="15.75" customHeight="1" spans="1:13">
      <c r="A199" s="16" t="s">
        <v>372</v>
      </c>
      <c r="B199" s="16" t="s">
        <v>147</v>
      </c>
      <c r="C199" s="16"/>
      <c r="D199" s="74"/>
      <c r="E199" s="16"/>
      <c r="F199" s="16"/>
      <c r="G199" s="75" t="b">
        <f t="shared" si="0"/>
        <v>0</v>
      </c>
      <c r="H199" s="16" t="b">
        <v>0</v>
      </c>
      <c r="I199" s="16" t="s">
        <v>57</v>
      </c>
      <c r="J199" s="16" t="s">
        <v>58</v>
      </c>
      <c r="K199" s="16" t="s">
        <v>177</v>
      </c>
      <c r="L199" s="16" t="s">
        <v>21</v>
      </c>
      <c r="M199" s="16">
        <v>922</v>
      </c>
    </row>
    <row r="200" ht="15.75" customHeight="1" spans="1:13">
      <c r="A200" s="16" t="s">
        <v>373</v>
      </c>
      <c r="B200" s="16" t="s">
        <v>147</v>
      </c>
      <c r="C200" s="16"/>
      <c r="D200" s="74"/>
      <c r="E200" s="16"/>
      <c r="F200" s="16"/>
      <c r="G200" s="75" t="b">
        <f t="shared" si="0"/>
        <v>0</v>
      </c>
      <c r="H200" s="16" t="b">
        <v>0</v>
      </c>
      <c r="I200" s="16" t="s">
        <v>278</v>
      </c>
      <c r="J200" s="16" t="s">
        <v>374</v>
      </c>
      <c r="K200" s="16" t="s">
        <v>375</v>
      </c>
      <c r="L200" s="16" t="s">
        <v>21</v>
      </c>
      <c r="M200" s="16">
        <v>855</v>
      </c>
    </row>
    <row r="201" ht="15.75" customHeight="1" spans="1:13">
      <c r="A201" s="16" t="s">
        <v>376</v>
      </c>
      <c r="B201" s="16" t="s">
        <v>147</v>
      </c>
      <c r="C201" s="16"/>
      <c r="D201" s="74"/>
      <c r="E201" s="16"/>
      <c r="F201" s="16"/>
      <c r="G201" s="75" t="b">
        <f t="shared" si="0"/>
        <v>0</v>
      </c>
      <c r="H201" s="16" t="b">
        <v>0</v>
      </c>
      <c r="I201" s="16" t="s">
        <v>72</v>
      </c>
      <c r="J201" s="16" t="s">
        <v>63</v>
      </c>
      <c r="K201" s="16" t="s">
        <v>73</v>
      </c>
      <c r="L201" s="16" t="s">
        <v>21</v>
      </c>
      <c r="M201" s="16">
        <v>912</v>
      </c>
    </row>
    <row r="202" ht="15.75" customHeight="1" spans="1:13">
      <c r="A202" s="16" t="s">
        <v>377</v>
      </c>
      <c r="B202" s="16" t="s">
        <v>147</v>
      </c>
      <c r="C202" s="16"/>
      <c r="D202" s="74"/>
      <c r="E202" s="16"/>
      <c r="F202" s="16"/>
      <c r="G202" s="75" t="b">
        <f t="shared" si="0"/>
        <v>0</v>
      </c>
      <c r="H202" s="16" t="b">
        <v>0</v>
      </c>
      <c r="I202" s="16" t="s">
        <v>57</v>
      </c>
      <c r="J202" s="16" t="s">
        <v>30</v>
      </c>
      <c r="K202" s="16" t="s">
        <v>378</v>
      </c>
      <c r="L202" s="16" t="s">
        <v>21</v>
      </c>
      <c r="M202" s="16">
        <v>306</v>
      </c>
    </row>
    <row r="203" ht="15.75" customHeight="1" spans="1:13">
      <c r="A203" s="16" t="s">
        <v>379</v>
      </c>
      <c r="B203" s="16" t="s">
        <v>147</v>
      </c>
      <c r="C203" s="16" t="s">
        <v>15</v>
      </c>
      <c r="D203" s="74"/>
      <c r="E203" s="16"/>
      <c r="F203" s="16"/>
      <c r="G203" s="75" t="b">
        <f t="shared" si="0"/>
        <v>0</v>
      </c>
      <c r="H203" s="16" t="b">
        <v>0</v>
      </c>
      <c r="I203" s="16" t="s">
        <v>18</v>
      </c>
      <c r="J203" s="16" t="s">
        <v>19</v>
      </c>
      <c r="K203" s="16" t="s">
        <v>20</v>
      </c>
      <c r="L203" s="16" t="s">
        <v>21</v>
      </c>
      <c r="M203" s="16">
        <v>359</v>
      </c>
    </row>
    <row r="204" ht="15.75" customHeight="1" spans="1:13">
      <c r="A204" s="16" t="s">
        <v>380</v>
      </c>
      <c r="B204" s="16" t="s">
        <v>147</v>
      </c>
      <c r="C204" s="16"/>
      <c r="D204" s="74"/>
      <c r="E204" s="16"/>
      <c r="F204" s="16"/>
      <c r="G204" s="75" t="b">
        <f t="shared" si="0"/>
        <v>0</v>
      </c>
      <c r="H204" s="16" t="b">
        <v>0</v>
      </c>
      <c r="I204" s="16" t="s">
        <v>25</v>
      </c>
      <c r="J204" s="16" t="s">
        <v>26</v>
      </c>
      <c r="K204" s="16" t="s">
        <v>77</v>
      </c>
      <c r="L204" s="16" t="s">
        <v>39</v>
      </c>
      <c r="M204" s="16">
        <v>614</v>
      </c>
    </row>
    <row r="205" ht="15.75" customHeight="1" spans="1:13">
      <c r="A205" s="16" t="s">
        <v>381</v>
      </c>
      <c r="B205" s="16" t="s">
        <v>14</v>
      </c>
      <c r="C205" s="16" t="s">
        <v>15</v>
      </c>
      <c r="D205" s="74"/>
      <c r="E205" s="16" t="s">
        <v>382</v>
      </c>
      <c r="F205" s="16"/>
      <c r="G205" s="75" t="b">
        <f t="shared" si="0"/>
        <v>0</v>
      </c>
      <c r="H205" s="16" t="b">
        <v>0</v>
      </c>
      <c r="I205" s="16" t="s">
        <v>347</v>
      </c>
      <c r="J205" s="16" t="s">
        <v>19</v>
      </c>
      <c r="K205" s="16" t="s">
        <v>119</v>
      </c>
      <c r="L205" s="16" t="s">
        <v>160</v>
      </c>
      <c r="M205" s="16">
        <v>180</v>
      </c>
    </row>
    <row r="206" ht="15.75" customHeight="1" spans="1:13">
      <c r="A206" s="16" t="s">
        <v>383</v>
      </c>
      <c r="B206" s="16" t="s">
        <v>23</v>
      </c>
      <c r="C206" s="16" t="s">
        <v>183</v>
      </c>
      <c r="D206" s="74" t="s">
        <v>384</v>
      </c>
      <c r="E206" s="16" t="s">
        <v>385</v>
      </c>
      <c r="F206" s="16"/>
      <c r="G206" s="75" t="b">
        <f t="shared" si="0"/>
        <v>0</v>
      </c>
      <c r="H206" s="16" t="b">
        <v>0</v>
      </c>
      <c r="I206" s="16" t="s">
        <v>207</v>
      </c>
      <c r="J206" s="16" t="s">
        <v>63</v>
      </c>
      <c r="K206" s="16" t="s">
        <v>169</v>
      </c>
      <c r="L206" s="16" t="s">
        <v>21</v>
      </c>
      <c r="M206" s="16">
        <v>11</v>
      </c>
    </row>
    <row r="207" ht="15.75" customHeight="1" spans="1:13">
      <c r="A207" s="16" t="s">
        <v>386</v>
      </c>
      <c r="B207" s="16" t="s">
        <v>147</v>
      </c>
      <c r="C207" s="16"/>
      <c r="D207" s="74"/>
      <c r="E207" s="16"/>
      <c r="F207" s="16"/>
      <c r="G207" s="75" t="b">
        <f t="shared" si="0"/>
        <v>0</v>
      </c>
      <c r="H207" s="16" t="b">
        <v>0</v>
      </c>
      <c r="I207" s="16" t="s">
        <v>92</v>
      </c>
      <c r="J207" s="16" t="s">
        <v>63</v>
      </c>
      <c r="K207" s="16" t="s">
        <v>93</v>
      </c>
      <c r="L207" s="16" t="s">
        <v>21</v>
      </c>
      <c r="M207" s="16">
        <v>272</v>
      </c>
    </row>
    <row r="208" ht="15.75" customHeight="1" spans="1:13">
      <c r="A208" s="16" t="s">
        <v>387</v>
      </c>
      <c r="B208" s="16" t="s">
        <v>14</v>
      </c>
      <c r="C208" s="16" t="s">
        <v>15</v>
      </c>
      <c r="D208" s="74" t="s">
        <v>213</v>
      </c>
      <c r="E208" s="16" t="s">
        <v>388</v>
      </c>
      <c r="F208" s="16"/>
      <c r="G208" s="75" t="b">
        <f t="shared" si="0"/>
        <v>0</v>
      </c>
      <c r="H208" s="16" t="b">
        <v>0</v>
      </c>
      <c r="I208" s="16" t="s">
        <v>18</v>
      </c>
      <c r="J208" s="16" t="s">
        <v>38</v>
      </c>
      <c r="K208" s="16"/>
      <c r="L208" s="16" t="s">
        <v>39</v>
      </c>
      <c r="M208" s="16">
        <v>385</v>
      </c>
    </row>
    <row r="209" ht="15.75" customHeight="1" spans="1:13">
      <c r="A209" s="16" t="s">
        <v>389</v>
      </c>
      <c r="B209" s="16" t="s">
        <v>23</v>
      </c>
      <c r="C209" s="16" t="s">
        <v>15</v>
      </c>
      <c r="D209" s="74"/>
      <c r="E209" s="16"/>
      <c r="F209" s="16"/>
      <c r="G209" s="75" t="b">
        <f t="shared" si="0"/>
        <v>0</v>
      </c>
      <c r="H209" s="16" t="b">
        <v>0</v>
      </c>
      <c r="I209" s="16" t="s">
        <v>186</v>
      </c>
      <c r="J209" s="16" t="s">
        <v>187</v>
      </c>
      <c r="K209" s="16" t="s">
        <v>188</v>
      </c>
      <c r="L209" s="16" t="s">
        <v>21</v>
      </c>
      <c r="M209" s="16">
        <v>41</v>
      </c>
    </row>
    <row r="210" ht="15.75" customHeight="1" spans="1:13">
      <c r="A210" s="16" t="s">
        <v>390</v>
      </c>
      <c r="B210" s="16" t="s">
        <v>14</v>
      </c>
      <c r="C210" s="16"/>
      <c r="D210" s="74"/>
      <c r="E210" s="16" t="s">
        <v>391</v>
      </c>
      <c r="F210" s="16"/>
      <c r="G210" s="75" t="b">
        <f t="shared" si="0"/>
        <v>0</v>
      </c>
      <c r="H210" s="16" t="b">
        <v>0</v>
      </c>
      <c r="I210" s="16" t="s">
        <v>392</v>
      </c>
      <c r="J210" s="16" t="s">
        <v>63</v>
      </c>
      <c r="K210" s="16" t="s">
        <v>93</v>
      </c>
      <c r="L210" s="16" t="s">
        <v>21</v>
      </c>
      <c r="M210" s="16">
        <v>908</v>
      </c>
    </row>
    <row r="211" ht="15.75" customHeight="1" spans="1:13">
      <c r="A211" s="16" t="s">
        <v>393</v>
      </c>
      <c r="B211" s="16" t="s">
        <v>147</v>
      </c>
      <c r="C211" s="16"/>
      <c r="D211" s="74"/>
      <c r="E211" s="16"/>
      <c r="F211" s="16"/>
      <c r="G211" s="75" t="b">
        <f t="shared" si="0"/>
        <v>0</v>
      </c>
      <c r="H211" s="16" t="b">
        <v>0</v>
      </c>
      <c r="I211" s="16" t="s">
        <v>319</v>
      </c>
      <c r="J211" s="16" t="s">
        <v>126</v>
      </c>
      <c r="K211" s="16" t="s">
        <v>127</v>
      </c>
      <c r="L211" s="16" t="s">
        <v>21</v>
      </c>
      <c r="M211" s="16">
        <v>65</v>
      </c>
    </row>
    <row r="212" ht="15.75" customHeight="1" spans="1:13">
      <c r="A212" s="16" t="s">
        <v>394</v>
      </c>
      <c r="B212" s="16" t="s">
        <v>147</v>
      </c>
      <c r="C212" s="16"/>
      <c r="D212" s="74"/>
      <c r="E212" s="16"/>
      <c r="F212" s="16"/>
      <c r="G212" s="75" t="b">
        <f t="shared" si="0"/>
        <v>0</v>
      </c>
      <c r="H212" s="16" t="b">
        <v>0</v>
      </c>
      <c r="I212" s="16" t="s">
        <v>25</v>
      </c>
      <c r="J212" s="16" t="s">
        <v>26</v>
      </c>
      <c r="K212" s="16" t="s">
        <v>43</v>
      </c>
      <c r="L212" s="16" t="s">
        <v>39</v>
      </c>
      <c r="M212" s="16">
        <v>655</v>
      </c>
    </row>
    <row r="213" ht="15.75" customHeight="1" spans="1:13">
      <c r="A213" s="75" t="s">
        <v>395</v>
      </c>
      <c r="B213" s="75" t="s">
        <v>147</v>
      </c>
      <c r="C213" s="75" t="s">
        <v>15</v>
      </c>
      <c r="D213" s="79"/>
      <c r="E213" s="75"/>
      <c r="F213" s="75"/>
      <c r="G213" s="75" t="b">
        <f t="shared" si="0"/>
        <v>0</v>
      </c>
      <c r="H213" s="16" t="b">
        <v>0</v>
      </c>
      <c r="I213" s="75" t="s">
        <v>186</v>
      </c>
      <c r="J213" s="75" t="s">
        <v>187</v>
      </c>
      <c r="K213" s="75" t="s">
        <v>227</v>
      </c>
      <c r="L213" s="75" t="s">
        <v>21</v>
      </c>
      <c r="M213" s="75">
        <v>955</v>
      </c>
    </row>
    <row r="214" ht="15.75" customHeight="1" spans="1:13">
      <c r="A214" s="16" t="s">
        <v>396</v>
      </c>
      <c r="B214" s="16" t="s">
        <v>147</v>
      </c>
      <c r="C214" s="16"/>
      <c r="D214" s="74"/>
      <c r="E214" s="16"/>
      <c r="F214" s="16"/>
      <c r="G214" s="75" t="b">
        <f t="shared" si="0"/>
        <v>0</v>
      </c>
      <c r="H214" s="16" t="b">
        <v>0</v>
      </c>
      <c r="I214" s="16" t="s">
        <v>57</v>
      </c>
      <c r="J214" s="16" t="s">
        <v>58</v>
      </c>
      <c r="K214" s="16" t="s">
        <v>164</v>
      </c>
      <c r="L214" s="16" t="s">
        <v>21</v>
      </c>
      <c r="M214" s="16">
        <v>839</v>
      </c>
    </row>
    <row r="215" ht="15.75" customHeight="1" spans="1:13">
      <c r="A215" s="16" t="s">
        <v>397</v>
      </c>
      <c r="B215" s="16" t="s">
        <v>147</v>
      </c>
      <c r="C215" s="16"/>
      <c r="D215" s="74"/>
      <c r="E215" s="16"/>
      <c r="F215" s="16"/>
      <c r="G215" s="75" t="b">
        <f t="shared" si="0"/>
        <v>0</v>
      </c>
      <c r="H215" s="16" t="b">
        <v>0</v>
      </c>
      <c r="I215" s="16" t="s">
        <v>29</v>
      </c>
      <c r="J215" s="16" t="s">
        <v>26</v>
      </c>
      <c r="K215" s="16" t="s">
        <v>77</v>
      </c>
      <c r="L215" s="16" t="s">
        <v>39</v>
      </c>
      <c r="M215" s="16">
        <v>321</v>
      </c>
    </row>
    <row r="216" ht="15.75" customHeight="1" spans="1:13">
      <c r="A216" s="16" t="s">
        <v>398</v>
      </c>
      <c r="B216" s="16" t="s">
        <v>147</v>
      </c>
      <c r="C216" s="16"/>
      <c r="D216" s="74"/>
      <c r="E216" s="16"/>
      <c r="F216" s="16"/>
      <c r="G216" s="75" t="b">
        <f t="shared" si="0"/>
        <v>0</v>
      </c>
      <c r="H216" s="16" t="b">
        <v>0</v>
      </c>
      <c r="I216" s="16" t="s">
        <v>25</v>
      </c>
      <c r="J216" s="16" t="s">
        <v>26</v>
      </c>
      <c r="K216" s="16" t="s">
        <v>399</v>
      </c>
      <c r="L216" s="16" t="s">
        <v>39</v>
      </c>
      <c r="M216" s="16">
        <v>761</v>
      </c>
    </row>
    <row r="217" ht="15.75" customHeight="1" spans="1:13">
      <c r="A217" s="75" t="s">
        <v>400</v>
      </c>
      <c r="B217" s="75" t="s">
        <v>147</v>
      </c>
      <c r="C217" s="75" t="s">
        <v>15</v>
      </c>
      <c r="D217" s="79"/>
      <c r="E217" s="75"/>
      <c r="F217" s="75"/>
      <c r="G217" s="75" t="b">
        <f t="shared" si="0"/>
        <v>0</v>
      </c>
      <c r="H217" s="16" t="b">
        <v>0</v>
      </c>
      <c r="I217" s="75" t="s">
        <v>186</v>
      </c>
      <c r="J217" s="75" t="s">
        <v>187</v>
      </c>
      <c r="K217" s="75" t="s">
        <v>227</v>
      </c>
      <c r="L217" s="75" t="s">
        <v>21</v>
      </c>
      <c r="M217" s="75">
        <v>189</v>
      </c>
    </row>
    <row r="218" ht="15.75" customHeight="1" spans="1:13">
      <c r="A218" s="16" t="s">
        <v>401</v>
      </c>
      <c r="B218" s="16" t="s">
        <v>147</v>
      </c>
      <c r="C218" s="16" t="s">
        <v>15</v>
      </c>
      <c r="D218" s="74"/>
      <c r="E218" s="16"/>
      <c r="F218" s="16"/>
      <c r="G218" s="75" t="b">
        <f t="shared" si="0"/>
        <v>0</v>
      </c>
      <c r="H218" s="16" t="b">
        <v>0</v>
      </c>
      <c r="I218" s="16" t="s">
        <v>62</v>
      </c>
      <c r="J218" s="16" t="s">
        <v>126</v>
      </c>
      <c r="K218" s="16" t="s">
        <v>127</v>
      </c>
      <c r="L218" s="16" t="s">
        <v>21</v>
      </c>
      <c r="M218" s="16">
        <v>895</v>
      </c>
    </row>
    <row r="219" ht="15.75" customHeight="1" spans="1:13">
      <c r="A219" s="16" t="s">
        <v>402</v>
      </c>
      <c r="B219" s="16" t="s">
        <v>147</v>
      </c>
      <c r="C219" s="16"/>
      <c r="D219" s="74"/>
      <c r="E219" s="16"/>
      <c r="F219" s="16"/>
      <c r="G219" s="75" t="b">
        <f t="shared" si="0"/>
        <v>0</v>
      </c>
      <c r="H219" s="16" t="b">
        <v>0</v>
      </c>
      <c r="I219" s="16" t="s">
        <v>25</v>
      </c>
      <c r="J219" s="16" t="s">
        <v>26</v>
      </c>
      <c r="K219" s="16" t="s">
        <v>159</v>
      </c>
      <c r="L219" s="16" t="s">
        <v>39</v>
      </c>
      <c r="M219" s="16">
        <v>644</v>
      </c>
    </row>
    <row r="220" ht="15.75" customHeight="1" spans="1:13">
      <c r="A220" s="16" t="s">
        <v>403</v>
      </c>
      <c r="B220" s="16" t="s">
        <v>147</v>
      </c>
      <c r="C220" s="16"/>
      <c r="D220" s="74"/>
      <c r="E220" s="16"/>
      <c r="F220" s="16"/>
      <c r="G220" s="75" t="b">
        <f t="shared" si="0"/>
        <v>0</v>
      </c>
      <c r="H220" s="16" t="b">
        <v>0</v>
      </c>
      <c r="I220" s="16" t="s">
        <v>207</v>
      </c>
      <c r="J220" s="16" t="s">
        <v>30</v>
      </c>
      <c r="K220" s="16" t="s">
        <v>31</v>
      </c>
      <c r="L220" s="16" t="s">
        <v>21</v>
      </c>
      <c r="M220" s="16">
        <v>680</v>
      </c>
    </row>
    <row r="221" ht="15.75" customHeight="1" spans="1:13">
      <c r="A221" s="16" t="s">
        <v>404</v>
      </c>
      <c r="B221" s="16" t="s">
        <v>147</v>
      </c>
      <c r="C221" s="16"/>
      <c r="D221" s="74"/>
      <c r="E221" s="16"/>
      <c r="F221" s="16"/>
      <c r="G221" s="75" t="b">
        <f t="shared" si="0"/>
        <v>0</v>
      </c>
      <c r="H221" s="16" t="b">
        <v>0</v>
      </c>
      <c r="I221" s="16" t="s">
        <v>67</v>
      </c>
      <c r="J221" s="16" t="s">
        <v>26</v>
      </c>
      <c r="K221" s="16" t="s">
        <v>68</v>
      </c>
      <c r="L221" s="16" t="s">
        <v>39</v>
      </c>
      <c r="M221" s="16">
        <v>944</v>
      </c>
    </row>
    <row r="222" ht="15.75" customHeight="1" spans="1:13">
      <c r="A222" s="16" t="s">
        <v>405</v>
      </c>
      <c r="B222" s="16" t="s">
        <v>147</v>
      </c>
      <c r="C222" s="16"/>
      <c r="D222" s="74"/>
      <c r="E222" s="16"/>
      <c r="F222" s="16"/>
      <c r="G222" s="75" t="b">
        <f t="shared" si="0"/>
        <v>0</v>
      </c>
      <c r="H222" s="16" t="b">
        <v>0</v>
      </c>
      <c r="I222" s="16" t="s">
        <v>109</v>
      </c>
      <c r="J222" s="16" t="s">
        <v>58</v>
      </c>
      <c r="K222" s="16" t="s">
        <v>177</v>
      </c>
      <c r="L222" s="16" t="s">
        <v>21</v>
      </c>
      <c r="M222" s="16">
        <v>454</v>
      </c>
    </row>
    <row r="223" ht="15.75" customHeight="1" spans="1:13">
      <c r="A223" s="16" t="s">
        <v>406</v>
      </c>
      <c r="B223" s="16" t="s">
        <v>147</v>
      </c>
      <c r="C223" s="16"/>
      <c r="D223" s="74"/>
      <c r="E223" s="16"/>
      <c r="F223" s="16"/>
      <c r="G223" s="75" t="b">
        <f t="shared" si="0"/>
        <v>0</v>
      </c>
      <c r="H223" s="16" t="b">
        <v>0</v>
      </c>
      <c r="I223" s="16" t="s">
        <v>407</v>
      </c>
      <c r="J223" s="16" t="s">
        <v>26</v>
      </c>
      <c r="K223" s="16" t="s">
        <v>50</v>
      </c>
      <c r="L223" s="16" t="s">
        <v>21</v>
      </c>
      <c r="M223" s="16">
        <v>823</v>
      </c>
    </row>
    <row r="224" ht="15.75" customHeight="1" spans="1:13">
      <c r="A224" s="16" t="s">
        <v>408</v>
      </c>
      <c r="B224" s="16" t="s">
        <v>147</v>
      </c>
      <c r="C224" s="16"/>
      <c r="D224" s="74"/>
      <c r="E224" s="16"/>
      <c r="F224" s="16"/>
      <c r="G224" s="75" t="b">
        <f t="shared" si="0"/>
        <v>0</v>
      </c>
      <c r="H224" s="16" t="b">
        <v>0</v>
      </c>
      <c r="I224" s="16" t="s">
        <v>45</v>
      </c>
      <c r="J224" s="16" t="s">
        <v>54</v>
      </c>
      <c r="K224" s="16" t="s">
        <v>409</v>
      </c>
      <c r="L224" s="16" t="s">
        <v>21</v>
      </c>
      <c r="M224" s="16">
        <v>216</v>
      </c>
    </row>
    <row r="225" ht="15.75" customHeight="1" spans="1:13">
      <c r="A225" s="16" t="s">
        <v>410</v>
      </c>
      <c r="B225" s="16" t="s">
        <v>147</v>
      </c>
      <c r="C225" s="16"/>
      <c r="D225" s="74"/>
      <c r="E225" s="16"/>
      <c r="F225" s="16"/>
      <c r="G225" s="75" t="b">
        <f t="shared" si="0"/>
        <v>0</v>
      </c>
      <c r="H225" s="16" t="b">
        <v>0</v>
      </c>
      <c r="I225" s="16" t="s">
        <v>25</v>
      </c>
      <c r="J225" s="16" t="s">
        <v>26</v>
      </c>
      <c r="K225" s="16" t="s">
        <v>43</v>
      </c>
      <c r="L225" s="16" t="s">
        <v>160</v>
      </c>
      <c r="M225" s="16">
        <v>653</v>
      </c>
    </row>
    <row r="226" ht="15.75" customHeight="1" spans="1:13">
      <c r="A226" s="16" t="s">
        <v>411</v>
      </c>
      <c r="B226" s="16" t="s">
        <v>147</v>
      </c>
      <c r="C226" s="16"/>
      <c r="D226" s="74"/>
      <c r="E226" s="16"/>
      <c r="F226" s="16"/>
      <c r="G226" s="75" t="b">
        <f t="shared" si="0"/>
        <v>0</v>
      </c>
      <c r="H226" s="16" t="b">
        <v>0</v>
      </c>
      <c r="I226" s="16" t="s">
        <v>25</v>
      </c>
      <c r="J226" s="16" t="s">
        <v>26</v>
      </c>
      <c r="K226" s="16" t="s">
        <v>43</v>
      </c>
      <c r="L226" s="16" t="s">
        <v>21</v>
      </c>
      <c r="M226" s="16">
        <v>658</v>
      </c>
    </row>
    <row r="227" ht="15.75" customHeight="1" spans="1:13">
      <c r="A227" s="16" t="s">
        <v>412</v>
      </c>
      <c r="B227" s="16" t="s">
        <v>147</v>
      </c>
      <c r="C227" s="16"/>
      <c r="D227" s="74"/>
      <c r="E227" s="16"/>
      <c r="F227" s="16"/>
      <c r="G227" s="75" t="b">
        <f t="shared" si="0"/>
        <v>0</v>
      </c>
      <c r="H227" s="16" t="b">
        <v>0</v>
      </c>
      <c r="I227" s="16" t="s">
        <v>82</v>
      </c>
      <c r="J227" s="16" t="s">
        <v>83</v>
      </c>
      <c r="K227" s="16" t="s">
        <v>84</v>
      </c>
      <c r="L227" s="16" t="s">
        <v>21</v>
      </c>
      <c r="M227" s="16">
        <v>459</v>
      </c>
    </row>
    <row r="228" ht="15.75" customHeight="1" spans="1:13">
      <c r="A228" s="16" t="s">
        <v>413</v>
      </c>
      <c r="B228" s="16" t="s">
        <v>147</v>
      </c>
      <c r="C228" s="16" t="s">
        <v>15</v>
      </c>
      <c r="D228" s="74"/>
      <c r="E228" s="16"/>
      <c r="F228" s="16"/>
      <c r="G228" s="75" t="b">
        <f t="shared" si="0"/>
        <v>0</v>
      </c>
      <c r="H228" s="16" t="b">
        <v>0</v>
      </c>
      <c r="I228" s="16" t="s">
        <v>18</v>
      </c>
      <c r="J228" s="16" t="s">
        <v>19</v>
      </c>
      <c r="K228" s="16" t="s">
        <v>20</v>
      </c>
      <c r="L228" s="16" t="s">
        <v>21</v>
      </c>
      <c r="M228" s="16">
        <v>437</v>
      </c>
    </row>
    <row r="229" ht="15.75" customHeight="1" spans="1:13">
      <c r="A229" s="16" t="s">
        <v>414</v>
      </c>
      <c r="B229" s="16" t="s">
        <v>147</v>
      </c>
      <c r="C229" s="16"/>
      <c r="D229" s="74"/>
      <c r="E229" s="16"/>
      <c r="F229" s="16"/>
      <c r="G229" s="75" t="b">
        <f t="shared" si="0"/>
        <v>0</v>
      </c>
      <c r="H229" s="16" t="b">
        <v>0</v>
      </c>
      <c r="I229" s="16" t="s">
        <v>92</v>
      </c>
      <c r="J229" s="16" t="s">
        <v>63</v>
      </c>
      <c r="K229" s="16" t="s">
        <v>64</v>
      </c>
      <c r="L229" s="16" t="s">
        <v>21</v>
      </c>
      <c r="M229" s="16">
        <v>711</v>
      </c>
    </row>
    <row r="230" ht="15.75" customHeight="1" spans="1:13">
      <c r="A230" s="16" t="s">
        <v>415</v>
      </c>
      <c r="B230" s="16" t="s">
        <v>147</v>
      </c>
      <c r="C230" s="16"/>
      <c r="D230" s="74"/>
      <c r="E230" s="16"/>
      <c r="F230" s="16"/>
      <c r="G230" s="75" t="b">
        <f t="shared" si="0"/>
        <v>0</v>
      </c>
      <c r="H230" s="16" t="b">
        <v>0</v>
      </c>
      <c r="I230" s="16" t="s">
        <v>53</v>
      </c>
      <c r="J230" s="16" t="s">
        <v>54</v>
      </c>
      <c r="K230" s="16" t="s">
        <v>198</v>
      </c>
      <c r="L230" s="16" t="s">
        <v>21</v>
      </c>
      <c r="M230" s="16">
        <v>268</v>
      </c>
    </row>
    <row r="231" ht="15.75" customHeight="1" spans="1:13">
      <c r="A231" s="16" t="s">
        <v>322</v>
      </c>
      <c r="B231" s="16" t="s">
        <v>14</v>
      </c>
      <c r="C231" s="16" t="s">
        <v>15</v>
      </c>
      <c r="D231" s="74" t="s">
        <v>322</v>
      </c>
      <c r="E231" s="16" t="s">
        <v>388</v>
      </c>
      <c r="F231" s="16"/>
      <c r="G231" s="75" t="b">
        <f t="shared" si="0"/>
        <v>0</v>
      </c>
      <c r="H231" s="16" t="b">
        <v>0</v>
      </c>
      <c r="I231" s="16" t="s">
        <v>18</v>
      </c>
      <c r="J231" s="16" t="s">
        <v>38</v>
      </c>
      <c r="K231" s="16"/>
      <c r="L231" s="16" t="s">
        <v>39</v>
      </c>
      <c r="M231" s="16">
        <v>89</v>
      </c>
    </row>
    <row r="232" ht="15.75" customHeight="1" spans="1:13">
      <c r="A232" s="16" t="s">
        <v>416</v>
      </c>
      <c r="B232" s="16" t="s">
        <v>147</v>
      </c>
      <c r="C232" s="16" t="s">
        <v>15</v>
      </c>
      <c r="D232" s="74"/>
      <c r="E232" s="16" t="s">
        <v>417</v>
      </c>
      <c r="F232" s="16"/>
      <c r="G232" s="75" t="b">
        <f t="shared" si="0"/>
        <v>0</v>
      </c>
      <c r="H232" s="16" t="b">
        <v>0</v>
      </c>
      <c r="I232" s="16" t="s">
        <v>18</v>
      </c>
      <c r="J232" s="16" t="s">
        <v>19</v>
      </c>
      <c r="K232" s="16" t="s">
        <v>20</v>
      </c>
      <c r="L232" s="16" t="s">
        <v>21</v>
      </c>
      <c r="M232" s="16">
        <v>480</v>
      </c>
    </row>
    <row r="233" ht="15.75" customHeight="1" spans="1:13">
      <c r="A233" s="16" t="s">
        <v>418</v>
      </c>
      <c r="B233" s="16" t="s">
        <v>14</v>
      </c>
      <c r="C233" s="16" t="s">
        <v>15</v>
      </c>
      <c r="D233" s="74"/>
      <c r="E233" s="16" t="s">
        <v>419</v>
      </c>
      <c r="F233" s="16"/>
      <c r="G233" s="75" t="b">
        <f t="shared" si="0"/>
        <v>0</v>
      </c>
      <c r="H233" s="16" t="b">
        <v>0</v>
      </c>
      <c r="I233" s="16" t="s">
        <v>29</v>
      </c>
      <c r="J233" s="16" t="s">
        <v>30</v>
      </c>
      <c r="K233" s="16" t="s">
        <v>31</v>
      </c>
      <c r="L233" s="16" t="s">
        <v>39</v>
      </c>
      <c r="M233" s="16">
        <v>338</v>
      </c>
    </row>
    <row r="234" ht="15.75" customHeight="1" spans="1:13">
      <c r="A234" s="16" t="s">
        <v>420</v>
      </c>
      <c r="B234" s="16" t="s">
        <v>147</v>
      </c>
      <c r="C234" s="16"/>
      <c r="D234" s="74"/>
      <c r="E234" s="16"/>
      <c r="F234" s="16"/>
      <c r="G234" s="75" t="b">
        <f t="shared" si="0"/>
        <v>0</v>
      </c>
      <c r="H234" s="16" t="b">
        <v>0</v>
      </c>
      <c r="I234" s="16" t="s">
        <v>53</v>
      </c>
      <c r="J234" s="16" t="s">
        <v>421</v>
      </c>
      <c r="K234" s="16" t="s">
        <v>422</v>
      </c>
      <c r="L234" s="16" t="s">
        <v>21</v>
      </c>
      <c r="M234" s="16">
        <v>733</v>
      </c>
    </row>
    <row r="235" ht="15.75" customHeight="1" spans="1:13">
      <c r="A235" s="16" t="s">
        <v>423</v>
      </c>
      <c r="B235" s="16" t="s">
        <v>147</v>
      </c>
      <c r="C235" s="16"/>
      <c r="D235" s="74"/>
      <c r="E235" s="16"/>
      <c r="F235" s="16"/>
      <c r="G235" s="75" t="b">
        <f t="shared" si="0"/>
        <v>0</v>
      </c>
      <c r="H235" s="16" t="b">
        <v>0</v>
      </c>
      <c r="I235" s="16" t="s">
        <v>45</v>
      </c>
      <c r="J235" s="16" t="s">
        <v>46</v>
      </c>
      <c r="K235" s="16" t="s">
        <v>90</v>
      </c>
      <c r="L235" s="16" t="s">
        <v>21</v>
      </c>
      <c r="M235" s="16">
        <v>259</v>
      </c>
    </row>
    <row r="236" ht="15.75" customHeight="1" spans="1:13">
      <c r="A236" s="16" t="s">
        <v>424</v>
      </c>
      <c r="B236" s="16" t="s">
        <v>147</v>
      </c>
      <c r="C236" s="16"/>
      <c r="D236" s="74"/>
      <c r="E236" s="16"/>
      <c r="F236" s="16"/>
      <c r="G236" s="75" t="b">
        <f t="shared" si="0"/>
        <v>0</v>
      </c>
      <c r="H236" s="16" t="b">
        <v>0</v>
      </c>
      <c r="I236" s="16" t="s">
        <v>131</v>
      </c>
      <c r="J236" s="16" t="s">
        <v>132</v>
      </c>
      <c r="K236" s="16" t="s">
        <v>133</v>
      </c>
      <c r="L236" s="16" t="s">
        <v>21</v>
      </c>
      <c r="M236" s="16">
        <v>42</v>
      </c>
    </row>
    <row r="237" ht="15.75" customHeight="1" spans="1:13">
      <c r="A237" s="16" t="s">
        <v>425</v>
      </c>
      <c r="B237" s="16" t="s">
        <v>147</v>
      </c>
      <c r="C237" s="16"/>
      <c r="D237" s="74"/>
      <c r="E237" s="16"/>
      <c r="F237" s="16"/>
      <c r="G237" s="75" t="b">
        <f t="shared" si="0"/>
        <v>0</v>
      </c>
      <c r="H237" s="16" t="b">
        <v>0</v>
      </c>
      <c r="I237" s="16" t="s">
        <v>173</v>
      </c>
      <c r="J237" s="16" t="s">
        <v>54</v>
      </c>
      <c r="K237" s="16" t="s">
        <v>75</v>
      </c>
      <c r="L237" s="16" t="s">
        <v>21</v>
      </c>
      <c r="M237" s="16">
        <v>971</v>
      </c>
    </row>
    <row r="238" ht="15.75" customHeight="1" spans="1:13">
      <c r="A238" s="16" t="s">
        <v>426</v>
      </c>
      <c r="B238" s="16" t="s">
        <v>147</v>
      </c>
      <c r="C238" s="16"/>
      <c r="D238" s="74"/>
      <c r="E238" s="16"/>
      <c r="F238" s="16"/>
      <c r="G238" s="75" t="b">
        <f t="shared" si="0"/>
        <v>0</v>
      </c>
      <c r="H238" s="16" t="b">
        <v>0</v>
      </c>
      <c r="I238" s="16" t="s">
        <v>109</v>
      </c>
      <c r="J238" s="16" t="s">
        <v>58</v>
      </c>
      <c r="K238" s="16" t="s">
        <v>177</v>
      </c>
      <c r="L238" s="16" t="s">
        <v>21</v>
      </c>
      <c r="M238" s="16">
        <v>90</v>
      </c>
    </row>
    <row r="239" ht="15.75" customHeight="1" spans="1:13">
      <c r="A239" s="16" t="s">
        <v>427</v>
      </c>
      <c r="B239" s="16" t="s">
        <v>14</v>
      </c>
      <c r="C239" s="16" t="s">
        <v>15</v>
      </c>
      <c r="D239" s="74"/>
      <c r="E239" s="16" t="s">
        <v>428</v>
      </c>
      <c r="F239" s="16"/>
      <c r="G239" s="75" t="b">
        <f t="shared" si="0"/>
        <v>0</v>
      </c>
      <c r="H239" s="16" t="b">
        <v>0</v>
      </c>
      <c r="I239" s="16" t="s">
        <v>25</v>
      </c>
      <c r="J239" s="16" t="s">
        <v>30</v>
      </c>
      <c r="K239" s="16" t="s">
        <v>50</v>
      </c>
      <c r="L239" s="16" t="s">
        <v>39</v>
      </c>
      <c r="M239" s="16">
        <v>510</v>
      </c>
    </row>
    <row r="240" ht="15.75" customHeight="1" spans="1:13">
      <c r="A240" s="16" t="s">
        <v>429</v>
      </c>
      <c r="B240" s="16" t="s">
        <v>147</v>
      </c>
      <c r="C240" s="16" t="s">
        <v>15</v>
      </c>
      <c r="D240" s="74"/>
      <c r="E240" s="16" t="s">
        <v>430</v>
      </c>
      <c r="F240" s="16"/>
      <c r="G240" s="75" t="b">
        <f t="shared" si="0"/>
        <v>0</v>
      </c>
      <c r="H240" s="16" t="b">
        <v>0</v>
      </c>
      <c r="I240" s="16" t="s">
        <v>62</v>
      </c>
      <c r="J240" s="16" t="s">
        <v>63</v>
      </c>
      <c r="K240" s="16" t="s">
        <v>64</v>
      </c>
      <c r="L240" s="16" t="s">
        <v>21</v>
      </c>
      <c r="M240" s="16">
        <v>492</v>
      </c>
    </row>
    <row r="241" ht="15.75" customHeight="1" spans="1:13">
      <c r="A241" s="16" t="s">
        <v>431</v>
      </c>
      <c r="B241" s="16" t="s">
        <v>147</v>
      </c>
      <c r="C241" s="16"/>
      <c r="D241" s="74"/>
      <c r="E241" s="16"/>
      <c r="F241" s="16"/>
      <c r="G241" s="75" t="b">
        <f t="shared" si="0"/>
        <v>0</v>
      </c>
      <c r="H241" s="16" t="b">
        <v>0</v>
      </c>
      <c r="I241" s="16" t="s">
        <v>53</v>
      </c>
      <c r="J241" s="16" t="s">
        <v>54</v>
      </c>
      <c r="K241" s="16" t="s">
        <v>198</v>
      </c>
      <c r="L241" s="16" t="s">
        <v>21</v>
      </c>
      <c r="M241" s="16">
        <v>952</v>
      </c>
    </row>
    <row r="242" ht="15.75" customHeight="1" spans="1:13">
      <c r="A242" s="16" t="s">
        <v>432</v>
      </c>
      <c r="B242" s="16" t="s">
        <v>147</v>
      </c>
      <c r="C242" s="16"/>
      <c r="D242" s="74"/>
      <c r="E242" s="16"/>
      <c r="F242" s="16"/>
      <c r="G242" s="75" t="b">
        <f t="shared" si="0"/>
        <v>0</v>
      </c>
      <c r="H242" s="16" t="b">
        <v>0</v>
      </c>
      <c r="I242" s="16" t="s">
        <v>407</v>
      </c>
      <c r="J242" s="16" t="s">
        <v>26</v>
      </c>
      <c r="K242" s="16" t="s">
        <v>68</v>
      </c>
      <c r="L242" s="16" t="s">
        <v>39</v>
      </c>
      <c r="M242" s="16">
        <v>819</v>
      </c>
    </row>
    <row r="243" ht="15.75" customHeight="1" spans="1:13">
      <c r="A243" s="16" t="s">
        <v>433</v>
      </c>
      <c r="B243" s="16" t="s">
        <v>147</v>
      </c>
      <c r="C243" s="16"/>
      <c r="D243" s="74"/>
      <c r="E243" s="16"/>
      <c r="F243" s="16"/>
      <c r="G243" s="75" t="b">
        <f t="shared" si="0"/>
        <v>0</v>
      </c>
      <c r="H243" s="16" t="b">
        <v>0</v>
      </c>
      <c r="I243" s="16" t="s">
        <v>109</v>
      </c>
      <c r="J243" s="16" t="s">
        <v>58</v>
      </c>
      <c r="K243" s="16" t="s">
        <v>177</v>
      </c>
      <c r="L243" s="16" t="s">
        <v>21</v>
      </c>
      <c r="M243" s="16">
        <v>452</v>
      </c>
    </row>
    <row r="244" ht="15.75" customHeight="1" spans="1:13">
      <c r="A244" s="16" t="s">
        <v>434</v>
      </c>
      <c r="B244" s="16" t="s">
        <v>147</v>
      </c>
      <c r="C244" s="16" t="s">
        <v>190</v>
      </c>
      <c r="D244" s="74"/>
      <c r="E244" s="16" t="s">
        <v>435</v>
      </c>
      <c r="F244" s="16"/>
      <c r="G244" s="75" t="b">
        <f t="shared" si="0"/>
        <v>0</v>
      </c>
      <c r="H244" s="16" t="b">
        <v>0</v>
      </c>
      <c r="I244" s="16" t="s">
        <v>82</v>
      </c>
      <c r="J244" s="16" t="s">
        <v>83</v>
      </c>
      <c r="K244" s="16" t="s">
        <v>436</v>
      </c>
      <c r="L244" s="16" t="s">
        <v>21</v>
      </c>
      <c r="M244" s="16">
        <v>400</v>
      </c>
    </row>
    <row r="245" ht="15.75" customHeight="1" spans="1:13">
      <c r="A245" s="16" t="s">
        <v>437</v>
      </c>
      <c r="B245" s="16" t="s">
        <v>147</v>
      </c>
      <c r="C245" s="16" t="s">
        <v>15</v>
      </c>
      <c r="D245" s="74"/>
      <c r="E245" s="16"/>
      <c r="F245" s="16"/>
      <c r="G245" s="75" t="b">
        <f t="shared" si="0"/>
        <v>0</v>
      </c>
      <c r="H245" s="16" t="b">
        <v>0</v>
      </c>
      <c r="I245" s="16" t="s">
        <v>207</v>
      </c>
      <c r="J245" s="16" t="s">
        <v>63</v>
      </c>
      <c r="K245" s="16" t="s">
        <v>169</v>
      </c>
      <c r="L245" s="16" t="s">
        <v>21</v>
      </c>
      <c r="M245" s="16">
        <v>893</v>
      </c>
    </row>
    <row r="246" ht="15.75" customHeight="1" spans="1:13">
      <c r="A246" s="16" t="s">
        <v>438</v>
      </c>
      <c r="B246" s="16" t="s">
        <v>147</v>
      </c>
      <c r="C246" s="16" t="s">
        <v>15</v>
      </c>
      <c r="D246" s="74"/>
      <c r="E246" s="16"/>
      <c r="F246" s="16"/>
      <c r="G246" s="75" t="b">
        <f t="shared" si="0"/>
        <v>0</v>
      </c>
      <c r="H246" s="16" t="b">
        <v>0</v>
      </c>
      <c r="I246" s="16" t="s">
        <v>173</v>
      </c>
      <c r="J246" s="16" t="s">
        <v>30</v>
      </c>
      <c r="K246" s="16" t="s">
        <v>31</v>
      </c>
      <c r="L246" s="16" t="s">
        <v>21</v>
      </c>
      <c r="M246" s="16">
        <v>827</v>
      </c>
    </row>
    <row r="247" ht="15.75" customHeight="1" spans="1:13">
      <c r="A247" s="16" t="s">
        <v>439</v>
      </c>
      <c r="B247" s="16" t="s">
        <v>147</v>
      </c>
      <c r="C247" s="16" t="s">
        <v>15</v>
      </c>
      <c r="D247" s="74"/>
      <c r="E247" s="16"/>
      <c r="F247" s="16"/>
      <c r="G247" s="75" t="b">
        <f t="shared" si="0"/>
        <v>0</v>
      </c>
      <c r="H247" s="16" t="b">
        <v>0</v>
      </c>
      <c r="I247" s="16" t="s">
        <v>92</v>
      </c>
      <c r="J247" s="16" t="s">
        <v>63</v>
      </c>
      <c r="K247" s="16" t="s">
        <v>440</v>
      </c>
      <c r="L247" s="16" t="s">
        <v>21</v>
      </c>
      <c r="M247" s="16">
        <v>517</v>
      </c>
    </row>
    <row r="248" ht="15.75" customHeight="1" spans="1:13">
      <c r="A248" s="16" t="s">
        <v>441</v>
      </c>
      <c r="B248" s="16" t="s">
        <v>147</v>
      </c>
      <c r="C248" s="16"/>
      <c r="D248" s="74"/>
      <c r="E248" s="16"/>
      <c r="F248" s="16"/>
      <c r="G248" s="75" t="b">
        <f t="shared" si="0"/>
        <v>0</v>
      </c>
      <c r="H248" s="16" t="b">
        <v>0</v>
      </c>
      <c r="I248" s="16" t="s">
        <v>109</v>
      </c>
      <c r="J248" s="16" t="s">
        <v>58</v>
      </c>
      <c r="K248" s="16" t="s">
        <v>59</v>
      </c>
      <c r="L248" s="16" t="s">
        <v>21</v>
      </c>
      <c r="M248" s="16">
        <v>91</v>
      </c>
    </row>
    <row r="249" ht="15.75" customHeight="1" spans="1:13">
      <c r="A249" s="16" t="s">
        <v>442</v>
      </c>
      <c r="B249" s="16" t="s">
        <v>147</v>
      </c>
      <c r="C249" s="16" t="s">
        <v>15</v>
      </c>
      <c r="D249" s="74"/>
      <c r="E249" s="16"/>
      <c r="F249" s="16"/>
      <c r="G249" s="75" t="b">
        <f t="shared" si="0"/>
        <v>0</v>
      </c>
      <c r="H249" s="16" t="b">
        <v>0</v>
      </c>
      <c r="I249" s="16" t="s">
        <v>29</v>
      </c>
      <c r="J249" s="16" t="s">
        <v>30</v>
      </c>
      <c r="K249" s="16" t="s">
        <v>31</v>
      </c>
      <c r="L249" s="16" t="s">
        <v>21</v>
      </c>
      <c r="M249" s="16">
        <v>29</v>
      </c>
    </row>
    <row r="250" ht="15.75" customHeight="1" spans="1:13">
      <c r="A250" s="75" t="s">
        <v>443</v>
      </c>
      <c r="B250" s="75" t="s">
        <v>147</v>
      </c>
      <c r="C250" s="75" t="s">
        <v>15</v>
      </c>
      <c r="D250" s="79"/>
      <c r="E250" s="75"/>
      <c r="F250" s="75" t="s">
        <v>444</v>
      </c>
      <c r="G250" s="75" t="b">
        <f t="shared" si="0"/>
        <v>0</v>
      </c>
      <c r="H250" s="16" t="b">
        <v>0</v>
      </c>
      <c r="I250" s="75" t="s">
        <v>186</v>
      </c>
      <c r="J250" s="75" t="s">
        <v>187</v>
      </c>
      <c r="K250" s="75" t="s">
        <v>227</v>
      </c>
      <c r="L250" s="75" t="s">
        <v>21</v>
      </c>
      <c r="M250" s="75">
        <v>47</v>
      </c>
    </row>
    <row r="251" ht="15.75" customHeight="1" spans="1:13">
      <c r="A251" s="16" t="s">
        <v>445</v>
      </c>
      <c r="B251" s="16" t="s">
        <v>147</v>
      </c>
      <c r="C251" s="16" t="s">
        <v>15</v>
      </c>
      <c r="D251" s="74"/>
      <c r="E251" s="16" t="s">
        <v>446</v>
      </c>
      <c r="F251" s="16"/>
      <c r="G251" s="75" t="b">
        <f t="shared" si="0"/>
        <v>0</v>
      </c>
      <c r="H251" s="16" t="b">
        <v>0</v>
      </c>
      <c r="I251" s="16" t="s">
        <v>57</v>
      </c>
      <c r="J251" s="16" t="s">
        <v>19</v>
      </c>
      <c r="K251" s="16" t="s">
        <v>119</v>
      </c>
      <c r="L251" s="16" t="s">
        <v>39</v>
      </c>
      <c r="M251" s="16">
        <v>160</v>
      </c>
    </row>
    <row r="252" ht="15.75" customHeight="1" spans="1:13">
      <c r="A252" s="16" t="s">
        <v>447</v>
      </c>
      <c r="B252" s="16" t="s">
        <v>147</v>
      </c>
      <c r="C252" s="16" t="s">
        <v>15</v>
      </c>
      <c r="D252" s="74"/>
      <c r="E252" s="16"/>
      <c r="F252" s="16"/>
      <c r="G252" s="75" t="b">
        <f t="shared" si="0"/>
        <v>0</v>
      </c>
      <c r="H252" s="16" t="b">
        <v>0</v>
      </c>
      <c r="I252" s="16" t="s">
        <v>305</v>
      </c>
      <c r="J252" s="16" t="s">
        <v>19</v>
      </c>
      <c r="K252" s="16" t="s">
        <v>306</v>
      </c>
      <c r="L252" s="16" t="s">
        <v>21</v>
      </c>
      <c r="M252" s="16">
        <v>775</v>
      </c>
    </row>
    <row r="253" ht="15.75" customHeight="1" spans="1:13">
      <c r="A253" s="16" t="s">
        <v>448</v>
      </c>
      <c r="B253" s="16" t="s">
        <v>147</v>
      </c>
      <c r="C253" s="16"/>
      <c r="D253" s="74"/>
      <c r="E253" s="16"/>
      <c r="F253" s="16"/>
      <c r="G253" s="75" t="b">
        <f t="shared" si="0"/>
        <v>0</v>
      </c>
      <c r="H253" s="16" t="b">
        <v>0</v>
      </c>
      <c r="I253" s="16" t="s">
        <v>25</v>
      </c>
      <c r="J253" s="16" t="s">
        <v>26</v>
      </c>
      <c r="K253" s="16" t="s">
        <v>159</v>
      </c>
      <c r="L253" s="16" t="s">
        <v>39</v>
      </c>
      <c r="M253" s="16">
        <v>643</v>
      </c>
    </row>
    <row r="254" ht="15.75" customHeight="1" spans="1:13">
      <c r="A254" s="16" t="s">
        <v>449</v>
      </c>
      <c r="B254" s="16" t="s">
        <v>23</v>
      </c>
      <c r="C254" s="16" t="s">
        <v>15</v>
      </c>
      <c r="D254" s="74"/>
      <c r="E254" s="16" t="s">
        <v>450</v>
      </c>
      <c r="F254" s="16"/>
      <c r="G254" s="75" t="b">
        <f t="shared" si="0"/>
        <v>0</v>
      </c>
      <c r="H254" s="16" t="b">
        <v>0</v>
      </c>
      <c r="I254" s="16" t="s">
        <v>278</v>
      </c>
      <c r="J254" s="16" t="s">
        <v>83</v>
      </c>
      <c r="K254" s="16" t="s">
        <v>451</v>
      </c>
      <c r="L254" s="16" t="s">
        <v>21</v>
      </c>
      <c r="M254" s="16">
        <v>493</v>
      </c>
    </row>
    <row r="255" ht="15.75" customHeight="1" spans="1:13">
      <c r="A255" s="16" t="s">
        <v>452</v>
      </c>
      <c r="B255" s="16" t="s">
        <v>147</v>
      </c>
      <c r="C255" s="16" t="s">
        <v>15</v>
      </c>
      <c r="D255" s="74"/>
      <c r="E255" s="16" t="s">
        <v>453</v>
      </c>
      <c r="F255" s="16"/>
      <c r="G255" s="75" t="b">
        <f t="shared" si="0"/>
        <v>0</v>
      </c>
      <c r="H255" s="16" t="b">
        <v>0</v>
      </c>
      <c r="I255" s="16" t="s">
        <v>207</v>
      </c>
      <c r="J255" s="16" t="s">
        <v>30</v>
      </c>
      <c r="K255" s="16" t="s">
        <v>30</v>
      </c>
      <c r="L255" s="16" t="s">
        <v>39</v>
      </c>
      <c r="M255" s="16">
        <v>149</v>
      </c>
    </row>
    <row r="256" ht="15.75" customHeight="1" spans="1:13">
      <c r="A256" s="16" t="s">
        <v>454</v>
      </c>
      <c r="B256" s="16" t="s">
        <v>147</v>
      </c>
      <c r="C256" s="16"/>
      <c r="D256" s="74"/>
      <c r="E256" s="16"/>
      <c r="F256" s="16"/>
      <c r="G256" s="75" t="b">
        <f t="shared" si="0"/>
        <v>0</v>
      </c>
      <c r="H256" s="16" t="b">
        <v>0</v>
      </c>
      <c r="I256" s="16" t="s">
        <v>25</v>
      </c>
      <c r="J256" s="16" t="s">
        <v>26</v>
      </c>
      <c r="K256" s="16" t="s">
        <v>399</v>
      </c>
      <c r="L256" s="16" t="s">
        <v>39</v>
      </c>
      <c r="M256" s="16">
        <v>743</v>
      </c>
    </row>
    <row r="257" ht="15.75" customHeight="1" spans="1:13">
      <c r="A257" s="16" t="s">
        <v>455</v>
      </c>
      <c r="B257" s="16" t="s">
        <v>147</v>
      </c>
      <c r="C257" s="16"/>
      <c r="D257" s="74"/>
      <c r="E257" s="16"/>
      <c r="F257" s="16"/>
      <c r="G257" s="75" t="b">
        <f t="shared" si="0"/>
        <v>0</v>
      </c>
      <c r="H257" s="16" t="b">
        <v>0</v>
      </c>
      <c r="I257" s="16" t="s">
        <v>25</v>
      </c>
      <c r="J257" s="16" t="s">
        <v>26</v>
      </c>
      <c r="K257" s="16" t="s">
        <v>399</v>
      </c>
      <c r="L257" s="16" t="s">
        <v>39</v>
      </c>
      <c r="M257" s="16">
        <v>760</v>
      </c>
    </row>
    <row r="258" ht="15.75" customHeight="1" spans="1:13">
      <c r="A258" s="16" t="s">
        <v>456</v>
      </c>
      <c r="B258" s="16" t="s">
        <v>147</v>
      </c>
      <c r="C258" s="16" t="s">
        <v>15</v>
      </c>
      <c r="D258" s="74"/>
      <c r="E258" s="16" t="s">
        <v>457</v>
      </c>
      <c r="F258" s="16"/>
      <c r="G258" s="75" t="b">
        <f t="shared" si="0"/>
        <v>0</v>
      </c>
      <c r="H258" s="16" t="b">
        <v>0</v>
      </c>
      <c r="I258" s="16" t="s">
        <v>18</v>
      </c>
      <c r="J258" s="16" t="s">
        <v>19</v>
      </c>
      <c r="K258" s="16" t="s">
        <v>20</v>
      </c>
      <c r="L258" s="16" t="s">
        <v>21</v>
      </c>
      <c r="M258" s="16">
        <v>463</v>
      </c>
    </row>
    <row r="259" ht="15.75" customHeight="1" spans="1:13">
      <c r="A259" s="16" t="s">
        <v>458</v>
      </c>
      <c r="B259" s="16" t="s">
        <v>147</v>
      </c>
      <c r="C259" s="16" t="s">
        <v>15</v>
      </c>
      <c r="D259" s="74"/>
      <c r="E259" s="16"/>
      <c r="F259" s="16"/>
      <c r="G259" s="75" t="b">
        <f t="shared" si="0"/>
        <v>0</v>
      </c>
      <c r="H259" s="16" t="b">
        <v>0</v>
      </c>
      <c r="I259" s="16" t="s">
        <v>210</v>
      </c>
      <c r="J259" s="16" t="s">
        <v>211</v>
      </c>
      <c r="K259" s="16" t="s">
        <v>212</v>
      </c>
      <c r="L259" s="16" t="s">
        <v>39</v>
      </c>
      <c r="M259" s="16">
        <v>959</v>
      </c>
    </row>
    <row r="260" ht="15.75" customHeight="1" spans="1:13">
      <c r="A260" s="16" t="s">
        <v>459</v>
      </c>
      <c r="B260" s="16" t="s">
        <v>147</v>
      </c>
      <c r="C260" s="16"/>
      <c r="D260" s="74"/>
      <c r="E260" s="16"/>
      <c r="F260" s="16"/>
      <c r="G260" s="75" t="b">
        <f t="shared" si="0"/>
        <v>0</v>
      </c>
      <c r="H260" s="16" t="b">
        <v>0</v>
      </c>
      <c r="I260" s="16" t="s">
        <v>407</v>
      </c>
      <c r="J260" s="16" t="s">
        <v>26</v>
      </c>
      <c r="K260" s="16" t="s">
        <v>50</v>
      </c>
      <c r="L260" s="16" t="s">
        <v>21</v>
      </c>
      <c r="M260" s="16">
        <v>818</v>
      </c>
    </row>
    <row r="261" ht="15.75" customHeight="1" spans="1:13">
      <c r="A261" s="16" t="s">
        <v>460</v>
      </c>
      <c r="B261" s="16" t="s">
        <v>147</v>
      </c>
      <c r="C261" s="16" t="s">
        <v>15</v>
      </c>
      <c r="D261" s="74"/>
      <c r="E261" s="16"/>
      <c r="F261" s="16"/>
      <c r="G261" s="75" t="b">
        <f t="shared" si="0"/>
        <v>0</v>
      </c>
      <c r="H261" s="16" t="b">
        <v>0</v>
      </c>
      <c r="I261" s="16" t="s">
        <v>319</v>
      </c>
      <c r="J261" s="16" t="s">
        <v>126</v>
      </c>
      <c r="K261" s="16" t="s">
        <v>127</v>
      </c>
      <c r="L261" s="16" t="s">
        <v>21</v>
      </c>
      <c r="M261" s="16">
        <v>992</v>
      </c>
    </row>
    <row r="262" ht="15.75" customHeight="1" spans="1:13">
      <c r="A262" s="16" t="s">
        <v>461</v>
      </c>
      <c r="B262" s="16" t="s">
        <v>147</v>
      </c>
      <c r="C262" s="16"/>
      <c r="D262" s="74"/>
      <c r="E262" s="16"/>
      <c r="F262" s="16"/>
      <c r="G262" s="75" t="b">
        <f t="shared" si="0"/>
        <v>0</v>
      </c>
      <c r="H262" s="16" t="b">
        <v>0</v>
      </c>
      <c r="I262" s="16" t="s">
        <v>25</v>
      </c>
      <c r="J262" s="16" t="s">
        <v>26</v>
      </c>
      <c r="K262" s="16" t="s">
        <v>50</v>
      </c>
      <c r="L262" s="16" t="s">
        <v>39</v>
      </c>
      <c r="M262" s="16">
        <v>334</v>
      </c>
    </row>
    <row r="263" ht="15.75" customHeight="1" spans="1:13">
      <c r="A263" s="16" t="s">
        <v>462</v>
      </c>
      <c r="B263" s="16" t="s">
        <v>14</v>
      </c>
      <c r="C263" s="16" t="s">
        <v>15</v>
      </c>
      <c r="D263" s="74"/>
      <c r="E263" s="16" t="s">
        <v>463</v>
      </c>
      <c r="F263" s="16"/>
      <c r="G263" s="75" t="b">
        <f t="shared" si="0"/>
        <v>0</v>
      </c>
      <c r="H263" s="16" t="b">
        <v>0</v>
      </c>
      <c r="I263" s="16" t="s">
        <v>62</v>
      </c>
      <c r="J263" s="16" t="s">
        <v>63</v>
      </c>
      <c r="K263" s="16" t="s">
        <v>64</v>
      </c>
      <c r="L263" s="16" t="s">
        <v>21</v>
      </c>
      <c r="M263" s="16">
        <v>80</v>
      </c>
    </row>
    <row r="264" ht="15.75" customHeight="1" spans="1:13">
      <c r="A264" s="16" t="s">
        <v>464</v>
      </c>
      <c r="B264" s="16" t="s">
        <v>147</v>
      </c>
      <c r="C264" s="16"/>
      <c r="D264" s="74"/>
      <c r="E264" s="16"/>
      <c r="F264" s="16"/>
      <c r="G264" s="75" t="b">
        <f t="shared" si="0"/>
        <v>0</v>
      </c>
      <c r="H264" s="16" t="b">
        <v>0</v>
      </c>
      <c r="I264" s="16" t="s">
        <v>25</v>
      </c>
      <c r="J264" s="16" t="s">
        <v>26</v>
      </c>
      <c r="K264" s="16" t="s">
        <v>77</v>
      </c>
      <c r="L264" s="16" t="s">
        <v>39</v>
      </c>
      <c r="M264" s="16">
        <v>637</v>
      </c>
    </row>
    <row r="265" ht="15.75" customHeight="1" spans="1:13">
      <c r="A265" s="16" t="s">
        <v>465</v>
      </c>
      <c r="B265" s="16" t="s">
        <v>147</v>
      </c>
      <c r="C265" s="16" t="s">
        <v>15</v>
      </c>
      <c r="D265" s="74"/>
      <c r="E265" s="16"/>
      <c r="F265" s="16"/>
      <c r="G265" s="75" t="b">
        <f t="shared" si="0"/>
        <v>0</v>
      </c>
      <c r="H265" s="16" t="b">
        <v>0</v>
      </c>
      <c r="I265" s="16" t="s">
        <v>358</v>
      </c>
      <c r="J265" s="16" t="s">
        <v>19</v>
      </c>
      <c r="K265" s="16" t="s">
        <v>306</v>
      </c>
      <c r="L265" s="16" t="s">
        <v>39</v>
      </c>
      <c r="M265" s="16">
        <v>294</v>
      </c>
    </row>
    <row r="266" ht="15.75" customHeight="1" spans="1:13">
      <c r="A266" s="16" t="s">
        <v>466</v>
      </c>
      <c r="B266" s="16" t="s">
        <v>147</v>
      </c>
      <c r="C266" s="16" t="s">
        <v>15</v>
      </c>
      <c r="D266" s="74"/>
      <c r="E266" s="16"/>
      <c r="F266" s="16"/>
      <c r="G266" s="75" t="b">
        <f t="shared" si="0"/>
        <v>0</v>
      </c>
      <c r="H266" s="16" t="b">
        <v>0</v>
      </c>
      <c r="I266" s="16" t="s">
        <v>62</v>
      </c>
      <c r="J266" s="16" t="s">
        <v>63</v>
      </c>
      <c r="K266" s="16" t="s">
        <v>93</v>
      </c>
      <c r="L266" s="16" t="s">
        <v>21</v>
      </c>
      <c r="M266" s="16">
        <v>907</v>
      </c>
    </row>
    <row r="267" ht="15.75" customHeight="1" spans="1:13">
      <c r="A267" s="16" t="s">
        <v>467</v>
      </c>
      <c r="B267" s="16" t="s">
        <v>147</v>
      </c>
      <c r="C267" s="16"/>
      <c r="D267" s="74"/>
      <c r="E267" s="16"/>
      <c r="F267" s="16"/>
      <c r="G267" s="75" t="b">
        <f t="shared" si="0"/>
        <v>0</v>
      </c>
      <c r="H267" s="16" t="b">
        <v>0</v>
      </c>
      <c r="I267" s="16" t="s">
        <v>173</v>
      </c>
      <c r="J267" s="16" t="s">
        <v>421</v>
      </c>
      <c r="K267" s="16" t="s">
        <v>468</v>
      </c>
      <c r="L267" s="16" t="s">
        <v>21</v>
      </c>
      <c r="M267" s="16">
        <v>916</v>
      </c>
    </row>
    <row r="268" ht="15.75" customHeight="1" spans="1:13">
      <c r="A268" s="16" t="s">
        <v>469</v>
      </c>
      <c r="B268" s="16" t="s">
        <v>147</v>
      </c>
      <c r="C268" s="16"/>
      <c r="D268" s="74"/>
      <c r="E268" s="16"/>
      <c r="F268" s="16"/>
      <c r="G268" s="75" t="b">
        <f t="shared" si="0"/>
        <v>0</v>
      </c>
      <c r="H268" s="16" t="b">
        <v>0</v>
      </c>
      <c r="I268" s="16" t="s">
        <v>25</v>
      </c>
      <c r="J268" s="16" t="s">
        <v>26</v>
      </c>
      <c r="K268" s="16" t="s">
        <v>399</v>
      </c>
      <c r="L268" s="16" t="s">
        <v>39</v>
      </c>
      <c r="M268" s="16">
        <v>755</v>
      </c>
    </row>
    <row r="269" ht="15.75" customHeight="1" spans="1:13">
      <c r="A269" s="16" t="s">
        <v>470</v>
      </c>
      <c r="B269" s="16" t="s">
        <v>147</v>
      </c>
      <c r="C269" s="16"/>
      <c r="D269" s="74"/>
      <c r="E269" s="16"/>
      <c r="F269" s="16"/>
      <c r="G269" s="75" t="b">
        <f t="shared" si="0"/>
        <v>0</v>
      </c>
      <c r="H269" s="16" t="b">
        <v>0</v>
      </c>
      <c r="I269" s="16" t="s">
        <v>82</v>
      </c>
      <c r="J269" s="16" t="s">
        <v>83</v>
      </c>
      <c r="K269" s="16" t="s">
        <v>436</v>
      </c>
      <c r="L269" s="16" t="s">
        <v>21</v>
      </c>
      <c r="M269" s="16">
        <v>355</v>
      </c>
    </row>
    <row r="270" ht="15.75" customHeight="1" spans="1:13">
      <c r="A270" s="16" t="s">
        <v>471</v>
      </c>
      <c r="B270" s="16" t="s">
        <v>147</v>
      </c>
      <c r="C270" s="16" t="s">
        <v>183</v>
      </c>
      <c r="D270" s="74" t="s">
        <v>472</v>
      </c>
      <c r="E270" s="16"/>
      <c r="F270" s="16"/>
      <c r="G270" s="75" t="b">
        <f t="shared" si="0"/>
        <v>0</v>
      </c>
      <c r="H270" s="16" t="b">
        <v>0</v>
      </c>
      <c r="I270" s="16" t="s">
        <v>186</v>
      </c>
      <c r="J270" s="16" t="s">
        <v>187</v>
      </c>
      <c r="K270" s="16" t="s">
        <v>188</v>
      </c>
      <c r="L270" s="16" t="s">
        <v>21</v>
      </c>
      <c r="M270" s="16">
        <v>871</v>
      </c>
    </row>
    <row r="271" ht="15.75" customHeight="1" spans="1:13">
      <c r="A271" s="16" t="s">
        <v>473</v>
      </c>
      <c r="B271" s="16" t="s">
        <v>23</v>
      </c>
      <c r="C271" s="16" t="s">
        <v>15</v>
      </c>
      <c r="D271" s="74"/>
      <c r="E271" s="16" t="s">
        <v>474</v>
      </c>
      <c r="F271" s="16"/>
      <c r="G271" s="75" t="b">
        <f t="shared" si="0"/>
        <v>0</v>
      </c>
      <c r="H271" s="16" t="b">
        <v>0</v>
      </c>
      <c r="I271" s="16" t="s">
        <v>207</v>
      </c>
      <c r="J271" s="16" t="s">
        <v>63</v>
      </c>
      <c r="K271" s="16" t="s">
        <v>169</v>
      </c>
      <c r="L271" s="16" t="s">
        <v>21</v>
      </c>
      <c r="M271" s="16">
        <v>468</v>
      </c>
    </row>
    <row r="272" ht="15.75" customHeight="1" spans="1:13">
      <c r="A272" s="16" t="s">
        <v>475</v>
      </c>
      <c r="B272" s="16" t="s">
        <v>147</v>
      </c>
      <c r="C272" s="16"/>
      <c r="D272" s="74"/>
      <c r="E272" s="16"/>
      <c r="F272" s="16"/>
      <c r="G272" s="75" t="b">
        <f t="shared" si="0"/>
        <v>0</v>
      </c>
      <c r="H272" s="16" t="b">
        <v>0</v>
      </c>
      <c r="I272" s="16" t="s">
        <v>41</v>
      </c>
      <c r="J272" s="16" t="s">
        <v>132</v>
      </c>
      <c r="K272" s="16" t="s">
        <v>295</v>
      </c>
      <c r="L272" s="16" t="s">
        <v>21</v>
      </c>
      <c r="M272" s="16">
        <v>295</v>
      </c>
    </row>
    <row r="273" ht="15.75" customHeight="1" spans="1:13">
      <c r="A273" s="16" t="s">
        <v>476</v>
      </c>
      <c r="B273" s="16" t="s">
        <v>147</v>
      </c>
      <c r="C273" s="16"/>
      <c r="D273" s="74"/>
      <c r="E273" s="16"/>
      <c r="F273" s="16"/>
      <c r="G273" s="75" t="b">
        <f t="shared" si="0"/>
        <v>0</v>
      </c>
      <c r="H273" s="16" t="b">
        <v>0</v>
      </c>
      <c r="I273" s="16" t="s">
        <v>25</v>
      </c>
      <c r="J273" s="16" t="s">
        <v>26</v>
      </c>
      <c r="K273" s="16" t="s">
        <v>77</v>
      </c>
      <c r="L273" s="16" t="s">
        <v>21</v>
      </c>
      <c r="M273" s="16">
        <v>1011</v>
      </c>
    </row>
    <row r="274" ht="15.75" customHeight="1" spans="1:13">
      <c r="A274" s="16" t="s">
        <v>477</v>
      </c>
      <c r="B274" s="16" t="s">
        <v>147</v>
      </c>
      <c r="C274" s="16"/>
      <c r="D274" s="74"/>
      <c r="E274" s="16"/>
      <c r="F274" s="16"/>
      <c r="G274" s="75" t="b">
        <f t="shared" si="0"/>
        <v>0</v>
      </c>
      <c r="H274" s="16" t="b">
        <v>0</v>
      </c>
      <c r="I274" s="16" t="s">
        <v>62</v>
      </c>
      <c r="J274" s="16" t="s">
        <v>63</v>
      </c>
      <c r="K274" s="16" t="s">
        <v>93</v>
      </c>
      <c r="L274" s="16" t="s">
        <v>21</v>
      </c>
      <c r="M274" s="16">
        <v>900</v>
      </c>
    </row>
    <row r="275" ht="15.75" customHeight="1" spans="1:13">
      <c r="A275" s="16" t="s">
        <v>478</v>
      </c>
      <c r="B275" s="16" t="s">
        <v>147</v>
      </c>
      <c r="C275" s="16"/>
      <c r="D275" s="74"/>
      <c r="E275" s="16"/>
      <c r="F275" s="16"/>
      <c r="G275" s="75" t="b">
        <f t="shared" si="0"/>
        <v>0</v>
      </c>
      <c r="H275" s="16" t="b">
        <v>0</v>
      </c>
      <c r="I275" s="16" t="s">
        <v>25</v>
      </c>
      <c r="J275" s="16" t="s">
        <v>26</v>
      </c>
      <c r="K275" s="16" t="s">
        <v>43</v>
      </c>
      <c r="L275" s="16" t="s">
        <v>160</v>
      </c>
      <c r="M275" s="16">
        <v>665</v>
      </c>
    </row>
    <row r="276" ht="15.75" customHeight="1" spans="1:13">
      <c r="A276" s="16" t="s">
        <v>479</v>
      </c>
      <c r="B276" s="16" t="s">
        <v>147</v>
      </c>
      <c r="C276" s="16" t="s">
        <v>15</v>
      </c>
      <c r="D276" s="74"/>
      <c r="E276" s="16"/>
      <c r="F276" s="16"/>
      <c r="G276" s="75" t="b">
        <f t="shared" si="0"/>
        <v>0</v>
      </c>
      <c r="H276" s="16" t="b">
        <v>0</v>
      </c>
      <c r="I276" s="16" t="s">
        <v>53</v>
      </c>
      <c r="J276" s="16" t="s">
        <v>30</v>
      </c>
      <c r="K276" s="16" t="s">
        <v>31</v>
      </c>
      <c r="L276" s="16" t="s">
        <v>21</v>
      </c>
      <c r="M276" s="16">
        <v>67</v>
      </c>
    </row>
    <row r="277" ht="15.75" customHeight="1" spans="1:13">
      <c r="A277" s="16" t="s">
        <v>480</v>
      </c>
      <c r="B277" s="16" t="s">
        <v>14</v>
      </c>
      <c r="C277" s="16" t="s">
        <v>183</v>
      </c>
      <c r="D277" s="74" t="s">
        <v>481</v>
      </c>
      <c r="E277" s="16" t="s">
        <v>482</v>
      </c>
      <c r="F277" s="16"/>
      <c r="G277" s="75" t="b">
        <f t="shared" si="0"/>
        <v>0</v>
      </c>
      <c r="H277" s="16" t="b">
        <v>0</v>
      </c>
      <c r="I277" s="16" t="s">
        <v>29</v>
      </c>
      <c r="J277" s="16" t="s">
        <v>30</v>
      </c>
      <c r="K277" s="16" t="s">
        <v>31</v>
      </c>
      <c r="L277" s="16" t="s">
        <v>39</v>
      </c>
      <c r="M277" s="16">
        <v>162</v>
      </c>
    </row>
    <row r="278" ht="15.75" customHeight="1" spans="1:13">
      <c r="A278" s="16" t="s">
        <v>483</v>
      </c>
      <c r="B278" s="16" t="s">
        <v>147</v>
      </c>
      <c r="C278" s="16"/>
      <c r="D278" s="74"/>
      <c r="E278" s="16"/>
      <c r="F278" s="16"/>
      <c r="G278" s="75" t="b">
        <f t="shared" si="0"/>
        <v>0</v>
      </c>
      <c r="H278" s="16" t="b">
        <v>0</v>
      </c>
      <c r="I278" s="16" t="s">
        <v>25</v>
      </c>
      <c r="J278" s="16" t="s">
        <v>26</v>
      </c>
      <c r="K278" s="16" t="s">
        <v>159</v>
      </c>
      <c r="L278" s="16" t="s">
        <v>160</v>
      </c>
      <c r="M278" s="16">
        <v>604</v>
      </c>
    </row>
    <row r="279" ht="15.75" customHeight="1" spans="1:13">
      <c r="A279" s="16" t="s">
        <v>484</v>
      </c>
      <c r="B279" s="16" t="s">
        <v>147</v>
      </c>
      <c r="C279" s="16"/>
      <c r="D279" s="74"/>
      <c r="E279" s="16"/>
      <c r="F279" s="16"/>
      <c r="G279" s="75" t="b">
        <f t="shared" si="0"/>
        <v>0</v>
      </c>
      <c r="H279" s="16" t="b">
        <v>0</v>
      </c>
      <c r="I279" s="16" t="s">
        <v>25</v>
      </c>
      <c r="J279" s="16" t="s">
        <v>26</v>
      </c>
      <c r="K279" s="16" t="s">
        <v>43</v>
      </c>
      <c r="L279" s="16" t="s">
        <v>160</v>
      </c>
      <c r="M279" s="16">
        <v>656</v>
      </c>
    </row>
    <row r="280" ht="15.75" customHeight="1" spans="1:13">
      <c r="A280" s="16" t="s">
        <v>485</v>
      </c>
      <c r="B280" s="16" t="s">
        <v>147</v>
      </c>
      <c r="C280" s="16"/>
      <c r="D280" s="74"/>
      <c r="E280" s="16" t="s">
        <v>486</v>
      </c>
      <c r="F280" s="16"/>
      <c r="G280" s="75" t="b">
        <f t="shared" si="0"/>
        <v>0</v>
      </c>
      <c r="H280" s="16" t="b">
        <v>0</v>
      </c>
      <c r="I280" s="16" t="s">
        <v>18</v>
      </c>
      <c r="J280" s="16" t="s">
        <v>19</v>
      </c>
      <c r="K280" s="16" t="s">
        <v>20</v>
      </c>
      <c r="L280" s="16" t="s">
        <v>21</v>
      </c>
      <c r="M280" s="16">
        <v>423</v>
      </c>
    </row>
    <row r="281" ht="15.75" customHeight="1" spans="1:13">
      <c r="A281" s="16" t="s">
        <v>487</v>
      </c>
      <c r="B281" s="16" t="s">
        <v>147</v>
      </c>
      <c r="C281" s="16"/>
      <c r="D281" s="74"/>
      <c r="E281" s="16"/>
      <c r="F281" s="16"/>
      <c r="G281" s="75" t="b">
        <f t="shared" si="0"/>
        <v>0</v>
      </c>
      <c r="H281" s="16" t="b">
        <v>0</v>
      </c>
      <c r="I281" s="16" t="s">
        <v>144</v>
      </c>
      <c r="J281" s="16" t="s">
        <v>30</v>
      </c>
      <c r="K281" s="16" t="s">
        <v>31</v>
      </c>
      <c r="L281" s="16" t="s">
        <v>21</v>
      </c>
      <c r="M281" s="16">
        <v>152</v>
      </c>
    </row>
    <row r="282" ht="15.75" customHeight="1" spans="1:13">
      <c r="A282" s="16" t="s">
        <v>488</v>
      </c>
      <c r="B282" s="16" t="s">
        <v>147</v>
      </c>
      <c r="C282" s="16"/>
      <c r="D282" s="74"/>
      <c r="E282" s="16"/>
      <c r="F282" s="16"/>
      <c r="G282" s="75" t="b">
        <f t="shared" si="0"/>
        <v>0</v>
      </c>
      <c r="H282" s="16" t="b">
        <v>0</v>
      </c>
      <c r="I282" s="16" t="s">
        <v>25</v>
      </c>
      <c r="J282" s="16" t="s">
        <v>26</v>
      </c>
      <c r="K282" s="16" t="s">
        <v>43</v>
      </c>
      <c r="L282" s="16" t="s">
        <v>39</v>
      </c>
      <c r="M282" s="16">
        <v>654</v>
      </c>
    </row>
    <row r="283" ht="15.75" customHeight="1" spans="1:13">
      <c r="A283" s="16" t="s">
        <v>489</v>
      </c>
      <c r="B283" s="16" t="s">
        <v>147</v>
      </c>
      <c r="C283" s="16"/>
      <c r="D283" s="74"/>
      <c r="E283" s="16"/>
      <c r="F283" s="16"/>
      <c r="G283" s="75" t="b">
        <f t="shared" si="0"/>
        <v>0</v>
      </c>
      <c r="H283" s="16" t="b">
        <v>0</v>
      </c>
      <c r="I283" s="16" t="s">
        <v>53</v>
      </c>
      <c r="J283" s="16" t="s">
        <v>54</v>
      </c>
      <c r="K283" s="16" t="s">
        <v>198</v>
      </c>
      <c r="L283" s="16" t="s">
        <v>21</v>
      </c>
      <c r="M283" s="16">
        <v>166</v>
      </c>
    </row>
    <row r="284" ht="15.75" customHeight="1" spans="1:13">
      <c r="A284" s="16" t="s">
        <v>490</v>
      </c>
      <c r="B284" s="16" t="s">
        <v>147</v>
      </c>
      <c r="C284" s="16"/>
      <c r="D284" s="74"/>
      <c r="E284" s="16"/>
      <c r="F284" s="16"/>
      <c r="G284" s="75" t="b">
        <f t="shared" si="0"/>
        <v>0</v>
      </c>
      <c r="H284" s="16" t="b">
        <v>0</v>
      </c>
      <c r="I284" s="16" t="s">
        <v>173</v>
      </c>
      <c r="J284" s="16" t="s">
        <v>54</v>
      </c>
      <c r="K284" s="16" t="s">
        <v>55</v>
      </c>
      <c r="L284" s="16" t="s">
        <v>21</v>
      </c>
      <c r="M284" s="16">
        <v>364</v>
      </c>
    </row>
    <row r="285" ht="15.75" customHeight="1" spans="1:13">
      <c r="A285" s="16" t="s">
        <v>491</v>
      </c>
      <c r="B285" s="16" t="s">
        <v>147</v>
      </c>
      <c r="C285" s="16"/>
      <c r="D285" s="74"/>
      <c r="E285" s="16"/>
      <c r="F285" s="16"/>
      <c r="G285" s="75" t="b">
        <f t="shared" si="0"/>
        <v>0</v>
      </c>
      <c r="H285" s="16" t="b">
        <v>0</v>
      </c>
      <c r="I285" s="16" t="s">
        <v>53</v>
      </c>
      <c r="J285" s="16" t="s">
        <v>54</v>
      </c>
      <c r="K285" s="16" t="s">
        <v>198</v>
      </c>
      <c r="L285" s="16" t="s">
        <v>21</v>
      </c>
      <c r="M285" s="16">
        <v>129</v>
      </c>
    </row>
    <row r="286" ht="15.75" customHeight="1" spans="1:13">
      <c r="A286" s="16" t="s">
        <v>492</v>
      </c>
      <c r="B286" s="16" t="s">
        <v>147</v>
      </c>
      <c r="C286" s="16"/>
      <c r="D286" s="74"/>
      <c r="E286" s="16"/>
      <c r="F286" s="16"/>
      <c r="G286" s="75" t="b">
        <f t="shared" si="0"/>
        <v>0</v>
      </c>
      <c r="H286" s="16" t="b">
        <v>0</v>
      </c>
      <c r="I286" s="16" t="s">
        <v>25</v>
      </c>
      <c r="J286" s="16" t="s">
        <v>26</v>
      </c>
      <c r="K286" s="16" t="s">
        <v>50</v>
      </c>
      <c r="L286" s="16" t="s">
        <v>21</v>
      </c>
      <c r="M286" s="16">
        <v>584</v>
      </c>
    </row>
    <row r="287" ht="15.75" customHeight="1" spans="1:13">
      <c r="A287" s="16" t="s">
        <v>493</v>
      </c>
      <c r="B287" s="16" t="s">
        <v>147</v>
      </c>
      <c r="C287" s="16"/>
      <c r="D287" s="74"/>
      <c r="E287" s="16"/>
      <c r="F287" s="16"/>
      <c r="G287" s="75" t="b">
        <f t="shared" si="0"/>
        <v>0</v>
      </c>
      <c r="H287" s="16" t="b">
        <v>0</v>
      </c>
      <c r="I287" s="16" t="s">
        <v>53</v>
      </c>
      <c r="J287" s="16" t="s">
        <v>26</v>
      </c>
      <c r="K287" s="16" t="s">
        <v>77</v>
      </c>
      <c r="L287" s="16" t="s">
        <v>21</v>
      </c>
      <c r="M287" s="16">
        <v>217</v>
      </c>
    </row>
    <row r="288" ht="15.75" customHeight="1" spans="1:13">
      <c r="A288" s="16" t="s">
        <v>494</v>
      </c>
      <c r="B288" s="16" t="s">
        <v>147</v>
      </c>
      <c r="C288" s="16"/>
      <c r="D288" s="74"/>
      <c r="E288" s="16"/>
      <c r="F288" s="16"/>
      <c r="G288" s="75" t="b">
        <f t="shared" si="0"/>
        <v>0</v>
      </c>
      <c r="H288" s="16" t="b">
        <v>0</v>
      </c>
      <c r="I288" s="16" t="s">
        <v>25</v>
      </c>
      <c r="J288" s="16" t="s">
        <v>26</v>
      </c>
      <c r="K288" s="16" t="s">
        <v>77</v>
      </c>
      <c r="L288" s="16" t="s">
        <v>21</v>
      </c>
      <c r="M288" s="16">
        <v>610</v>
      </c>
    </row>
    <row r="289" ht="15.75" customHeight="1" spans="1:13">
      <c r="A289" s="16" t="s">
        <v>495</v>
      </c>
      <c r="B289" s="16" t="s">
        <v>147</v>
      </c>
      <c r="C289" s="16" t="s">
        <v>15</v>
      </c>
      <c r="D289" s="74"/>
      <c r="E289" s="16" t="s">
        <v>496</v>
      </c>
      <c r="F289" s="16"/>
      <c r="G289" s="75" t="b">
        <f t="shared" si="0"/>
        <v>0</v>
      </c>
      <c r="H289" s="16" t="b">
        <v>0</v>
      </c>
      <c r="I289" s="16" t="s">
        <v>25</v>
      </c>
      <c r="J289" s="16" t="s">
        <v>30</v>
      </c>
      <c r="K289" s="16" t="s">
        <v>50</v>
      </c>
      <c r="L289" s="16" t="s">
        <v>39</v>
      </c>
      <c r="M289" s="16">
        <v>1019</v>
      </c>
    </row>
    <row r="290" ht="15.75" customHeight="1" spans="1:13">
      <c r="A290" s="16" t="s">
        <v>497</v>
      </c>
      <c r="B290" s="16" t="s">
        <v>147</v>
      </c>
      <c r="C290" s="16"/>
      <c r="D290" s="74"/>
      <c r="E290" s="16"/>
      <c r="F290" s="16"/>
      <c r="G290" s="75" t="b">
        <f t="shared" si="0"/>
        <v>0</v>
      </c>
      <c r="H290" s="16" t="b">
        <v>0</v>
      </c>
      <c r="I290" s="16" t="s">
        <v>57</v>
      </c>
      <c r="J290" s="16" t="s">
        <v>58</v>
      </c>
      <c r="K290" s="16" t="s">
        <v>177</v>
      </c>
      <c r="L290" s="16" t="s">
        <v>21</v>
      </c>
      <c r="M290" s="16">
        <v>416</v>
      </c>
    </row>
    <row r="291" ht="15.75" customHeight="1" spans="1:13">
      <c r="A291" s="16" t="s">
        <v>498</v>
      </c>
      <c r="B291" s="16" t="s">
        <v>147</v>
      </c>
      <c r="C291" s="16"/>
      <c r="D291" s="74"/>
      <c r="E291" s="16"/>
      <c r="F291" s="16"/>
      <c r="G291" s="75" t="b">
        <f t="shared" si="0"/>
        <v>0</v>
      </c>
      <c r="H291" s="16" t="b">
        <v>0</v>
      </c>
      <c r="I291" s="16" t="s">
        <v>207</v>
      </c>
      <c r="J291" s="16" t="s">
        <v>126</v>
      </c>
      <c r="K291" s="16" t="s">
        <v>142</v>
      </c>
      <c r="L291" s="16" t="s">
        <v>21</v>
      </c>
      <c r="M291" s="16">
        <v>135</v>
      </c>
    </row>
    <row r="292" ht="15.75" customHeight="1" spans="1:13">
      <c r="A292" s="16" t="s">
        <v>499</v>
      </c>
      <c r="B292" s="16" t="s">
        <v>147</v>
      </c>
      <c r="C292" s="16"/>
      <c r="D292" s="74"/>
      <c r="E292" s="16"/>
      <c r="F292" s="16"/>
      <c r="G292" s="75" t="b">
        <f t="shared" si="0"/>
        <v>0</v>
      </c>
      <c r="H292" s="16" t="b">
        <v>0</v>
      </c>
      <c r="I292" s="16" t="s">
        <v>18</v>
      </c>
      <c r="J292" s="16" t="s">
        <v>19</v>
      </c>
      <c r="K292" s="16" t="s">
        <v>20</v>
      </c>
      <c r="L292" s="16" t="s">
        <v>21</v>
      </c>
      <c r="M292" s="16">
        <v>316</v>
      </c>
    </row>
    <row r="293" ht="15.75" customHeight="1" spans="1:13">
      <c r="A293" s="16" t="s">
        <v>500</v>
      </c>
      <c r="B293" s="16" t="s">
        <v>147</v>
      </c>
      <c r="C293" s="16"/>
      <c r="D293" s="74"/>
      <c r="E293" s="16"/>
      <c r="F293" s="16"/>
      <c r="G293" s="75" t="b">
        <f t="shared" si="0"/>
        <v>0</v>
      </c>
      <c r="H293" s="16" t="b">
        <v>0</v>
      </c>
      <c r="I293" s="16" t="s">
        <v>18</v>
      </c>
      <c r="J293" s="16" t="s">
        <v>19</v>
      </c>
      <c r="K293" s="16" t="s">
        <v>20</v>
      </c>
      <c r="L293" s="16" t="s">
        <v>21</v>
      </c>
      <c r="M293" s="16">
        <v>512</v>
      </c>
    </row>
    <row r="294" ht="15.75" customHeight="1" spans="1:13">
      <c r="A294" s="16" t="s">
        <v>501</v>
      </c>
      <c r="B294" s="16" t="s">
        <v>147</v>
      </c>
      <c r="C294" s="16"/>
      <c r="D294" s="74"/>
      <c r="E294" s="16"/>
      <c r="F294" s="16"/>
      <c r="G294" s="75" t="b">
        <f t="shared" si="0"/>
        <v>0</v>
      </c>
      <c r="H294" s="16" t="b">
        <v>0</v>
      </c>
      <c r="I294" s="16" t="s">
        <v>25</v>
      </c>
      <c r="J294" s="16" t="s">
        <v>26</v>
      </c>
      <c r="K294" s="16" t="s">
        <v>50</v>
      </c>
      <c r="L294" s="16" t="s">
        <v>160</v>
      </c>
      <c r="M294" s="16">
        <v>622</v>
      </c>
    </row>
    <row r="295" ht="15.75" customHeight="1" spans="1:13">
      <c r="A295" s="16" t="s">
        <v>502</v>
      </c>
      <c r="B295" s="16" t="s">
        <v>147</v>
      </c>
      <c r="C295" s="16"/>
      <c r="D295" s="74"/>
      <c r="E295" s="16"/>
      <c r="F295" s="16"/>
      <c r="G295" s="75" t="b">
        <f t="shared" si="0"/>
        <v>0</v>
      </c>
      <c r="H295" s="16" t="b">
        <v>0</v>
      </c>
      <c r="I295" s="16" t="s">
        <v>57</v>
      </c>
      <c r="J295" s="16" t="s">
        <v>58</v>
      </c>
      <c r="K295" s="16" t="s">
        <v>177</v>
      </c>
      <c r="L295" s="16" t="s">
        <v>21</v>
      </c>
      <c r="M295" s="16">
        <v>82</v>
      </c>
    </row>
    <row r="296" ht="15.75" customHeight="1" spans="1:13">
      <c r="A296" s="16" t="s">
        <v>503</v>
      </c>
      <c r="B296" s="16" t="s">
        <v>147</v>
      </c>
      <c r="C296" s="16"/>
      <c r="D296" s="74"/>
      <c r="E296" s="16"/>
      <c r="F296" s="16"/>
      <c r="G296" s="75" t="b">
        <f t="shared" si="0"/>
        <v>0</v>
      </c>
      <c r="H296" s="16" t="b">
        <v>0</v>
      </c>
      <c r="I296" s="16" t="s">
        <v>41</v>
      </c>
      <c r="J296" s="16" t="s">
        <v>132</v>
      </c>
      <c r="K296" s="16" t="s">
        <v>295</v>
      </c>
      <c r="L296" s="16" t="s">
        <v>21</v>
      </c>
      <c r="M296" s="16">
        <v>245</v>
      </c>
    </row>
    <row r="297" ht="15.75" customHeight="1" spans="1:13">
      <c r="A297" s="16" t="s">
        <v>504</v>
      </c>
      <c r="B297" s="16" t="s">
        <v>147</v>
      </c>
      <c r="C297" s="16"/>
      <c r="D297" s="74"/>
      <c r="E297" s="16"/>
      <c r="F297" s="16"/>
      <c r="G297" s="75" t="b">
        <f t="shared" si="0"/>
        <v>0</v>
      </c>
      <c r="H297" s="16" t="b">
        <v>0</v>
      </c>
      <c r="I297" s="16" t="s">
        <v>57</v>
      </c>
      <c r="J297" s="16" t="s">
        <v>374</v>
      </c>
      <c r="K297" s="16" t="s">
        <v>375</v>
      </c>
      <c r="L297" s="16" t="s">
        <v>21</v>
      </c>
      <c r="M297" s="16">
        <v>392</v>
      </c>
    </row>
    <row r="298" ht="15.75" customHeight="1" spans="1:13">
      <c r="A298" s="16" t="s">
        <v>505</v>
      </c>
      <c r="B298" s="16" t="s">
        <v>14</v>
      </c>
      <c r="C298" s="16" t="s">
        <v>15</v>
      </c>
      <c r="D298" s="74"/>
      <c r="E298" s="16"/>
      <c r="F298" s="16"/>
      <c r="G298" s="75" t="b">
        <f t="shared" si="0"/>
        <v>0</v>
      </c>
      <c r="H298" s="16" t="b">
        <v>0</v>
      </c>
      <c r="I298" s="16" t="s">
        <v>18</v>
      </c>
      <c r="J298" s="16" t="s">
        <v>19</v>
      </c>
      <c r="K298" s="16" t="s">
        <v>20</v>
      </c>
      <c r="L298" s="16" t="s">
        <v>21</v>
      </c>
      <c r="M298" s="16">
        <v>466</v>
      </c>
    </row>
    <row r="299" ht="15.75" customHeight="1" spans="1:13">
      <c r="A299" s="16" t="s">
        <v>506</v>
      </c>
      <c r="B299" s="16" t="s">
        <v>147</v>
      </c>
      <c r="C299" s="16"/>
      <c r="D299" s="74"/>
      <c r="E299" s="16"/>
      <c r="F299" s="16"/>
      <c r="G299" s="75" t="b">
        <f t="shared" si="0"/>
        <v>0</v>
      </c>
      <c r="H299" s="16" t="b">
        <v>0</v>
      </c>
      <c r="I299" s="16" t="s">
        <v>25</v>
      </c>
      <c r="J299" s="16" t="s">
        <v>26</v>
      </c>
      <c r="K299" s="16" t="s">
        <v>399</v>
      </c>
      <c r="L299" s="16" t="s">
        <v>39</v>
      </c>
      <c r="M299" s="16">
        <v>759</v>
      </c>
    </row>
    <row r="300" ht="15.75" customHeight="1" spans="1:13">
      <c r="A300" s="16" t="s">
        <v>507</v>
      </c>
      <c r="B300" s="16" t="s">
        <v>147</v>
      </c>
      <c r="C300" s="16" t="s">
        <v>15</v>
      </c>
      <c r="D300" s="74"/>
      <c r="E300" s="16"/>
      <c r="F300" s="16"/>
      <c r="G300" s="75" t="b">
        <f t="shared" si="0"/>
        <v>0</v>
      </c>
      <c r="H300" s="16" t="b">
        <v>0</v>
      </c>
      <c r="I300" s="16" t="s">
        <v>141</v>
      </c>
      <c r="J300" s="16" t="s">
        <v>126</v>
      </c>
      <c r="K300" s="16" t="s">
        <v>142</v>
      </c>
      <c r="L300" s="16" t="s">
        <v>21</v>
      </c>
      <c r="M300" s="16">
        <v>286</v>
      </c>
    </row>
    <row r="301" ht="15.75" customHeight="1" spans="1:13">
      <c r="A301" s="16" t="s">
        <v>508</v>
      </c>
      <c r="B301" s="16" t="s">
        <v>147</v>
      </c>
      <c r="C301" s="16"/>
      <c r="D301" s="74"/>
      <c r="E301" s="16"/>
      <c r="F301" s="16"/>
      <c r="G301" s="75" t="b">
        <f t="shared" si="0"/>
        <v>0</v>
      </c>
      <c r="H301" s="16" t="b">
        <v>0</v>
      </c>
      <c r="I301" s="16" t="s">
        <v>53</v>
      </c>
      <c r="J301" s="16" t="s">
        <v>54</v>
      </c>
      <c r="K301" s="16" t="s">
        <v>75</v>
      </c>
      <c r="L301" s="16" t="s">
        <v>21</v>
      </c>
      <c r="M301" s="16">
        <v>738</v>
      </c>
    </row>
    <row r="302" ht="15.75" customHeight="1" spans="1:13">
      <c r="A302" s="16" t="s">
        <v>509</v>
      </c>
      <c r="B302" s="16" t="s">
        <v>14</v>
      </c>
      <c r="C302" s="16" t="s">
        <v>15</v>
      </c>
      <c r="D302" s="74" t="s">
        <v>510</v>
      </c>
      <c r="E302" s="16" t="s">
        <v>511</v>
      </c>
      <c r="F302" s="16"/>
      <c r="G302" s="75" t="b">
        <f t="shared" si="0"/>
        <v>0</v>
      </c>
      <c r="H302" s="16" t="b">
        <v>0</v>
      </c>
      <c r="I302" s="16" t="s">
        <v>144</v>
      </c>
      <c r="J302" s="16" t="s">
        <v>63</v>
      </c>
      <c r="K302" s="16" t="s">
        <v>93</v>
      </c>
      <c r="L302" s="16" t="s">
        <v>21</v>
      </c>
      <c r="M302" s="16">
        <v>360</v>
      </c>
    </row>
    <row r="303" ht="15.75" customHeight="1" spans="1:13">
      <c r="A303" s="16" t="s">
        <v>512</v>
      </c>
      <c r="B303" s="16" t="s">
        <v>23</v>
      </c>
      <c r="C303" s="16" t="s">
        <v>15</v>
      </c>
      <c r="D303" s="74"/>
      <c r="E303" s="16" t="s">
        <v>513</v>
      </c>
      <c r="F303" s="16"/>
      <c r="G303" s="75" t="b">
        <f t="shared" si="0"/>
        <v>0</v>
      </c>
      <c r="H303" s="16" t="b">
        <v>0</v>
      </c>
      <c r="I303" s="16" t="s">
        <v>186</v>
      </c>
      <c r="J303" s="16" t="s">
        <v>187</v>
      </c>
      <c r="K303" s="16" t="s">
        <v>514</v>
      </c>
      <c r="L303" s="16" t="s">
        <v>21</v>
      </c>
      <c r="M303" s="16">
        <v>2</v>
      </c>
    </row>
    <row r="304" ht="15.75" customHeight="1" spans="1:13">
      <c r="A304" s="16" t="s">
        <v>515</v>
      </c>
      <c r="B304" s="16" t="s">
        <v>147</v>
      </c>
      <c r="C304" s="16" t="s">
        <v>15</v>
      </c>
      <c r="D304" s="74"/>
      <c r="E304" s="16"/>
      <c r="F304" s="16"/>
      <c r="G304" s="75" t="b">
        <f t="shared" si="0"/>
        <v>0</v>
      </c>
      <c r="H304" s="16" t="b">
        <v>0</v>
      </c>
      <c r="I304" s="16" t="s">
        <v>92</v>
      </c>
      <c r="J304" s="16" t="s">
        <v>63</v>
      </c>
      <c r="K304" s="16" t="s">
        <v>440</v>
      </c>
      <c r="L304" s="16" t="s">
        <v>39</v>
      </c>
      <c r="M304" s="16">
        <v>354</v>
      </c>
    </row>
    <row r="305" ht="15.75" customHeight="1" spans="1:13">
      <c r="A305" s="16" t="s">
        <v>516</v>
      </c>
      <c r="B305" s="16" t="s">
        <v>147</v>
      </c>
      <c r="C305" s="16" t="s">
        <v>15</v>
      </c>
      <c r="D305" s="74"/>
      <c r="E305" s="16"/>
      <c r="F305" s="16"/>
      <c r="G305" s="75" t="b">
        <f t="shared" si="0"/>
        <v>0</v>
      </c>
      <c r="H305" s="16" t="b">
        <v>0</v>
      </c>
      <c r="I305" s="16" t="s">
        <v>358</v>
      </c>
      <c r="J305" s="16" t="s">
        <v>63</v>
      </c>
      <c r="K305" s="16" t="s">
        <v>93</v>
      </c>
      <c r="L305" s="16" t="s">
        <v>21</v>
      </c>
      <c r="M305" s="16">
        <v>98</v>
      </c>
    </row>
    <row r="306" ht="15.75" customHeight="1" spans="1:13">
      <c r="A306" s="16" t="s">
        <v>517</v>
      </c>
      <c r="B306" s="16" t="s">
        <v>147</v>
      </c>
      <c r="C306" s="16"/>
      <c r="D306" s="74"/>
      <c r="E306" s="16"/>
      <c r="F306" s="16"/>
      <c r="G306" s="75" t="b">
        <f t="shared" si="0"/>
        <v>0</v>
      </c>
      <c r="H306" s="16" t="b">
        <v>0</v>
      </c>
      <c r="I306" s="16" t="s">
        <v>57</v>
      </c>
      <c r="J306" s="16" t="s">
        <v>58</v>
      </c>
      <c r="K306" s="16" t="s">
        <v>177</v>
      </c>
      <c r="L306" s="16" t="s">
        <v>21</v>
      </c>
      <c r="M306" s="16">
        <v>46</v>
      </c>
    </row>
    <row r="307" ht="15.75" customHeight="1" spans="1:13">
      <c r="A307" s="16" t="s">
        <v>518</v>
      </c>
      <c r="B307" s="16" t="s">
        <v>147</v>
      </c>
      <c r="C307" s="16"/>
      <c r="D307" s="74"/>
      <c r="E307" s="16"/>
      <c r="F307" s="16"/>
      <c r="G307" s="75" t="b">
        <f t="shared" si="0"/>
        <v>0</v>
      </c>
      <c r="H307" s="16" t="b">
        <v>0</v>
      </c>
      <c r="I307" s="16" t="s">
        <v>25</v>
      </c>
      <c r="J307" s="16" t="s">
        <v>26</v>
      </c>
      <c r="K307" s="16" t="s">
        <v>77</v>
      </c>
      <c r="L307" s="16" t="s">
        <v>21</v>
      </c>
      <c r="M307" s="16">
        <v>600</v>
      </c>
    </row>
    <row r="308" ht="15.75" customHeight="1" spans="1:13">
      <c r="A308" s="16" t="s">
        <v>519</v>
      </c>
      <c r="B308" s="16" t="s">
        <v>147</v>
      </c>
      <c r="C308" s="16" t="s">
        <v>15</v>
      </c>
      <c r="D308" s="74"/>
      <c r="E308" s="16" t="s">
        <v>520</v>
      </c>
      <c r="F308" s="16"/>
      <c r="G308" s="75" t="b">
        <f t="shared" si="0"/>
        <v>0</v>
      </c>
      <c r="H308" s="16" t="b">
        <v>0</v>
      </c>
      <c r="I308" s="16" t="s">
        <v>207</v>
      </c>
      <c r="J308" s="16" t="s">
        <v>30</v>
      </c>
      <c r="K308" s="16" t="s">
        <v>31</v>
      </c>
      <c r="L308" s="16" t="s">
        <v>21</v>
      </c>
      <c r="M308" s="16">
        <v>17</v>
      </c>
    </row>
    <row r="309" ht="15.75" customHeight="1" spans="1:13">
      <c r="A309" s="16" t="s">
        <v>521</v>
      </c>
      <c r="B309" s="16" t="s">
        <v>147</v>
      </c>
      <c r="C309" s="16"/>
      <c r="D309" s="74"/>
      <c r="E309" s="16"/>
      <c r="F309" s="16"/>
      <c r="G309" s="75" t="b">
        <f t="shared" si="0"/>
        <v>0</v>
      </c>
      <c r="H309" s="16" t="b">
        <v>0</v>
      </c>
      <c r="I309" s="16" t="s">
        <v>53</v>
      </c>
      <c r="J309" s="16" t="s">
        <v>54</v>
      </c>
      <c r="K309" s="16" t="s">
        <v>198</v>
      </c>
      <c r="L309" s="16" t="s">
        <v>21</v>
      </c>
      <c r="M309" s="16">
        <v>231</v>
      </c>
    </row>
    <row r="310" ht="15.75" customHeight="1" spans="1:13">
      <c r="A310" s="16" t="s">
        <v>522</v>
      </c>
      <c r="B310" s="16" t="s">
        <v>147</v>
      </c>
      <c r="C310" s="16"/>
      <c r="D310" s="74"/>
      <c r="E310" s="16"/>
      <c r="F310" s="16"/>
      <c r="G310" s="75" t="b">
        <f t="shared" si="0"/>
        <v>0</v>
      </c>
      <c r="H310" s="16" t="b">
        <v>0</v>
      </c>
      <c r="I310" s="16" t="s">
        <v>131</v>
      </c>
      <c r="J310" s="16" t="s">
        <v>132</v>
      </c>
      <c r="K310" s="16" t="s">
        <v>317</v>
      </c>
      <c r="L310" s="16" t="s">
        <v>160</v>
      </c>
      <c r="M310" s="16">
        <v>873</v>
      </c>
    </row>
    <row r="311" ht="15.75" customHeight="1" spans="1:13">
      <c r="A311" s="16" t="s">
        <v>523</v>
      </c>
      <c r="B311" s="16" t="s">
        <v>147</v>
      </c>
      <c r="C311" s="16" t="s">
        <v>15</v>
      </c>
      <c r="D311" s="74"/>
      <c r="E311" s="16"/>
      <c r="F311" s="16"/>
      <c r="G311" s="75" t="b">
        <f t="shared" si="0"/>
        <v>0</v>
      </c>
      <c r="H311" s="16" t="b">
        <v>0</v>
      </c>
      <c r="I311" s="16" t="s">
        <v>207</v>
      </c>
      <c r="J311" s="16" t="s">
        <v>63</v>
      </c>
      <c r="K311" s="16" t="s">
        <v>169</v>
      </c>
      <c r="L311" s="16" t="s">
        <v>21</v>
      </c>
      <c r="M311" s="16">
        <v>330</v>
      </c>
    </row>
    <row r="312" ht="15.75" customHeight="1" spans="1:13">
      <c r="A312" s="16" t="s">
        <v>524</v>
      </c>
      <c r="B312" s="16" t="s">
        <v>147</v>
      </c>
      <c r="C312" s="16"/>
      <c r="D312" s="74"/>
      <c r="E312" s="16"/>
      <c r="F312" s="16"/>
      <c r="G312" s="75" t="b">
        <f t="shared" si="0"/>
        <v>0</v>
      </c>
      <c r="H312" s="16" t="b">
        <v>0</v>
      </c>
      <c r="I312" s="16" t="s">
        <v>57</v>
      </c>
      <c r="J312" s="16" t="s">
        <v>58</v>
      </c>
      <c r="K312" s="16" t="s">
        <v>177</v>
      </c>
      <c r="L312" s="16" t="s">
        <v>21</v>
      </c>
      <c r="M312" s="16">
        <v>474</v>
      </c>
    </row>
    <row r="313" ht="15.75" customHeight="1" spans="1:13">
      <c r="A313" s="16" t="s">
        <v>525</v>
      </c>
      <c r="B313" s="16" t="s">
        <v>147</v>
      </c>
      <c r="C313" s="16" t="s">
        <v>190</v>
      </c>
      <c r="D313" s="74"/>
      <c r="E313" s="16" t="s">
        <v>526</v>
      </c>
      <c r="F313" s="16"/>
      <c r="G313" s="75" t="b">
        <f t="shared" si="0"/>
        <v>0</v>
      </c>
      <c r="H313" s="16" t="b">
        <v>0</v>
      </c>
      <c r="I313" s="16" t="s">
        <v>207</v>
      </c>
      <c r="J313" s="16" t="s">
        <v>30</v>
      </c>
      <c r="K313" s="16" t="s">
        <v>31</v>
      </c>
      <c r="L313" s="16" t="s">
        <v>21</v>
      </c>
      <c r="M313" s="16">
        <v>683</v>
      </c>
    </row>
    <row r="314" ht="15.75" customHeight="1" spans="1:13">
      <c r="A314" s="16" t="s">
        <v>527</v>
      </c>
      <c r="B314" s="16" t="s">
        <v>147</v>
      </c>
      <c r="C314" s="16" t="s">
        <v>183</v>
      </c>
      <c r="D314" s="74" t="s">
        <v>528</v>
      </c>
      <c r="E314" s="16" t="s">
        <v>529</v>
      </c>
      <c r="F314" s="16"/>
      <c r="G314" s="75" t="b">
        <f t="shared" si="0"/>
        <v>0</v>
      </c>
      <c r="H314" s="16" t="b">
        <v>0</v>
      </c>
      <c r="I314" s="16" t="s">
        <v>29</v>
      </c>
      <c r="J314" s="16" t="s">
        <v>30</v>
      </c>
      <c r="K314" s="16" t="s">
        <v>31</v>
      </c>
      <c r="L314" s="16" t="s">
        <v>21</v>
      </c>
      <c r="M314" s="16">
        <v>31</v>
      </c>
    </row>
    <row r="315" ht="15.75" customHeight="1" spans="1:13">
      <c r="A315" s="16" t="s">
        <v>530</v>
      </c>
      <c r="B315" s="16" t="s">
        <v>147</v>
      </c>
      <c r="C315" s="16"/>
      <c r="D315" s="74"/>
      <c r="E315" s="16"/>
      <c r="F315" s="16"/>
      <c r="G315" s="75" t="b">
        <f t="shared" si="0"/>
        <v>0</v>
      </c>
      <c r="H315" s="16" t="b">
        <v>0</v>
      </c>
      <c r="I315" s="16" t="s">
        <v>41</v>
      </c>
      <c r="J315" s="16" t="s">
        <v>132</v>
      </c>
      <c r="K315" s="16" t="s">
        <v>295</v>
      </c>
      <c r="L315" s="16" t="s">
        <v>21</v>
      </c>
      <c r="M315" s="16">
        <v>304</v>
      </c>
    </row>
    <row r="316" ht="15.75" customHeight="1" spans="1:13">
      <c r="A316" s="16" t="s">
        <v>531</v>
      </c>
      <c r="B316" s="16" t="s">
        <v>147</v>
      </c>
      <c r="C316" s="16"/>
      <c r="D316" s="74"/>
      <c r="E316" s="16"/>
      <c r="F316" s="16"/>
      <c r="G316" s="75" t="b">
        <f t="shared" si="0"/>
        <v>0</v>
      </c>
      <c r="H316" s="16" t="b">
        <v>0</v>
      </c>
      <c r="I316" s="16" t="s">
        <v>230</v>
      </c>
      <c r="J316" s="16" t="s">
        <v>26</v>
      </c>
      <c r="K316" s="16" t="s">
        <v>43</v>
      </c>
      <c r="L316" s="16" t="s">
        <v>21</v>
      </c>
      <c r="M316" s="16">
        <v>825</v>
      </c>
    </row>
    <row r="317" ht="15.75" customHeight="1" spans="1:13">
      <c r="A317" s="16" t="s">
        <v>532</v>
      </c>
      <c r="B317" s="16" t="s">
        <v>147</v>
      </c>
      <c r="C317" s="16"/>
      <c r="D317" s="74"/>
      <c r="E317" s="16"/>
      <c r="F317" s="16"/>
      <c r="G317" s="75" t="b">
        <f t="shared" si="0"/>
        <v>0</v>
      </c>
      <c r="H317" s="16" t="b">
        <v>0</v>
      </c>
      <c r="I317" s="16" t="s">
        <v>269</v>
      </c>
      <c r="J317" s="16" t="s">
        <v>63</v>
      </c>
      <c r="K317" s="16" t="s">
        <v>288</v>
      </c>
      <c r="L317" s="16" t="s">
        <v>21</v>
      </c>
      <c r="M317" s="16">
        <v>509</v>
      </c>
    </row>
    <row r="318" ht="15.75" customHeight="1" spans="1:13">
      <c r="A318" s="16" t="s">
        <v>533</v>
      </c>
      <c r="B318" s="16" t="s">
        <v>147</v>
      </c>
      <c r="C318" s="16"/>
      <c r="D318" s="74"/>
      <c r="E318" s="16"/>
      <c r="F318" s="16"/>
      <c r="G318" s="75" t="b">
        <f t="shared" si="0"/>
        <v>0</v>
      </c>
      <c r="H318" s="16" t="b">
        <v>0</v>
      </c>
      <c r="I318" s="16" t="s">
        <v>57</v>
      </c>
      <c r="J318" s="16" t="s">
        <v>58</v>
      </c>
      <c r="K318" s="16" t="s">
        <v>177</v>
      </c>
      <c r="L318" s="16" t="s">
        <v>21</v>
      </c>
      <c r="M318" s="16">
        <v>886</v>
      </c>
    </row>
    <row r="319" ht="15.75" customHeight="1" spans="1:13">
      <c r="A319" s="16" t="s">
        <v>534</v>
      </c>
      <c r="B319" s="16" t="s">
        <v>147</v>
      </c>
      <c r="C319" s="16"/>
      <c r="D319" s="74"/>
      <c r="E319" s="16"/>
      <c r="F319" s="16"/>
      <c r="G319" s="75" t="b">
        <f t="shared" si="0"/>
        <v>0</v>
      </c>
      <c r="H319" s="16" t="b">
        <v>0</v>
      </c>
      <c r="I319" s="16" t="s">
        <v>144</v>
      </c>
      <c r="J319" s="16" t="s">
        <v>54</v>
      </c>
      <c r="K319" s="16" t="s">
        <v>75</v>
      </c>
      <c r="L319" s="16" t="s">
        <v>21</v>
      </c>
      <c r="M319" s="16">
        <v>439</v>
      </c>
    </row>
    <row r="320" ht="15.75" customHeight="1" spans="1:13">
      <c r="A320" s="16" t="s">
        <v>535</v>
      </c>
      <c r="B320" s="16" t="s">
        <v>147</v>
      </c>
      <c r="C320" s="16"/>
      <c r="D320" s="74"/>
      <c r="E320" s="16"/>
      <c r="F320" s="16"/>
      <c r="G320" s="75" t="b">
        <f t="shared" si="0"/>
        <v>0</v>
      </c>
      <c r="H320" s="16" t="b">
        <v>0</v>
      </c>
      <c r="I320" s="16" t="s">
        <v>536</v>
      </c>
      <c r="J320" s="16" t="s">
        <v>63</v>
      </c>
      <c r="K320" s="16" t="s">
        <v>169</v>
      </c>
      <c r="L320" s="16" t="s">
        <v>21</v>
      </c>
      <c r="M320" s="16">
        <v>525</v>
      </c>
    </row>
    <row r="321" ht="15.75" customHeight="1" spans="1:13">
      <c r="A321" s="16" t="s">
        <v>537</v>
      </c>
      <c r="B321" s="16" t="s">
        <v>147</v>
      </c>
      <c r="C321" s="16"/>
      <c r="D321" s="74"/>
      <c r="E321" s="16"/>
      <c r="F321" s="16"/>
      <c r="G321" s="75" t="b">
        <f t="shared" si="0"/>
        <v>0</v>
      </c>
      <c r="H321" s="16" t="b">
        <v>0</v>
      </c>
      <c r="I321" s="16" t="s">
        <v>67</v>
      </c>
      <c r="J321" s="16" t="s">
        <v>26</v>
      </c>
      <c r="K321" s="16" t="s">
        <v>68</v>
      </c>
      <c r="L321" s="16" t="s">
        <v>21</v>
      </c>
      <c r="M321" s="16">
        <v>110</v>
      </c>
    </row>
    <row r="322" ht="15.75" customHeight="1" spans="1:13">
      <c r="A322" s="16" t="s">
        <v>538</v>
      </c>
      <c r="B322" s="16" t="s">
        <v>147</v>
      </c>
      <c r="C322" s="16"/>
      <c r="D322" s="74"/>
      <c r="E322" s="16"/>
      <c r="F322" s="16"/>
      <c r="G322" s="75" t="b">
        <f t="shared" si="0"/>
        <v>0</v>
      </c>
      <c r="H322" s="16" t="b">
        <v>0</v>
      </c>
      <c r="I322" s="16" t="s">
        <v>29</v>
      </c>
      <c r="J322" s="16" t="s">
        <v>30</v>
      </c>
      <c r="K322" s="16" t="s">
        <v>50</v>
      </c>
      <c r="L322" s="16" t="s">
        <v>21</v>
      </c>
      <c r="M322" s="16">
        <v>132</v>
      </c>
    </row>
    <row r="323" ht="15.75" customHeight="1" spans="1:13">
      <c r="A323" s="16" t="s">
        <v>539</v>
      </c>
      <c r="B323" s="16" t="s">
        <v>147</v>
      </c>
      <c r="C323" s="16" t="s">
        <v>15</v>
      </c>
      <c r="D323" s="74"/>
      <c r="E323" s="16" t="s">
        <v>540</v>
      </c>
      <c r="F323" s="16"/>
      <c r="G323" s="75" t="b">
        <f t="shared" si="0"/>
        <v>0</v>
      </c>
      <c r="H323" s="16" t="b">
        <v>0</v>
      </c>
      <c r="I323" s="16" t="s">
        <v>82</v>
      </c>
      <c r="J323" s="16" t="s">
        <v>83</v>
      </c>
      <c r="K323" s="16" t="s">
        <v>362</v>
      </c>
      <c r="L323" s="16" t="s">
        <v>21</v>
      </c>
      <c r="M323" s="16">
        <v>342</v>
      </c>
    </row>
    <row r="324" ht="15.75" customHeight="1" spans="1:13">
      <c r="A324" s="16" t="s">
        <v>541</v>
      </c>
      <c r="B324" s="16" t="s">
        <v>147</v>
      </c>
      <c r="C324" s="16"/>
      <c r="D324" s="74"/>
      <c r="E324" s="16"/>
      <c r="F324" s="16"/>
      <c r="G324" s="75" t="b">
        <f t="shared" si="0"/>
        <v>0</v>
      </c>
      <c r="H324" s="16" t="b">
        <v>0</v>
      </c>
      <c r="I324" s="16" t="s">
        <v>173</v>
      </c>
      <c r="J324" s="16" t="s">
        <v>54</v>
      </c>
      <c r="K324" s="16" t="s">
        <v>75</v>
      </c>
      <c r="L324" s="16" t="s">
        <v>21</v>
      </c>
      <c r="M324" s="16">
        <v>720</v>
      </c>
    </row>
    <row r="325" ht="15.75" customHeight="1" spans="1:13">
      <c r="A325" s="16" t="s">
        <v>542</v>
      </c>
      <c r="B325" s="16" t="s">
        <v>147</v>
      </c>
      <c r="C325" s="16" t="s">
        <v>15</v>
      </c>
      <c r="D325" s="74"/>
      <c r="E325" s="16"/>
      <c r="F325" s="16"/>
      <c r="G325" s="75" t="b">
        <f t="shared" si="0"/>
        <v>0</v>
      </c>
      <c r="H325" s="16" t="b">
        <v>0</v>
      </c>
      <c r="I325" s="16" t="s">
        <v>207</v>
      </c>
      <c r="J325" s="16" t="s">
        <v>30</v>
      </c>
      <c r="K325" s="16" t="s">
        <v>31</v>
      </c>
      <c r="L325" s="16" t="s">
        <v>21</v>
      </c>
      <c r="M325" s="16">
        <v>677</v>
      </c>
    </row>
    <row r="326" ht="15.75" customHeight="1" spans="1:13">
      <c r="A326" s="16" t="s">
        <v>543</v>
      </c>
      <c r="B326" s="16" t="s">
        <v>147</v>
      </c>
      <c r="C326" s="16"/>
      <c r="D326" s="74"/>
      <c r="E326" s="16"/>
      <c r="F326" s="16"/>
      <c r="G326" s="75" t="b">
        <f t="shared" si="0"/>
        <v>0</v>
      </c>
      <c r="H326" s="16" t="b">
        <v>0</v>
      </c>
      <c r="I326" s="16" t="s">
        <v>131</v>
      </c>
      <c r="J326" s="16" t="s">
        <v>132</v>
      </c>
      <c r="K326" s="16" t="s">
        <v>544</v>
      </c>
      <c r="L326" s="16" t="s">
        <v>39</v>
      </c>
      <c r="M326" s="16">
        <v>504</v>
      </c>
    </row>
    <row r="327" ht="15.75" customHeight="1" spans="1:13">
      <c r="A327" s="16" t="s">
        <v>545</v>
      </c>
      <c r="B327" s="16" t="s">
        <v>147</v>
      </c>
      <c r="C327" s="16"/>
      <c r="D327" s="74"/>
      <c r="E327" s="16"/>
      <c r="F327" s="16"/>
      <c r="G327" s="75" t="b">
        <f t="shared" si="0"/>
        <v>0</v>
      </c>
      <c r="H327" s="16" t="b">
        <v>0</v>
      </c>
      <c r="I327" s="16" t="s">
        <v>141</v>
      </c>
      <c r="J327" s="16" t="s">
        <v>126</v>
      </c>
      <c r="K327" s="16" t="s">
        <v>127</v>
      </c>
      <c r="L327" s="16" t="s">
        <v>21</v>
      </c>
      <c r="M327" s="16">
        <v>261</v>
      </c>
    </row>
    <row r="328" ht="15.75" customHeight="1" spans="1:13">
      <c r="A328" s="16" t="s">
        <v>546</v>
      </c>
      <c r="B328" s="16" t="s">
        <v>147</v>
      </c>
      <c r="C328" s="16"/>
      <c r="D328" s="74"/>
      <c r="E328" s="16"/>
      <c r="F328" s="16"/>
      <c r="G328" s="75" t="b">
        <f t="shared" si="0"/>
        <v>0</v>
      </c>
      <c r="H328" s="16" t="b">
        <v>0</v>
      </c>
      <c r="I328" s="16" t="s">
        <v>53</v>
      </c>
      <c r="J328" s="16" t="s">
        <v>54</v>
      </c>
      <c r="K328" s="16" t="s">
        <v>124</v>
      </c>
      <c r="L328" s="16" t="s">
        <v>21</v>
      </c>
      <c r="M328" s="16">
        <v>1032</v>
      </c>
    </row>
    <row r="329" ht="15.75" customHeight="1" spans="1:13">
      <c r="A329" s="16" t="s">
        <v>547</v>
      </c>
      <c r="B329" s="16" t="s">
        <v>147</v>
      </c>
      <c r="C329" s="16"/>
      <c r="D329" s="74"/>
      <c r="E329" s="16" t="s">
        <v>548</v>
      </c>
      <c r="F329" s="16"/>
      <c r="G329" s="75" t="b">
        <f t="shared" si="0"/>
        <v>0</v>
      </c>
      <c r="H329" s="16" t="b">
        <v>0</v>
      </c>
      <c r="I329" s="16" t="s">
        <v>173</v>
      </c>
      <c r="J329" s="16" t="s">
        <v>54</v>
      </c>
      <c r="K329" s="16" t="s">
        <v>75</v>
      </c>
      <c r="L329" s="16" t="s">
        <v>160</v>
      </c>
      <c r="M329" s="16">
        <v>410</v>
      </c>
    </row>
    <row r="330" ht="15.75" customHeight="1" spans="1:13">
      <c r="A330" s="16" t="s">
        <v>549</v>
      </c>
      <c r="B330" s="16" t="s">
        <v>147</v>
      </c>
      <c r="C330" s="16"/>
      <c r="D330" s="74"/>
      <c r="E330" s="16"/>
      <c r="F330" s="16"/>
      <c r="G330" s="75" t="b">
        <f t="shared" si="0"/>
        <v>0</v>
      </c>
      <c r="H330" s="16" t="b">
        <v>0</v>
      </c>
      <c r="I330" s="16" t="s">
        <v>25</v>
      </c>
      <c r="J330" s="16" t="s">
        <v>26</v>
      </c>
      <c r="K330" s="16" t="s">
        <v>50</v>
      </c>
      <c r="L330" s="16" t="s">
        <v>21</v>
      </c>
      <c r="M330" s="16">
        <v>615</v>
      </c>
    </row>
    <row r="331" ht="15.75" customHeight="1" spans="1:13">
      <c r="A331" s="16" t="s">
        <v>550</v>
      </c>
      <c r="B331" s="16" t="s">
        <v>147</v>
      </c>
      <c r="C331" s="16"/>
      <c r="D331" s="74"/>
      <c r="E331" s="16"/>
      <c r="F331" s="16"/>
      <c r="G331" s="75" t="b">
        <f t="shared" si="0"/>
        <v>0</v>
      </c>
      <c r="H331" s="16" t="b">
        <v>0</v>
      </c>
      <c r="I331" s="16" t="s">
        <v>109</v>
      </c>
      <c r="J331" s="16" t="s">
        <v>58</v>
      </c>
      <c r="K331" s="16" t="s">
        <v>177</v>
      </c>
      <c r="L331" s="16" t="s">
        <v>21</v>
      </c>
      <c r="M331" s="16">
        <v>453</v>
      </c>
    </row>
    <row r="332" ht="15.75" customHeight="1" spans="1:13">
      <c r="A332" s="16" t="s">
        <v>551</v>
      </c>
      <c r="B332" s="16" t="s">
        <v>147</v>
      </c>
      <c r="C332" s="16"/>
      <c r="D332" s="74"/>
      <c r="E332" s="16"/>
      <c r="F332" s="16"/>
      <c r="G332" s="75" t="b">
        <f t="shared" si="0"/>
        <v>0</v>
      </c>
      <c r="H332" s="16" t="b">
        <v>0</v>
      </c>
      <c r="I332" s="16" t="s">
        <v>25</v>
      </c>
      <c r="J332" s="16" t="s">
        <v>26</v>
      </c>
      <c r="K332" s="16" t="s">
        <v>77</v>
      </c>
      <c r="L332" s="16" t="s">
        <v>21</v>
      </c>
      <c r="M332" s="16">
        <v>608</v>
      </c>
    </row>
    <row r="333" ht="15.75" customHeight="1" spans="1:13">
      <c r="A333" s="16" t="s">
        <v>552</v>
      </c>
      <c r="B333" s="16" t="s">
        <v>147</v>
      </c>
      <c r="C333" s="16"/>
      <c r="D333" s="74"/>
      <c r="E333" s="16"/>
      <c r="F333" s="16"/>
      <c r="G333" s="75" t="b">
        <f t="shared" si="0"/>
        <v>0</v>
      </c>
      <c r="H333" s="16" t="b">
        <v>0</v>
      </c>
      <c r="I333" s="16" t="s">
        <v>141</v>
      </c>
      <c r="J333" s="16" t="s">
        <v>126</v>
      </c>
      <c r="K333" s="16" t="s">
        <v>553</v>
      </c>
      <c r="L333" s="16" t="s">
        <v>21</v>
      </c>
      <c r="M333" s="16">
        <v>284</v>
      </c>
    </row>
    <row r="334" ht="15.75" customHeight="1" spans="1:13">
      <c r="A334" s="16" t="s">
        <v>554</v>
      </c>
      <c r="B334" s="16" t="s">
        <v>147</v>
      </c>
      <c r="C334" s="16"/>
      <c r="D334" s="74"/>
      <c r="E334" s="16"/>
      <c r="F334" s="16"/>
      <c r="G334" s="75" t="b">
        <f t="shared" si="0"/>
        <v>0</v>
      </c>
      <c r="H334" s="16" t="b">
        <v>0</v>
      </c>
      <c r="I334" s="16" t="s">
        <v>41</v>
      </c>
      <c r="J334" s="16" t="s">
        <v>132</v>
      </c>
      <c r="K334" s="16" t="s">
        <v>295</v>
      </c>
      <c r="L334" s="16" t="s">
        <v>21</v>
      </c>
      <c r="M334" s="16">
        <v>267</v>
      </c>
    </row>
    <row r="335" ht="15.75" customHeight="1" spans="1:13">
      <c r="A335" s="16" t="s">
        <v>555</v>
      </c>
      <c r="B335" s="16" t="s">
        <v>14</v>
      </c>
      <c r="C335" s="16" t="s">
        <v>183</v>
      </c>
      <c r="D335" s="74"/>
      <c r="E335" s="16" t="s">
        <v>556</v>
      </c>
      <c r="F335" s="16"/>
      <c r="G335" s="75" t="b">
        <f t="shared" si="0"/>
        <v>0</v>
      </c>
      <c r="H335" s="16" t="b">
        <v>0</v>
      </c>
      <c r="I335" s="16" t="s">
        <v>358</v>
      </c>
      <c r="J335" s="16" t="s">
        <v>63</v>
      </c>
      <c r="K335" s="16" t="s">
        <v>93</v>
      </c>
      <c r="L335" s="16" t="s">
        <v>39</v>
      </c>
      <c r="M335" s="16">
        <v>515</v>
      </c>
    </row>
    <row r="336" ht="15.75" customHeight="1" spans="1:13">
      <c r="A336" s="16" t="s">
        <v>557</v>
      </c>
      <c r="B336" s="16" t="s">
        <v>147</v>
      </c>
      <c r="C336" s="16" t="s">
        <v>15</v>
      </c>
      <c r="D336" s="74"/>
      <c r="E336" s="16"/>
      <c r="F336" s="16"/>
      <c r="G336" s="75" t="b">
        <f t="shared" si="0"/>
        <v>0</v>
      </c>
      <c r="H336" s="16" t="b">
        <v>0</v>
      </c>
      <c r="I336" s="16" t="s">
        <v>207</v>
      </c>
      <c r="J336" s="16" t="s">
        <v>30</v>
      </c>
      <c r="K336" s="16" t="s">
        <v>31</v>
      </c>
      <c r="L336" s="16" t="s">
        <v>21</v>
      </c>
      <c r="M336" s="16">
        <v>676</v>
      </c>
    </row>
    <row r="337" ht="15.75" customHeight="1" spans="1:13">
      <c r="A337" s="16" t="s">
        <v>558</v>
      </c>
      <c r="B337" s="16" t="s">
        <v>147</v>
      </c>
      <c r="C337" s="16"/>
      <c r="D337" s="74"/>
      <c r="E337" s="16"/>
      <c r="F337" s="16"/>
      <c r="G337" s="75" t="b">
        <f t="shared" si="0"/>
        <v>0</v>
      </c>
      <c r="H337" s="16" t="b">
        <v>0</v>
      </c>
      <c r="I337" s="16" t="s">
        <v>67</v>
      </c>
      <c r="J337" s="16" t="s">
        <v>26</v>
      </c>
      <c r="K337" s="16" t="s">
        <v>68</v>
      </c>
      <c r="L337" s="16" t="s">
        <v>21</v>
      </c>
      <c r="M337" s="16">
        <v>953</v>
      </c>
    </row>
    <row r="338" ht="15.75" customHeight="1" spans="1:13">
      <c r="A338" s="16" t="s">
        <v>559</v>
      </c>
      <c r="B338" s="16" t="s">
        <v>147</v>
      </c>
      <c r="C338" s="16"/>
      <c r="D338" s="74"/>
      <c r="E338" s="16"/>
      <c r="F338" s="16"/>
      <c r="G338" s="75" t="b">
        <f t="shared" si="0"/>
        <v>0</v>
      </c>
      <c r="H338" s="16" t="b">
        <v>0</v>
      </c>
      <c r="I338" s="16" t="s">
        <v>25</v>
      </c>
      <c r="J338" s="16" t="s">
        <v>26</v>
      </c>
      <c r="K338" s="16" t="s">
        <v>159</v>
      </c>
      <c r="L338" s="16" t="s">
        <v>21</v>
      </c>
      <c r="M338" s="16">
        <v>641</v>
      </c>
    </row>
    <row r="339" ht="15.75" customHeight="1" spans="1:13">
      <c r="A339" s="16" t="s">
        <v>560</v>
      </c>
      <c r="B339" s="16" t="s">
        <v>147</v>
      </c>
      <c r="C339" s="16"/>
      <c r="D339" s="74"/>
      <c r="E339" s="16"/>
      <c r="F339" s="16"/>
      <c r="G339" s="75" t="b">
        <f t="shared" si="0"/>
        <v>0</v>
      </c>
      <c r="H339" s="16" t="b">
        <v>0</v>
      </c>
      <c r="I339" s="16" t="s">
        <v>207</v>
      </c>
      <c r="J339" s="16" t="s">
        <v>63</v>
      </c>
      <c r="K339" s="16" t="s">
        <v>93</v>
      </c>
      <c r="L339" s="16" t="s">
        <v>21</v>
      </c>
      <c r="M339" s="16">
        <v>271</v>
      </c>
    </row>
    <row r="340" ht="15.75" customHeight="1" spans="1:13">
      <c r="A340" s="16" t="s">
        <v>561</v>
      </c>
      <c r="B340" s="16" t="s">
        <v>147</v>
      </c>
      <c r="C340" s="16"/>
      <c r="D340" s="74"/>
      <c r="E340" s="16"/>
      <c r="F340" s="16"/>
      <c r="G340" s="75" t="b">
        <f t="shared" si="0"/>
        <v>0</v>
      </c>
      <c r="H340" s="16" t="b">
        <v>0</v>
      </c>
      <c r="I340" s="16" t="s">
        <v>92</v>
      </c>
      <c r="J340" s="16" t="s">
        <v>63</v>
      </c>
      <c r="K340" s="16" t="s">
        <v>93</v>
      </c>
      <c r="L340" s="16" t="s">
        <v>21</v>
      </c>
      <c r="M340" s="16">
        <v>562</v>
      </c>
    </row>
    <row r="341" ht="15.75" customHeight="1" spans="1:13">
      <c r="A341" s="16" t="s">
        <v>562</v>
      </c>
      <c r="B341" s="16" t="s">
        <v>147</v>
      </c>
      <c r="C341" s="16"/>
      <c r="D341" s="74"/>
      <c r="E341" s="16"/>
      <c r="F341" s="16"/>
      <c r="G341" s="75" t="b">
        <f t="shared" si="0"/>
        <v>0</v>
      </c>
      <c r="H341" s="16" t="b">
        <v>0</v>
      </c>
      <c r="I341" s="16" t="s">
        <v>109</v>
      </c>
      <c r="J341" s="16" t="s">
        <v>58</v>
      </c>
      <c r="K341" s="16" t="s">
        <v>59</v>
      </c>
      <c r="L341" s="16" t="s">
        <v>21</v>
      </c>
      <c r="M341" s="16">
        <v>394</v>
      </c>
    </row>
    <row r="342" ht="15.75" customHeight="1" spans="1:13">
      <c r="A342" s="16" t="s">
        <v>563</v>
      </c>
      <c r="B342" s="16" t="s">
        <v>147</v>
      </c>
      <c r="C342" s="16"/>
      <c r="D342" s="74"/>
      <c r="E342" s="16"/>
      <c r="F342" s="16"/>
      <c r="G342" s="75" t="b">
        <f t="shared" si="0"/>
        <v>0</v>
      </c>
      <c r="H342" s="16" t="b">
        <v>0</v>
      </c>
      <c r="I342" s="16" t="s">
        <v>57</v>
      </c>
      <c r="J342" s="16" t="s">
        <v>58</v>
      </c>
      <c r="K342" s="16" t="s">
        <v>177</v>
      </c>
      <c r="L342" s="16" t="s">
        <v>21</v>
      </c>
      <c r="M342" s="16">
        <v>929</v>
      </c>
    </row>
    <row r="343" ht="15.75" customHeight="1" spans="1:13">
      <c r="A343" s="16" t="s">
        <v>564</v>
      </c>
      <c r="B343" s="16" t="s">
        <v>147</v>
      </c>
      <c r="C343" s="16"/>
      <c r="D343" s="74"/>
      <c r="E343" s="16"/>
      <c r="F343" s="16"/>
      <c r="G343" s="75" t="b">
        <f t="shared" si="0"/>
        <v>0</v>
      </c>
      <c r="H343" s="16" t="b">
        <v>0</v>
      </c>
      <c r="I343" s="16" t="s">
        <v>25</v>
      </c>
      <c r="J343" s="16" t="s">
        <v>26</v>
      </c>
      <c r="K343" s="16" t="s">
        <v>399</v>
      </c>
      <c r="L343" s="16" t="s">
        <v>39</v>
      </c>
      <c r="M343" s="16">
        <v>763</v>
      </c>
    </row>
    <row r="344" ht="15.75" customHeight="1" spans="1:13">
      <c r="A344" s="16" t="s">
        <v>565</v>
      </c>
      <c r="B344" s="16" t="s">
        <v>147</v>
      </c>
      <c r="C344" s="16"/>
      <c r="D344" s="74"/>
      <c r="E344" s="16"/>
      <c r="F344" s="16"/>
      <c r="G344" s="75" t="b">
        <f t="shared" si="0"/>
        <v>0</v>
      </c>
      <c r="H344" s="16" t="b">
        <v>0</v>
      </c>
      <c r="I344" s="16" t="s">
        <v>144</v>
      </c>
      <c r="J344" s="16" t="s">
        <v>54</v>
      </c>
      <c r="K344" s="16" t="s">
        <v>566</v>
      </c>
      <c r="L344" s="16" t="s">
        <v>21</v>
      </c>
      <c r="M344" s="16">
        <v>290</v>
      </c>
    </row>
    <row r="345" ht="15.75" customHeight="1" spans="1:13">
      <c r="A345" s="16" t="s">
        <v>567</v>
      </c>
      <c r="B345" s="16" t="s">
        <v>147</v>
      </c>
      <c r="C345" s="16"/>
      <c r="D345" s="74"/>
      <c r="E345" s="16"/>
      <c r="F345" s="16"/>
      <c r="G345" s="75" t="b">
        <f t="shared" si="0"/>
        <v>0</v>
      </c>
      <c r="H345" s="16" t="b">
        <v>0</v>
      </c>
      <c r="I345" s="16" t="s">
        <v>53</v>
      </c>
      <c r="J345" s="16" t="s">
        <v>54</v>
      </c>
      <c r="K345" s="16" t="s">
        <v>149</v>
      </c>
      <c r="L345" s="16" t="s">
        <v>21</v>
      </c>
      <c r="M345" s="16">
        <v>561</v>
      </c>
    </row>
    <row r="346" ht="15.75" customHeight="1" spans="1:13">
      <c r="A346" s="16" t="s">
        <v>568</v>
      </c>
      <c r="B346" s="16" t="s">
        <v>147</v>
      </c>
      <c r="C346" s="16"/>
      <c r="D346" s="74"/>
      <c r="E346" s="16"/>
      <c r="F346" s="16"/>
      <c r="G346" s="75" t="b">
        <f t="shared" si="0"/>
        <v>0</v>
      </c>
      <c r="H346" s="16" t="b">
        <v>0</v>
      </c>
      <c r="I346" s="16" t="s">
        <v>57</v>
      </c>
      <c r="J346" s="16" t="s">
        <v>58</v>
      </c>
      <c r="K346" s="16" t="s">
        <v>177</v>
      </c>
      <c r="L346" s="16" t="s">
        <v>21</v>
      </c>
      <c r="M346" s="16">
        <v>931</v>
      </c>
    </row>
    <row r="347" ht="15.75" customHeight="1" spans="1:13">
      <c r="A347" s="16" t="s">
        <v>569</v>
      </c>
      <c r="B347" s="16" t="s">
        <v>147</v>
      </c>
      <c r="C347" s="16"/>
      <c r="D347" s="74"/>
      <c r="E347" s="16"/>
      <c r="F347" s="16"/>
      <c r="G347" s="75" t="b">
        <f t="shared" si="0"/>
        <v>0</v>
      </c>
      <c r="H347" s="16" t="b">
        <v>0</v>
      </c>
      <c r="I347" s="16" t="s">
        <v>25</v>
      </c>
      <c r="J347" s="16" t="s">
        <v>26</v>
      </c>
      <c r="K347" s="16" t="s">
        <v>399</v>
      </c>
      <c r="L347" s="16" t="s">
        <v>39</v>
      </c>
      <c r="M347" s="16">
        <v>768</v>
      </c>
    </row>
    <row r="348" ht="15.75" customHeight="1" spans="1:13">
      <c r="A348" s="16" t="s">
        <v>570</v>
      </c>
      <c r="B348" s="16" t="s">
        <v>147</v>
      </c>
      <c r="C348" s="16"/>
      <c r="D348" s="74"/>
      <c r="E348" s="16"/>
      <c r="F348" s="16"/>
      <c r="G348" s="75" t="b">
        <f t="shared" si="0"/>
        <v>0</v>
      </c>
      <c r="H348" s="16" t="b">
        <v>0</v>
      </c>
      <c r="I348" s="16" t="s">
        <v>25</v>
      </c>
      <c r="J348" s="16" t="s">
        <v>26</v>
      </c>
      <c r="K348" s="16" t="s">
        <v>399</v>
      </c>
      <c r="L348" s="16" t="s">
        <v>39</v>
      </c>
      <c r="M348" s="16">
        <v>758</v>
      </c>
    </row>
    <row r="349" ht="15.75" customHeight="1" spans="1:13">
      <c r="A349" s="16" t="s">
        <v>571</v>
      </c>
      <c r="B349" s="16" t="s">
        <v>14</v>
      </c>
      <c r="C349" s="16" t="s">
        <v>190</v>
      </c>
      <c r="D349" s="74"/>
      <c r="E349" s="16" t="s">
        <v>572</v>
      </c>
      <c r="F349" s="16"/>
      <c r="G349" s="75" t="b">
        <f t="shared" si="0"/>
        <v>0</v>
      </c>
      <c r="H349" s="16" t="b">
        <v>0</v>
      </c>
      <c r="I349" s="16" t="s">
        <v>225</v>
      </c>
      <c r="J349" s="16" t="s">
        <v>211</v>
      </c>
      <c r="K349" s="16" t="s">
        <v>573</v>
      </c>
      <c r="L349" s="16" t="s">
        <v>21</v>
      </c>
      <c r="M349" s="16">
        <v>477</v>
      </c>
    </row>
    <row r="350" ht="15.75" customHeight="1" spans="1:13">
      <c r="A350" s="16" t="s">
        <v>384</v>
      </c>
      <c r="B350" s="16" t="s">
        <v>147</v>
      </c>
      <c r="C350" s="16" t="s">
        <v>190</v>
      </c>
      <c r="D350" s="74" t="s">
        <v>383</v>
      </c>
      <c r="E350" s="16"/>
      <c r="F350" s="16"/>
      <c r="G350" s="75" t="b">
        <f t="shared" si="0"/>
        <v>0</v>
      </c>
      <c r="H350" s="16" t="b">
        <v>0</v>
      </c>
      <c r="I350" s="16" t="s">
        <v>207</v>
      </c>
      <c r="J350" s="16" t="s">
        <v>63</v>
      </c>
      <c r="K350" s="16" t="s">
        <v>169</v>
      </c>
      <c r="L350" s="16" t="s">
        <v>21</v>
      </c>
      <c r="M350" s="16">
        <v>307</v>
      </c>
    </row>
    <row r="351" ht="15.75" customHeight="1" spans="1:13">
      <c r="A351" s="16" t="s">
        <v>574</v>
      </c>
      <c r="B351" s="16" t="s">
        <v>147</v>
      </c>
      <c r="C351" s="16"/>
      <c r="D351" s="74"/>
      <c r="E351" s="16"/>
      <c r="F351" s="16"/>
      <c r="G351" s="75" t="b">
        <f t="shared" si="0"/>
        <v>0</v>
      </c>
      <c r="H351" s="16" t="b">
        <v>0</v>
      </c>
      <c r="I351" s="16" t="s">
        <v>575</v>
      </c>
      <c r="J351" s="16" t="s">
        <v>63</v>
      </c>
      <c r="K351" s="16" t="s">
        <v>169</v>
      </c>
      <c r="L351" s="16" t="s">
        <v>21</v>
      </c>
      <c r="M351" s="16">
        <v>501</v>
      </c>
    </row>
    <row r="352" ht="15.75" customHeight="1" spans="1:13">
      <c r="A352" s="16" t="s">
        <v>576</v>
      </c>
      <c r="B352" s="16" t="s">
        <v>147</v>
      </c>
      <c r="C352" s="16" t="s">
        <v>15</v>
      </c>
      <c r="D352" s="74"/>
      <c r="E352" s="16"/>
      <c r="F352" s="16"/>
      <c r="G352" s="75" t="b">
        <f t="shared" si="0"/>
        <v>0</v>
      </c>
      <c r="H352" s="16" t="b">
        <v>0</v>
      </c>
      <c r="I352" s="16" t="s">
        <v>312</v>
      </c>
      <c r="J352" s="16" t="s">
        <v>63</v>
      </c>
      <c r="K352" s="16" t="s">
        <v>169</v>
      </c>
      <c r="L352" s="16" t="s">
        <v>160</v>
      </c>
      <c r="M352" s="16">
        <v>375</v>
      </c>
    </row>
    <row r="353" ht="15.75" customHeight="1" spans="1:13">
      <c r="A353" s="16" t="s">
        <v>577</v>
      </c>
      <c r="B353" s="16" t="s">
        <v>147</v>
      </c>
      <c r="C353" s="16" t="s">
        <v>15</v>
      </c>
      <c r="D353" s="74"/>
      <c r="E353" s="16" t="s">
        <v>578</v>
      </c>
      <c r="F353" s="16"/>
      <c r="G353" s="75" t="b">
        <f t="shared" si="0"/>
        <v>0</v>
      </c>
      <c r="H353" s="16" t="b">
        <v>0</v>
      </c>
      <c r="I353" s="16" t="s">
        <v>225</v>
      </c>
      <c r="J353" s="16" t="s">
        <v>211</v>
      </c>
      <c r="K353" s="16" t="s">
        <v>573</v>
      </c>
      <c r="L353" s="16" t="s">
        <v>21</v>
      </c>
      <c r="M353" s="16">
        <v>242</v>
      </c>
    </row>
    <row r="354" ht="15.75" customHeight="1" spans="1:13">
      <c r="A354" s="16" t="s">
        <v>579</v>
      </c>
      <c r="B354" s="16" t="s">
        <v>147</v>
      </c>
      <c r="C354" s="16" t="s">
        <v>15</v>
      </c>
      <c r="D354" s="74"/>
      <c r="E354" s="16"/>
      <c r="F354" s="16"/>
      <c r="G354" s="75" t="b">
        <f t="shared" si="0"/>
        <v>0</v>
      </c>
      <c r="H354" s="16" t="b">
        <v>0</v>
      </c>
      <c r="I354" s="16" t="s">
        <v>207</v>
      </c>
      <c r="J354" s="16" t="s">
        <v>63</v>
      </c>
      <c r="K354" s="16" t="s">
        <v>169</v>
      </c>
      <c r="L354" s="16" t="s">
        <v>21</v>
      </c>
      <c r="M354" s="16">
        <v>131</v>
      </c>
    </row>
    <row r="355" ht="15.75" customHeight="1" spans="1:13">
      <c r="A355" s="16" t="s">
        <v>580</v>
      </c>
      <c r="B355" s="16" t="s">
        <v>147</v>
      </c>
      <c r="C355" s="16"/>
      <c r="D355" s="74"/>
      <c r="E355" s="16"/>
      <c r="F355" s="16"/>
      <c r="G355" s="75" t="b">
        <f t="shared" si="0"/>
        <v>0</v>
      </c>
      <c r="H355" s="16" t="b">
        <v>0</v>
      </c>
      <c r="I355" s="16" t="s">
        <v>57</v>
      </c>
      <c r="J355" s="16" t="s">
        <v>58</v>
      </c>
      <c r="K355" s="16" t="s">
        <v>59</v>
      </c>
      <c r="L355" s="16" t="s">
        <v>21</v>
      </c>
      <c r="M355" s="16">
        <v>170</v>
      </c>
    </row>
    <row r="356" ht="15.75" customHeight="1" spans="1:13">
      <c r="A356" s="16" t="s">
        <v>581</v>
      </c>
      <c r="B356" s="16" t="s">
        <v>147</v>
      </c>
      <c r="C356" s="16" t="s">
        <v>15</v>
      </c>
      <c r="D356" s="74"/>
      <c r="E356" s="16"/>
      <c r="F356" s="16"/>
      <c r="G356" s="75" t="b">
        <f t="shared" si="0"/>
        <v>0</v>
      </c>
      <c r="H356" s="16" t="b">
        <v>0</v>
      </c>
      <c r="I356" s="16" t="s">
        <v>118</v>
      </c>
      <c r="J356" s="16" t="s">
        <v>19</v>
      </c>
      <c r="K356" s="16" t="s">
        <v>119</v>
      </c>
      <c r="L356" s="16" t="s">
        <v>21</v>
      </c>
      <c r="M356" s="16">
        <v>554</v>
      </c>
    </row>
    <row r="357" ht="15.75" customHeight="1" spans="1:13">
      <c r="A357" s="16" t="s">
        <v>582</v>
      </c>
      <c r="B357" s="16" t="s">
        <v>147</v>
      </c>
      <c r="C357" s="16" t="s">
        <v>15</v>
      </c>
      <c r="D357" s="74"/>
      <c r="E357" s="16"/>
      <c r="F357" s="16"/>
      <c r="G357" s="75" t="b">
        <f t="shared" si="0"/>
        <v>0</v>
      </c>
      <c r="H357" s="16" t="b">
        <v>0</v>
      </c>
      <c r="I357" s="16" t="s">
        <v>92</v>
      </c>
      <c r="J357" s="16" t="s">
        <v>30</v>
      </c>
      <c r="K357" s="16" t="s">
        <v>31</v>
      </c>
      <c r="L357" s="16" t="s">
        <v>21</v>
      </c>
      <c r="M357" s="16">
        <v>700</v>
      </c>
    </row>
    <row r="358" ht="15.75" customHeight="1" spans="1:13">
      <c r="A358" s="16" t="s">
        <v>583</v>
      </c>
      <c r="B358" s="16" t="s">
        <v>23</v>
      </c>
      <c r="C358" s="16"/>
      <c r="D358" s="74"/>
      <c r="E358" s="16" t="s">
        <v>584</v>
      </c>
      <c r="F358" s="16"/>
      <c r="G358" s="75" t="b">
        <f t="shared" si="0"/>
        <v>0</v>
      </c>
      <c r="H358" s="16" t="b">
        <v>0</v>
      </c>
      <c r="I358" s="16" t="s">
        <v>53</v>
      </c>
      <c r="J358" s="16" t="s">
        <v>54</v>
      </c>
      <c r="K358" s="16" t="s">
        <v>55</v>
      </c>
      <c r="L358" s="16" t="s">
        <v>21</v>
      </c>
      <c r="M358" s="16">
        <v>877</v>
      </c>
    </row>
    <row r="359" ht="15.75" customHeight="1" spans="1:13">
      <c r="A359" s="16" t="s">
        <v>585</v>
      </c>
      <c r="B359" s="16" t="s">
        <v>14</v>
      </c>
      <c r="C359" s="16" t="s">
        <v>15</v>
      </c>
      <c r="D359" s="74" t="s">
        <v>586</v>
      </c>
      <c r="E359" s="16" t="s">
        <v>587</v>
      </c>
      <c r="F359" s="16"/>
      <c r="G359" s="75" t="b">
        <f t="shared" si="0"/>
        <v>0</v>
      </c>
      <c r="H359" s="16" t="b">
        <v>0</v>
      </c>
      <c r="I359" s="16" t="s">
        <v>588</v>
      </c>
      <c r="J359" s="16" t="s">
        <v>19</v>
      </c>
      <c r="K359" s="16" t="s">
        <v>589</v>
      </c>
      <c r="L359" s="16" t="s">
        <v>21</v>
      </c>
      <c r="M359" s="16">
        <v>989</v>
      </c>
    </row>
    <row r="360" ht="15.75" customHeight="1" spans="1:13">
      <c r="A360" s="16" t="s">
        <v>590</v>
      </c>
      <c r="B360" s="16" t="s">
        <v>23</v>
      </c>
      <c r="C360" s="16" t="s">
        <v>15</v>
      </c>
      <c r="D360" s="74"/>
      <c r="E360" s="16"/>
      <c r="F360" s="16"/>
      <c r="G360" s="75" t="b">
        <f t="shared" si="0"/>
        <v>0</v>
      </c>
      <c r="H360" s="16" t="b">
        <v>0</v>
      </c>
      <c r="I360" s="16" t="s">
        <v>72</v>
      </c>
      <c r="J360" s="16" t="s">
        <v>63</v>
      </c>
      <c r="K360" s="16" t="s">
        <v>73</v>
      </c>
      <c r="L360" s="16" t="s">
        <v>21</v>
      </c>
      <c r="M360" s="16">
        <v>918</v>
      </c>
    </row>
    <row r="361" ht="15.75" customHeight="1" spans="1:13">
      <c r="A361" s="16" t="s">
        <v>591</v>
      </c>
      <c r="B361" s="16" t="s">
        <v>14</v>
      </c>
      <c r="C361" s="16" t="s">
        <v>15</v>
      </c>
      <c r="D361" s="74" t="s">
        <v>292</v>
      </c>
      <c r="E361" s="16" t="s">
        <v>388</v>
      </c>
      <c r="F361" s="16"/>
      <c r="G361" s="75" t="b">
        <f t="shared" si="0"/>
        <v>0</v>
      </c>
      <c r="H361" s="16" t="b">
        <v>0</v>
      </c>
      <c r="I361" s="16" t="s">
        <v>18</v>
      </c>
      <c r="J361" s="16" t="s">
        <v>38</v>
      </c>
      <c r="K361" s="16"/>
      <c r="L361" s="16" t="s">
        <v>39</v>
      </c>
      <c r="M361" s="16">
        <v>362</v>
      </c>
    </row>
    <row r="362" ht="15.75" customHeight="1" spans="1:13">
      <c r="A362" s="16" t="s">
        <v>592</v>
      </c>
      <c r="B362" s="16" t="s">
        <v>147</v>
      </c>
      <c r="C362" s="16"/>
      <c r="D362" s="74"/>
      <c r="E362" s="16"/>
      <c r="F362" s="16"/>
      <c r="G362" s="75" t="b">
        <f t="shared" si="0"/>
        <v>0</v>
      </c>
      <c r="H362" s="16" t="b">
        <v>0</v>
      </c>
      <c r="I362" s="16" t="s">
        <v>230</v>
      </c>
      <c r="J362" s="16" t="s">
        <v>26</v>
      </c>
      <c r="K362" s="16" t="s">
        <v>68</v>
      </c>
      <c r="L362" s="16" t="s">
        <v>21</v>
      </c>
      <c r="M362" s="16">
        <v>821</v>
      </c>
    </row>
    <row r="363" ht="15.75" customHeight="1" spans="1:13">
      <c r="A363" s="16" t="s">
        <v>593</v>
      </c>
      <c r="B363" s="16" t="s">
        <v>147</v>
      </c>
      <c r="C363" s="16"/>
      <c r="D363" s="74"/>
      <c r="E363" s="16"/>
      <c r="F363" s="16"/>
      <c r="G363" s="75" t="b">
        <f t="shared" si="0"/>
        <v>0</v>
      </c>
      <c r="H363" s="16" t="b">
        <v>0</v>
      </c>
      <c r="I363" s="16" t="s">
        <v>25</v>
      </c>
      <c r="J363" s="16" t="s">
        <v>26</v>
      </c>
      <c r="K363" s="16" t="s">
        <v>159</v>
      </c>
      <c r="L363" s="16" t="s">
        <v>21</v>
      </c>
      <c r="M363" s="16">
        <v>628</v>
      </c>
    </row>
    <row r="364" ht="15.75" customHeight="1" spans="1:13">
      <c r="A364" s="16" t="s">
        <v>594</v>
      </c>
      <c r="B364" s="16" t="s">
        <v>147</v>
      </c>
      <c r="C364" s="16"/>
      <c r="D364" s="74"/>
      <c r="E364" s="16"/>
      <c r="F364" s="16"/>
      <c r="G364" s="75" t="b">
        <f t="shared" si="0"/>
        <v>0</v>
      </c>
      <c r="H364" s="16" t="b">
        <v>0</v>
      </c>
      <c r="I364" s="16" t="s">
        <v>25</v>
      </c>
      <c r="J364" s="16" t="s">
        <v>26</v>
      </c>
      <c r="K364" s="16" t="s">
        <v>50</v>
      </c>
      <c r="L364" s="16" t="s">
        <v>21</v>
      </c>
      <c r="M364" s="16">
        <v>595</v>
      </c>
    </row>
    <row r="365" ht="15.75" customHeight="1" spans="1:13">
      <c r="A365" s="16" t="s">
        <v>595</v>
      </c>
      <c r="B365" s="16" t="s">
        <v>147</v>
      </c>
      <c r="C365" s="16"/>
      <c r="D365" s="74"/>
      <c r="E365" s="16"/>
      <c r="F365" s="16"/>
      <c r="G365" s="75" t="b">
        <f t="shared" si="0"/>
        <v>0</v>
      </c>
      <c r="H365" s="16" t="b">
        <v>0</v>
      </c>
      <c r="I365" s="16" t="s">
        <v>57</v>
      </c>
      <c r="J365" s="16" t="s">
        <v>58</v>
      </c>
      <c r="K365" s="16" t="s">
        <v>177</v>
      </c>
      <c r="L365" s="16" t="s">
        <v>21</v>
      </c>
      <c r="M365" s="16">
        <v>222</v>
      </c>
    </row>
    <row r="366" ht="15.75" customHeight="1" spans="1:13">
      <c r="A366" s="16" t="s">
        <v>596</v>
      </c>
      <c r="B366" s="16" t="s">
        <v>147</v>
      </c>
      <c r="C366" s="16"/>
      <c r="D366" s="74"/>
      <c r="E366" s="16"/>
      <c r="F366" s="16"/>
      <c r="G366" s="75" t="b">
        <f t="shared" si="0"/>
        <v>0</v>
      </c>
      <c r="H366" s="16" t="b">
        <v>0</v>
      </c>
      <c r="I366" s="16" t="s">
        <v>25</v>
      </c>
      <c r="J366" s="16" t="s">
        <v>26</v>
      </c>
      <c r="K366" s="16" t="s">
        <v>50</v>
      </c>
      <c r="L366" s="16" t="s">
        <v>160</v>
      </c>
      <c r="M366" s="16">
        <v>621</v>
      </c>
    </row>
    <row r="367" ht="15.75" customHeight="1" spans="1:13">
      <c r="A367" s="16" t="s">
        <v>597</v>
      </c>
      <c r="B367" s="16" t="s">
        <v>147</v>
      </c>
      <c r="C367" s="16"/>
      <c r="D367" s="74"/>
      <c r="E367" s="16"/>
      <c r="F367" s="16"/>
      <c r="G367" s="75" t="b">
        <f t="shared" si="0"/>
        <v>0</v>
      </c>
      <c r="H367" s="16" t="b">
        <v>0</v>
      </c>
      <c r="I367" s="16" t="s">
        <v>67</v>
      </c>
      <c r="J367" s="16" t="s">
        <v>26</v>
      </c>
      <c r="K367" s="16" t="s">
        <v>68</v>
      </c>
      <c r="L367" s="16" t="s">
        <v>21</v>
      </c>
      <c r="M367" s="16">
        <v>1021</v>
      </c>
    </row>
    <row r="368" ht="15.75" customHeight="1" spans="1:13">
      <c r="A368" s="16" t="s">
        <v>598</v>
      </c>
      <c r="B368" s="16" t="s">
        <v>147</v>
      </c>
      <c r="C368" s="16" t="s">
        <v>15</v>
      </c>
      <c r="D368" s="74"/>
      <c r="E368" s="16" t="s">
        <v>599</v>
      </c>
      <c r="F368" s="16"/>
      <c r="G368" s="75" t="b">
        <f t="shared" si="0"/>
        <v>0</v>
      </c>
      <c r="H368" s="16" t="b">
        <v>0</v>
      </c>
      <c r="I368" s="16" t="s">
        <v>230</v>
      </c>
      <c r="J368" s="16" t="s">
        <v>63</v>
      </c>
      <c r="K368" s="16" t="s">
        <v>169</v>
      </c>
      <c r="L368" s="16" t="s">
        <v>39</v>
      </c>
      <c r="M368" s="16">
        <v>822</v>
      </c>
    </row>
    <row r="369" ht="15.75" customHeight="1" spans="1:13">
      <c r="A369" s="16" t="s">
        <v>600</v>
      </c>
      <c r="B369" s="16" t="s">
        <v>23</v>
      </c>
      <c r="C369" s="16" t="s">
        <v>15</v>
      </c>
      <c r="D369" s="74"/>
      <c r="E369" s="16"/>
      <c r="F369" s="16"/>
      <c r="G369" s="75" t="b">
        <f t="shared" si="0"/>
        <v>0</v>
      </c>
      <c r="H369" s="16" t="b">
        <v>0</v>
      </c>
      <c r="I369" s="16" t="s">
        <v>186</v>
      </c>
      <c r="J369" s="16" t="s">
        <v>187</v>
      </c>
      <c r="K369" s="16" t="s">
        <v>188</v>
      </c>
      <c r="L369" s="16" t="s">
        <v>21</v>
      </c>
      <c r="M369" s="16">
        <v>45</v>
      </c>
    </row>
    <row r="370" ht="15.75" customHeight="1" spans="1:13">
      <c r="A370" s="16" t="s">
        <v>601</v>
      </c>
      <c r="B370" s="16" t="s">
        <v>147</v>
      </c>
      <c r="C370" s="16"/>
      <c r="D370" s="74"/>
      <c r="E370" s="16"/>
      <c r="F370" s="16"/>
      <c r="G370" s="75" t="b">
        <f t="shared" si="0"/>
        <v>0</v>
      </c>
      <c r="H370" s="16" t="b">
        <v>0</v>
      </c>
      <c r="I370" s="16" t="s">
        <v>109</v>
      </c>
      <c r="J370" s="16" t="s">
        <v>58</v>
      </c>
      <c r="K370" s="16" t="s">
        <v>177</v>
      </c>
      <c r="L370" s="16" t="s">
        <v>21</v>
      </c>
      <c r="M370" s="16">
        <v>1025</v>
      </c>
    </row>
    <row r="371" ht="15.75" customHeight="1" spans="1:13">
      <c r="A371" s="16" t="s">
        <v>602</v>
      </c>
      <c r="B371" s="16" t="s">
        <v>147</v>
      </c>
      <c r="C371" s="16"/>
      <c r="D371" s="74"/>
      <c r="E371" s="16"/>
      <c r="F371" s="16"/>
      <c r="G371" s="75" t="b">
        <f t="shared" si="0"/>
        <v>0</v>
      </c>
      <c r="H371" s="16" t="b">
        <v>0</v>
      </c>
      <c r="I371" s="16" t="s">
        <v>25</v>
      </c>
      <c r="J371" s="16" t="s">
        <v>26</v>
      </c>
      <c r="K371" s="16" t="s">
        <v>43</v>
      </c>
      <c r="L371" s="16" t="s">
        <v>160</v>
      </c>
      <c r="M371" s="16">
        <v>652</v>
      </c>
    </row>
    <row r="372" ht="15.75" customHeight="1" spans="1:13">
      <c r="A372" s="16" t="s">
        <v>603</v>
      </c>
      <c r="B372" s="16" t="s">
        <v>147</v>
      </c>
      <c r="C372" s="16" t="s">
        <v>15</v>
      </c>
      <c r="D372" s="74"/>
      <c r="E372" s="16"/>
      <c r="F372" s="16"/>
      <c r="G372" s="75" t="b">
        <f t="shared" si="0"/>
        <v>0</v>
      </c>
      <c r="H372" s="16" t="b">
        <v>0</v>
      </c>
      <c r="I372" s="16" t="s">
        <v>62</v>
      </c>
      <c r="J372" s="16" t="s">
        <v>63</v>
      </c>
      <c r="K372" s="16" t="s">
        <v>64</v>
      </c>
      <c r="L372" s="16" t="s">
        <v>21</v>
      </c>
      <c r="M372" s="16">
        <v>709</v>
      </c>
    </row>
    <row r="373" ht="15.75" customHeight="1" spans="1:13">
      <c r="A373" s="16" t="s">
        <v>604</v>
      </c>
      <c r="B373" s="16" t="s">
        <v>147</v>
      </c>
      <c r="C373" s="16"/>
      <c r="D373" s="74"/>
      <c r="E373" s="16"/>
      <c r="F373" s="16"/>
      <c r="G373" s="75" t="b">
        <f t="shared" si="0"/>
        <v>0</v>
      </c>
      <c r="H373" s="16" t="b">
        <v>0</v>
      </c>
      <c r="I373" s="16" t="s">
        <v>25</v>
      </c>
      <c r="J373" s="16" t="s">
        <v>26</v>
      </c>
      <c r="K373" s="16" t="s">
        <v>43</v>
      </c>
      <c r="L373" s="16" t="s">
        <v>160</v>
      </c>
      <c r="M373" s="16">
        <v>660</v>
      </c>
    </row>
    <row r="374" ht="15.75" customHeight="1" spans="1:13">
      <c r="A374" s="16" t="s">
        <v>605</v>
      </c>
      <c r="B374" s="16" t="s">
        <v>147</v>
      </c>
      <c r="C374" s="16" t="s">
        <v>15</v>
      </c>
      <c r="D374" s="74"/>
      <c r="E374" s="16"/>
      <c r="F374" s="16"/>
      <c r="G374" s="75" t="b">
        <f t="shared" si="0"/>
        <v>0</v>
      </c>
      <c r="H374" s="16" t="b">
        <v>0</v>
      </c>
      <c r="I374" s="16" t="s">
        <v>29</v>
      </c>
      <c r="J374" s="16" t="s">
        <v>63</v>
      </c>
      <c r="K374" s="16" t="s">
        <v>93</v>
      </c>
      <c r="L374" s="16" t="s">
        <v>21</v>
      </c>
      <c r="M374" s="16">
        <v>253</v>
      </c>
    </row>
    <row r="375" ht="15.75" customHeight="1" spans="1:13">
      <c r="A375" s="16" t="s">
        <v>606</v>
      </c>
      <c r="B375" s="16" t="s">
        <v>147</v>
      </c>
      <c r="C375" s="16"/>
      <c r="D375" s="74"/>
      <c r="E375" s="16"/>
      <c r="F375" s="16"/>
      <c r="G375" s="75" t="b">
        <f t="shared" si="0"/>
        <v>0</v>
      </c>
      <c r="H375" s="16" t="b">
        <v>0</v>
      </c>
      <c r="I375" s="16" t="s">
        <v>67</v>
      </c>
      <c r="J375" s="16" t="s">
        <v>26</v>
      </c>
      <c r="K375" s="16" t="s">
        <v>68</v>
      </c>
      <c r="L375" s="16" t="s">
        <v>21</v>
      </c>
      <c r="M375" s="16">
        <v>1044</v>
      </c>
    </row>
    <row r="376" ht="15.75" customHeight="1" spans="1:13">
      <c r="A376" s="16" t="s">
        <v>607</v>
      </c>
      <c r="B376" s="16" t="s">
        <v>147</v>
      </c>
      <c r="C376" s="16"/>
      <c r="D376" s="74"/>
      <c r="E376" s="16"/>
      <c r="F376" s="16"/>
      <c r="G376" s="75" t="b">
        <f t="shared" si="0"/>
        <v>0</v>
      </c>
      <c r="H376" s="16" t="b">
        <v>0</v>
      </c>
      <c r="I376" s="16" t="s">
        <v>25</v>
      </c>
      <c r="J376" s="16" t="s">
        <v>26</v>
      </c>
      <c r="K376" s="16" t="s">
        <v>399</v>
      </c>
      <c r="L376" s="16" t="s">
        <v>39</v>
      </c>
      <c r="M376" s="16">
        <v>753</v>
      </c>
    </row>
    <row r="377" ht="15.75" customHeight="1" spans="1:13">
      <c r="A377" s="16" t="s">
        <v>608</v>
      </c>
      <c r="B377" s="16" t="s">
        <v>23</v>
      </c>
      <c r="C377" s="16" t="s">
        <v>15</v>
      </c>
      <c r="D377" s="74"/>
      <c r="E377" s="16" t="s">
        <v>609</v>
      </c>
      <c r="F377" s="16"/>
      <c r="G377" s="75" t="b">
        <f t="shared" si="0"/>
        <v>0</v>
      </c>
      <c r="H377" s="16" t="b">
        <v>0</v>
      </c>
      <c r="I377" s="16" t="s">
        <v>62</v>
      </c>
      <c r="J377" s="16" t="s">
        <v>63</v>
      </c>
      <c r="K377" s="16" t="s">
        <v>64</v>
      </c>
      <c r="L377" s="16" t="s">
        <v>160</v>
      </c>
      <c r="M377" s="16">
        <v>531</v>
      </c>
    </row>
    <row r="378" ht="15.75" customHeight="1" spans="1:13">
      <c r="A378" s="16" t="s">
        <v>610</v>
      </c>
      <c r="B378" s="16" t="s">
        <v>147</v>
      </c>
      <c r="C378" s="16" t="s">
        <v>190</v>
      </c>
      <c r="D378" s="74"/>
      <c r="E378" s="16" t="s">
        <v>526</v>
      </c>
      <c r="F378" s="16"/>
      <c r="G378" s="75" t="b">
        <f t="shared" si="0"/>
        <v>0</v>
      </c>
      <c r="H378" s="16" t="b">
        <v>0</v>
      </c>
      <c r="I378" s="16" t="s">
        <v>207</v>
      </c>
      <c r="J378" s="16" t="s">
        <v>30</v>
      </c>
      <c r="K378" s="16" t="s">
        <v>31</v>
      </c>
      <c r="L378" s="16" t="s">
        <v>21</v>
      </c>
      <c r="M378" s="16">
        <v>688</v>
      </c>
    </row>
    <row r="379" ht="15.75" customHeight="1" spans="1:13">
      <c r="A379" s="16" t="s">
        <v>611</v>
      </c>
      <c r="B379" s="16" t="s">
        <v>147</v>
      </c>
      <c r="C379" s="16" t="s">
        <v>15</v>
      </c>
      <c r="D379" s="74"/>
      <c r="E379" s="16"/>
      <c r="F379" s="16"/>
      <c r="G379" s="75" t="b">
        <f t="shared" si="0"/>
        <v>0</v>
      </c>
      <c r="H379" s="16" t="b">
        <v>0</v>
      </c>
      <c r="I379" s="16" t="s">
        <v>144</v>
      </c>
      <c r="J379" s="16" t="s">
        <v>63</v>
      </c>
      <c r="K379" s="16" t="s">
        <v>169</v>
      </c>
      <c r="L379" s="16" t="s">
        <v>21</v>
      </c>
      <c r="M379" s="16">
        <v>275</v>
      </c>
    </row>
    <row r="380" ht="15.75" customHeight="1" spans="1:13">
      <c r="A380" s="16" t="s">
        <v>612</v>
      </c>
      <c r="B380" s="16" t="s">
        <v>147</v>
      </c>
      <c r="C380" s="16"/>
      <c r="D380" s="74"/>
      <c r="E380" s="16"/>
      <c r="F380" s="16"/>
      <c r="G380" s="75" t="b">
        <f t="shared" si="0"/>
        <v>0</v>
      </c>
      <c r="H380" s="16" t="b">
        <v>0</v>
      </c>
      <c r="I380" s="16" t="s">
        <v>131</v>
      </c>
      <c r="J380" s="16" t="s">
        <v>132</v>
      </c>
      <c r="K380" s="16" t="s">
        <v>544</v>
      </c>
      <c r="L380" s="16" t="s">
        <v>21</v>
      </c>
      <c r="M380" s="16">
        <v>847</v>
      </c>
    </row>
    <row r="381" ht="15.75" customHeight="1" spans="1:13">
      <c r="A381" s="16" t="s">
        <v>613</v>
      </c>
      <c r="B381" s="16" t="s">
        <v>147</v>
      </c>
      <c r="C381" s="16"/>
      <c r="D381" s="74"/>
      <c r="E381" s="16"/>
      <c r="F381" s="16"/>
      <c r="G381" s="75" t="b">
        <f t="shared" si="0"/>
        <v>0</v>
      </c>
      <c r="H381" s="16" t="b">
        <v>0</v>
      </c>
      <c r="I381" s="16" t="s">
        <v>109</v>
      </c>
      <c r="J381" s="16" t="s">
        <v>58</v>
      </c>
      <c r="K381" s="16" t="s">
        <v>177</v>
      </c>
      <c r="L381" s="16" t="s">
        <v>21</v>
      </c>
      <c r="M381" s="16">
        <v>450</v>
      </c>
    </row>
    <row r="382" ht="15.75" customHeight="1" spans="1:13">
      <c r="A382" s="16" t="s">
        <v>614</v>
      </c>
      <c r="B382" s="16" t="s">
        <v>147</v>
      </c>
      <c r="C382" s="16"/>
      <c r="D382" s="74"/>
      <c r="E382" s="16"/>
      <c r="F382" s="16"/>
      <c r="G382" s="75" t="b">
        <f t="shared" si="0"/>
        <v>0</v>
      </c>
      <c r="H382" s="16" t="b">
        <v>0</v>
      </c>
      <c r="I382" s="16" t="s">
        <v>131</v>
      </c>
      <c r="J382" s="16" t="s">
        <v>132</v>
      </c>
      <c r="K382" s="16" t="s">
        <v>544</v>
      </c>
      <c r="L382" s="16" t="s">
        <v>21</v>
      </c>
      <c r="M382" s="16">
        <v>53</v>
      </c>
    </row>
    <row r="383" ht="15.75" customHeight="1" spans="1:13">
      <c r="A383" s="16" t="s">
        <v>615</v>
      </c>
      <c r="B383" s="16" t="s">
        <v>147</v>
      </c>
      <c r="C383" s="16" t="s">
        <v>15</v>
      </c>
      <c r="D383" s="74"/>
      <c r="E383" s="16"/>
      <c r="F383" s="16"/>
      <c r="G383" s="75" t="b">
        <f t="shared" si="0"/>
        <v>0</v>
      </c>
      <c r="H383" s="16" t="b">
        <v>0</v>
      </c>
      <c r="I383" s="16" t="s">
        <v>319</v>
      </c>
      <c r="J383" s="16" t="s">
        <v>126</v>
      </c>
      <c r="K383" s="16" t="s">
        <v>127</v>
      </c>
      <c r="L383" s="16" t="s">
        <v>21</v>
      </c>
      <c r="M383" s="16">
        <v>5</v>
      </c>
    </row>
    <row r="384" ht="15.75" customHeight="1" spans="1:13">
      <c r="A384" s="16" t="s">
        <v>616</v>
      </c>
      <c r="B384" s="16" t="s">
        <v>147</v>
      </c>
      <c r="C384" s="16" t="s">
        <v>190</v>
      </c>
      <c r="D384" s="74"/>
      <c r="E384" s="16" t="s">
        <v>617</v>
      </c>
      <c r="F384" s="16"/>
      <c r="G384" s="75" t="b">
        <f t="shared" si="0"/>
        <v>0</v>
      </c>
      <c r="H384" s="16" t="b">
        <v>0</v>
      </c>
      <c r="I384" s="16" t="s">
        <v>92</v>
      </c>
      <c r="J384" s="16" t="s">
        <v>30</v>
      </c>
      <c r="K384" s="16" t="s">
        <v>31</v>
      </c>
      <c r="L384" s="16" t="s">
        <v>21</v>
      </c>
      <c r="M384" s="16">
        <v>703</v>
      </c>
    </row>
    <row r="385" ht="15.75" customHeight="1" spans="1:13">
      <c r="A385" s="16" t="s">
        <v>618</v>
      </c>
      <c r="B385" s="16" t="s">
        <v>147</v>
      </c>
      <c r="C385" s="16" t="s">
        <v>190</v>
      </c>
      <c r="D385" s="74"/>
      <c r="E385" s="16" t="s">
        <v>619</v>
      </c>
      <c r="F385" s="16"/>
      <c r="G385" s="75" t="b">
        <f t="shared" si="0"/>
        <v>0</v>
      </c>
      <c r="H385" s="16" t="b">
        <v>0</v>
      </c>
      <c r="I385" s="16" t="s">
        <v>106</v>
      </c>
      <c r="J385" s="16" t="s">
        <v>30</v>
      </c>
      <c r="K385" s="16" t="s">
        <v>31</v>
      </c>
      <c r="L385" s="16" t="s">
        <v>21</v>
      </c>
      <c r="M385" s="16">
        <v>77</v>
      </c>
    </row>
    <row r="386" ht="15.75" customHeight="1" spans="1:13">
      <c r="A386" s="16" t="s">
        <v>620</v>
      </c>
      <c r="B386" s="16" t="s">
        <v>147</v>
      </c>
      <c r="C386" s="16"/>
      <c r="D386" s="74"/>
      <c r="E386" s="16"/>
      <c r="F386" s="16"/>
      <c r="G386" s="75" t="b">
        <f t="shared" si="0"/>
        <v>0</v>
      </c>
      <c r="H386" s="16" t="b">
        <v>0</v>
      </c>
      <c r="I386" s="16" t="s">
        <v>312</v>
      </c>
      <c r="J386" s="16" t="s">
        <v>621</v>
      </c>
      <c r="K386" s="16"/>
      <c r="L386" s="16" t="s">
        <v>21</v>
      </c>
      <c r="M386" s="16">
        <v>724</v>
      </c>
    </row>
    <row r="387" ht="15.75" customHeight="1" spans="1:13">
      <c r="A387" s="16" t="s">
        <v>622</v>
      </c>
      <c r="B387" s="16" t="s">
        <v>147</v>
      </c>
      <c r="C387" s="16"/>
      <c r="D387" s="74"/>
      <c r="E387" s="16"/>
      <c r="F387" s="16"/>
      <c r="G387" s="75" t="b">
        <f t="shared" si="0"/>
        <v>0</v>
      </c>
      <c r="H387" s="16" t="b">
        <v>0</v>
      </c>
      <c r="I387" s="16" t="s">
        <v>53</v>
      </c>
      <c r="J387" s="16" t="s">
        <v>54</v>
      </c>
      <c r="K387" s="16" t="s">
        <v>198</v>
      </c>
      <c r="L387" s="16" t="s">
        <v>21</v>
      </c>
      <c r="M387" s="16">
        <v>507</v>
      </c>
    </row>
    <row r="388" ht="15.75" customHeight="1" spans="1:13">
      <c r="A388" s="16" t="s">
        <v>623</v>
      </c>
      <c r="B388" s="16" t="s">
        <v>147</v>
      </c>
      <c r="C388" s="16" t="s">
        <v>15</v>
      </c>
      <c r="D388" s="74"/>
      <c r="E388" s="16"/>
      <c r="F388" s="16"/>
      <c r="G388" s="75" t="b">
        <f t="shared" si="0"/>
        <v>0</v>
      </c>
      <c r="H388" s="16" t="b">
        <v>0</v>
      </c>
      <c r="I388" s="16" t="s">
        <v>207</v>
      </c>
      <c r="J388" s="16" t="s">
        <v>63</v>
      </c>
      <c r="K388" s="16" t="s">
        <v>169</v>
      </c>
      <c r="L388" s="16" t="s">
        <v>21</v>
      </c>
      <c r="M388" s="16">
        <v>690</v>
      </c>
    </row>
    <row r="389" ht="15.75" customHeight="1" spans="1:13">
      <c r="A389" s="16" t="s">
        <v>624</v>
      </c>
      <c r="B389" s="16" t="s">
        <v>147</v>
      </c>
      <c r="C389" s="16" t="s">
        <v>15</v>
      </c>
      <c r="D389" s="74"/>
      <c r="E389" s="16"/>
      <c r="F389" s="16"/>
      <c r="G389" s="75" t="b">
        <f t="shared" si="0"/>
        <v>0</v>
      </c>
      <c r="H389" s="16" t="b">
        <v>0</v>
      </c>
      <c r="I389" s="16" t="s">
        <v>186</v>
      </c>
      <c r="J389" s="16" t="s">
        <v>187</v>
      </c>
      <c r="K389" s="16" t="s">
        <v>625</v>
      </c>
      <c r="L389" s="16" t="s">
        <v>21</v>
      </c>
      <c r="M389" s="16">
        <v>113</v>
      </c>
    </row>
    <row r="390" ht="15.75" customHeight="1" spans="1:13">
      <c r="A390" s="16" t="s">
        <v>626</v>
      </c>
      <c r="B390" s="16" t="s">
        <v>147</v>
      </c>
      <c r="C390" s="16"/>
      <c r="D390" s="74"/>
      <c r="E390" s="16"/>
      <c r="F390" s="16"/>
      <c r="G390" s="75" t="b">
        <f t="shared" si="0"/>
        <v>0</v>
      </c>
      <c r="H390" s="16" t="b">
        <v>0</v>
      </c>
      <c r="I390" s="16" t="s">
        <v>627</v>
      </c>
      <c r="J390" s="16" t="s">
        <v>58</v>
      </c>
      <c r="K390" s="16" t="s">
        <v>177</v>
      </c>
      <c r="L390" s="16" t="s">
        <v>21</v>
      </c>
      <c r="M390" s="16">
        <v>202</v>
      </c>
    </row>
    <row r="391" ht="15.75" customHeight="1" spans="1:13">
      <c r="A391" s="16" t="s">
        <v>628</v>
      </c>
      <c r="B391" s="16" t="s">
        <v>147</v>
      </c>
      <c r="C391" s="16"/>
      <c r="D391" s="74"/>
      <c r="E391" s="16"/>
      <c r="F391" s="16"/>
      <c r="G391" s="75" t="b">
        <f t="shared" si="0"/>
        <v>0</v>
      </c>
      <c r="H391" s="16" t="b">
        <v>0</v>
      </c>
      <c r="I391" s="16" t="s">
        <v>25</v>
      </c>
      <c r="J391" s="16" t="s">
        <v>26</v>
      </c>
      <c r="K391" s="16" t="s">
        <v>399</v>
      </c>
      <c r="L391" s="16" t="s">
        <v>39</v>
      </c>
      <c r="M391" s="16">
        <v>623</v>
      </c>
    </row>
    <row r="392" ht="15.75" customHeight="1" spans="1:13">
      <c r="A392" s="16" t="s">
        <v>629</v>
      </c>
      <c r="B392" s="16" t="s">
        <v>23</v>
      </c>
      <c r="C392" s="16" t="s">
        <v>15</v>
      </c>
      <c r="D392" s="74"/>
      <c r="E392" s="16" t="s">
        <v>630</v>
      </c>
      <c r="F392" s="16"/>
      <c r="G392" s="75" t="b">
        <f t="shared" si="0"/>
        <v>0</v>
      </c>
      <c r="H392" s="16" t="b">
        <v>0</v>
      </c>
      <c r="I392" s="16" t="s">
        <v>278</v>
      </c>
      <c r="J392" s="16" t="s">
        <v>19</v>
      </c>
      <c r="K392" s="16" t="s">
        <v>20</v>
      </c>
      <c r="L392" s="16" t="s">
        <v>21</v>
      </c>
      <c r="M392" s="16">
        <v>122</v>
      </c>
    </row>
    <row r="393" ht="15.75" customHeight="1" spans="1:13">
      <c r="A393" s="16" t="s">
        <v>631</v>
      </c>
      <c r="B393" s="16" t="s">
        <v>23</v>
      </c>
      <c r="C393" s="16" t="s">
        <v>15</v>
      </c>
      <c r="D393" s="74"/>
      <c r="E393" s="16" t="s">
        <v>632</v>
      </c>
      <c r="F393" s="16"/>
      <c r="G393" s="75" t="b">
        <f t="shared" si="0"/>
        <v>0</v>
      </c>
      <c r="H393" s="16" t="b">
        <v>0</v>
      </c>
      <c r="I393" s="16" t="s">
        <v>67</v>
      </c>
      <c r="J393" s="16" t="s">
        <v>19</v>
      </c>
      <c r="K393" s="16" t="s">
        <v>119</v>
      </c>
      <c r="L393" s="16" t="s">
        <v>21</v>
      </c>
      <c r="M393" s="16">
        <v>1027</v>
      </c>
    </row>
    <row r="394" ht="15.75" customHeight="1" spans="1:13">
      <c r="A394" s="16" t="s">
        <v>633</v>
      </c>
      <c r="B394" s="16" t="s">
        <v>147</v>
      </c>
      <c r="C394" s="16"/>
      <c r="D394" s="74"/>
      <c r="E394" s="16"/>
      <c r="F394" s="16"/>
      <c r="G394" s="75" t="b">
        <f t="shared" si="0"/>
        <v>0</v>
      </c>
      <c r="H394" s="16" t="b">
        <v>0</v>
      </c>
      <c r="I394" s="16" t="s">
        <v>25</v>
      </c>
      <c r="J394" s="16" t="s">
        <v>26</v>
      </c>
      <c r="K394" s="16" t="s">
        <v>27</v>
      </c>
      <c r="L394" s="16" t="s">
        <v>39</v>
      </c>
      <c r="M394" s="16">
        <v>114</v>
      </c>
    </row>
    <row r="395" ht="15.75" customHeight="1" spans="1:13">
      <c r="A395" s="16" t="s">
        <v>634</v>
      </c>
      <c r="B395" s="16" t="s">
        <v>147</v>
      </c>
      <c r="C395" s="16"/>
      <c r="D395" s="74"/>
      <c r="E395" s="16"/>
      <c r="F395" s="16"/>
      <c r="G395" s="75" t="b">
        <f t="shared" si="0"/>
        <v>0</v>
      </c>
      <c r="H395" s="16" t="b">
        <v>0</v>
      </c>
      <c r="I395" s="16" t="s">
        <v>25</v>
      </c>
      <c r="J395" s="16" t="s">
        <v>26</v>
      </c>
      <c r="K395" s="16" t="s">
        <v>399</v>
      </c>
      <c r="L395" s="16" t="s">
        <v>39</v>
      </c>
      <c r="M395" s="16">
        <v>747</v>
      </c>
    </row>
    <row r="396" ht="15.75" customHeight="1" spans="1:13">
      <c r="A396" s="16" t="s">
        <v>635</v>
      </c>
      <c r="B396" s="16" t="s">
        <v>147</v>
      </c>
      <c r="C396" s="16"/>
      <c r="D396" s="74"/>
      <c r="E396" s="16" t="s">
        <v>636</v>
      </c>
      <c r="F396" s="16"/>
      <c r="G396" s="75" t="b">
        <f t="shared" si="0"/>
        <v>0</v>
      </c>
      <c r="H396" s="16" t="b">
        <v>0</v>
      </c>
      <c r="I396" s="16" t="s">
        <v>25</v>
      </c>
      <c r="J396" s="16" t="s">
        <v>26</v>
      </c>
      <c r="K396" s="16" t="s">
        <v>27</v>
      </c>
      <c r="L396" s="16" t="s">
        <v>39</v>
      </c>
      <c r="M396" s="16">
        <v>96</v>
      </c>
    </row>
    <row r="397" ht="15.75" customHeight="1" spans="1:13">
      <c r="A397" s="16" t="s">
        <v>637</v>
      </c>
      <c r="B397" s="16" t="s">
        <v>147</v>
      </c>
      <c r="C397" s="16"/>
      <c r="D397" s="74"/>
      <c r="E397" s="16" t="s">
        <v>638</v>
      </c>
      <c r="F397" s="16"/>
      <c r="G397" s="75" t="b">
        <f t="shared" si="0"/>
        <v>0</v>
      </c>
      <c r="H397" s="16" t="b">
        <v>0</v>
      </c>
      <c r="I397" s="16" t="s">
        <v>210</v>
      </c>
      <c r="J397" s="16" t="s">
        <v>211</v>
      </c>
      <c r="K397" s="16" t="s">
        <v>212</v>
      </c>
      <c r="L397" s="16" t="s">
        <v>39</v>
      </c>
      <c r="M397" s="16">
        <v>193</v>
      </c>
    </row>
    <row r="398" ht="15.75" customHeight="1" spans="1:13">
      <c r="A398" s="16" t="s">
        <v>639</v>
      </c>
      <c r="B398" s="16" t="s">
        <v>147</v>
      </c>
      <c r="C398" s="16"/>
      <c r="D398" s="74"/>
      <c r="E398" s="16"/>
      <c r="F398" s="16"/>
      <c r="G398" s="75" t="b">
        <f t="shared" si="0"/>
        <v>0</v>
      </c>
      <c r="H398" s="16" t="b">
        <v>0</v>
      </c>
      <c r="I398" s="16" t="s">
        <v>25</v>
      </c>
      <c r="J398" s="16" t="s">
        <v>26</v>
      </c>
      <c r="K398" s="16" t="s">
        <v>43</v>
      </c>
      <c r="L398" s="16" t="s">
        <v>39</v>
      </c>
      <c r="M398" s="16">
        <v>219</v>
      </c>
    </row>
    <row r="399" ht="15.75" customHeight="1" spans="1:13">
      <c r="A399" s="16" t="s">
        <v>640</v>
      </c>
      <c r="B399" s="16" t="s">
        <v>147</v>
      </c>
      <c r="C399" s="16" t="s">
        <v>15</v>
      </c>
      <c r="D399" s="74"/>
      <c r="E399" s="16" t="s">
        <v>641</v>
      </c>
      <c r="F399" s="16"/>
      <c r="G399" s="75" t="b">
        <f t="shared" si="0"/>
        <v>0</v>
      </c>
      <c r="H399" s="16" t="b">
        <v>0</v>
      </c>
      <c r="I399" s="16" t="s">
        <v>62</v>
      </c>
      <c r="J399" s="16" t="s">
        <v>126</v>
      </c>
      <c r="K399" s="16" t="s">
        <v>142</v>
      </c>
      <c r="L399" s="16" t="s">
        <v>21</v>
      </c>
      <c r="M399" s="16">
        <v>308</v>
      </c>
    </row>
    <row r="400" ht="15.75" customHeight="1" spans="1:13">
      <c r="A400" s="16" t="s">
        <v>642</v>
      </c>
      <c r="B400" s="16" t="s">
        <v>23</v>
      </c>
      <c r="C400" s="16" t="s">
        <v>15</v>
      </c>
      <c r="D400" s="74"/>
      <c r="E400" s="16" t="s">
        <v>643</v>
      </c>
      <c r="F400" s="16"/>
      <c r="G400" s="75" t="b">
        <f t="shared" si="0"/>
        <v>0</v>
      </c>
      <c r="H400" s="16" t="b">
        <v>0</v>
      </c>
      <c r="I400" s="16" t="s">
        <v>18</v>
      </c>
      <c r="J400" s="16" t="s">
        <v>38</v>
      </c>
      <c r="K400" s="16"/>
      <c r="L400" s="16" t="s">
        <v>39</v>
      </c>
      <c r="M400" s="16">
        <v>213</v>
      </c>
    </row>
    <row r="401" ht="15.75" customHeight="1" spans="1:13">
      <c r="A401" s="16" t="s">
        <v>644</v>
      </c>
      <c r="B401" s="16" t="s">
        <v>147</v>
      </c>
      <c r="C401" s="16" t="s">
        <v>15</v>
      </c>
      <c r="D401" s="74"/>
      <c r="E401" s="16"/>
      <c r="F401" s="16"/>
      <c r="G401" s="75" t="b">
        <f t="shared" si="0"/>
        <v>0</v>
      </c>
      <c r="H401" s="16" t="b">
        <v>0</v>
      </c>
      <c r="I401" s="16" t="s">
        <v>92</v>
      </c>
      <c r="J401" s="16" t="s">
        <v>63</v>
      </c>
      <c r="K401" s="16" t="s">
        <v>93</v>
      </c>
      <c r="L401" s="16" t="s">
        <v>21</v>
      </c>
      <c r="M401" s="16">
        <v>920</v>
      </c>
    </row>
    <row r="402" ht="15.75" customHeight="1" spans="1:13">
      <c r="A402" s="16" t="s">
        <v>645</v>
      </c>
      <c r="B402" s="16" t="s">
        <v>14</v>
      </c>
      <c r="C402" s="16"/>
      <c r="D402" s="74"/>
      <c r="E402" s="16" t="s">
        <v>646</v>
      </c>
      <c r="F402" s="16"/>
      <c r="G402" s="75" t="b">
        <f t="shared" si="0"/>
        <v>0</v>
      </c>
      <c r="H402" s="16" t="b">
        <v>0</v>
      </c>
      <c r="I402" s="16" t="s">
        <v>358</v>
      </c>
      <c r="J402" s="16" t="s">
        <v>647</v>
      </c>
      <c r="K402" s="16" t="s">
        <v>648</v>
      </c>
      <c r="L402" s="16" t="s">
        <v>39</v>
      </c>
      <c r="M402" s="16">
        <v>293</v>
      </c>
    </row>
    <row r="403" ht="15.75" customHeight="1" spans="1:13">
      <c r="A403" s="16" t="s">
        <v>649</v>
      </c>
      <c r="B403" s="16" t="s">
        <v>147</v>
      </c>
      <c r="C403" s="16"/>
      <c r="D403" s="74"/>
      <c r="E403" s="16"/>
      <c r="F403" s="16"/>
      <c r="G403" s="75" t="b">
        <f t="shared" si="0"/>
        <v>0</v>
      </c>
      <c r="H403" s="16" t="b">
        <v>0</v>
      </c>
      <c r="I403" s="16" t="s">
        <v>25</v>
      </c>
      <c r="J403" s="16" t="s">
        <v>26</v>
      </c>
      <c r="K403" s="16" t="s">
        <v>399</v>
      </c>
      <c r="L403" s="16" t="s">
        <v>39</v>
      </c>
      <c r="M403" s="16">
        <v>749</v>
      </c>
    </row>
    <row r="404" ht="15.75" customHeight="1" spans="1:13">
      <c r="A404" s="16" t="s">
        <v>650</v>
      </c>
      <c r="B404" s="16" t="s">
        <v>14</v>
      </c>
      <c r="C404" s="16" t="s">
        <v>15</v>
      </c>
      <c r="D404" s="74"/>
      <c r="E404" s="16" t="s">
        <v>651</v>
      </c>
      <c r="F404" s="16"/>
      <c r="G404" s="75" t="b">
        <f t="shared" si="0"/>
        <v>0</v>
      </c>
      <c r="H404" s="16" t="b">
        <v>0</v>
      </c>
      <c r="I404" s="16" t="s">
        <v>82</v>
      </c>
      <c r="J404" s="16" t="s">
        <v>83</v>
      </c>
      <c r="K404" s="16" t="s">
        <v>84</v>
      </c>
      <c r="L404" s="16" t="s">
        <v>21</v>
      </c>
      <c r="M404" s="16">
        <v>335</v>
      </c>
    </row>
    <row r="405" ht="15.75" customHeight="1" spans="1:13">
      <c r="A405" s="16" t="s">
        <v>652</v>
      </c>
      <c r="B405" s="16" t="s">
        <v>147</v>
      </c>
      <c r="C405" s="16"/>
      <c r="D405" s="74"/>
      <c r="E405" s="16"/>
      <c r="F405" s="16"/>
      <c r="G405" s="75" t="b">
        <f t="shared" si="0"/>
        <v>0</v>
      </c>
      <c r="H405" s="16" t="b">
        <v>0</v>
      </c>
      <c r="I405" s="16" t="s">
        <v>25</v>
      </c>
      <c r="J405" s="16" t="s">
        <v>26</v>
      </c>
      <c r="K405" s="16" t="s">
        <v>43</v>
      </c>
      <c r="L405" s="16" t="s">
        <v>160</v>
      </c>
      <c r="M405" s="16">
        <v>664</v>
      </c>
    </row>
    <row r="406" ht="15.75" customHeight="1" spans="1:13">
      <c r="A406" s="16" t="s">
        <v>653</v>
      </c>
      <c r="B406" s="16" t="s">
        <v>147</v>
      </c>
      <c r="C406" s="16"/>
      <c r="D406" s="74"/>
      <c r="E406" s="16"/>
      <c r="F406" s="16"/>
      <c r="G406" s="75" t="b">
        <f t="shared" si="0"/>
        <v>0</v>
      </c>
      <c r="H406" s="16" t="b">
        <v>0</v>
      </c>
      <c r="I406" s="16" t="s">
        <v>173</v>
      </c>
      <c r="J406" s="16" t="s">
        <v>54</v>
      </c>
      <c r="K406" s="16" t="s">
        <v>75</v>
      </c>
      <c r="L406" s="16" t="s">
        <v>21</v>
      </c>
      <c r="M406" s="16">
        <v>934</v>
      </c>
    </row>
    <row r="407" ht="15.75" customHeight="1" spans="1:13">
      <c r="A407" s="16" t="s">
        <v>654</v>
      </c>
      <c r="B407" s="16" t="s">
        <v>147</v>
      </c>
      <c r="C407" s="16" t="s">
        <v>15</v>
      </c>
      <c r="D407" s="74"/>
      <c r="E407" s="16"/>
      <c r="F407" s="16"/>
      <c r="G407" s="75" t="b">
        <f t="shared" si="0"/>
        <v>0</v>
      </c>
      <c r="H407" s="16" t="b">
        <v>0</v>
      </c>
      <c r="I407" s="16" t="s">
        <v>62</v>
      </c>
      <c r="J407" s="16" t="s">
        <v>63</v>
      </c>
      <c r="K407" s="16" t="s">
        <v>64</v>
      </c>
      <c r="L407" s="16" t="s">
        <v>21</v>
      </c>
      <c r="M407" s="16">
        <v>943</v>
      </c>
    </row>
    <row r="408" ht="15.75" customHeight="1" spans="1:13">
      <c r="A408" s="16" t="s">
        <v>655</v>
      </c>
      <c r="B408" s="16" t="s">
        <v>147</v>
      </c>
      <c r="C408" s="16" t="s">
        <v>15</v>
      </c>
      <c r="D408" s="74"/>
      <c r="E408" s="16"/>
      <c r="F408" s="16"/>
      <c r="G408" s="75" t="b">
        <f t="shared" si="0"/>
        <v>0</v>
      </c>
      <c r="H408" s="16" t="b">
        <v>0</v>
      </c>
      <c r="I408" s="16" t="s">
        <v>230</v>
      </c>
      <c r="J408" s="16" t="s">
        <v>63</v>
      </c>
      <c r="K408" s="16" t="s">
        <v>93</v>
      </c>
      <c r="L408" s="16" t="s">
        <v>160</v>
      </c>
      <c r="M408" s="16">
        <v>714</v>
      </c>
    </row>
    <row r="409" ht="15.75" customHeight="1" spans="1:13">
      <c r="A409" s="16" t="s">
        <v>656</v>
      </c>
      <c r="B409" s="16" t="s">
        <v>147</v>
      </c>
      <c r="C409" s="16"/>
      <c r="D409" s="74"/>
      <c r="E409" s="16"/>
      <c r="F409" s="16"/>
      <c r="G409" s="75" t="b">
        <f t="shared" si="0"/>
        <v>0</v>
      </c>
      <c r="H409" s="16" t="b">
        <v>0</v>
      </c>
      <c r="I409" s="16" t="s">
        <v>53</v>
      </c>
      <c r="J409" s="16" t="s">
        <v>54</v>
      </c>
      <c r="K409" s="16" t="s">
        <v>75</v>
      </c>
      <c r="L409" s="16" t="s">
        <v>21</v>
      </c>
      <c r="M409" s="16">
        <v>326</v>
      </c>
    </row>
    <row r="410" ht="15.75" customHeight="1" spans="1:13">
      <c r="A410" s="16" t="s">
        <v>657</v>
      </c>
      <c r="B410" s="16" t="s">
        <v>147</v>
      </c>
      <c r="C410" s="16" t="s">
        <v>15</v>
      </c>
      <c r="D410" s="74"/>
      <c r="E410" s="16"/>
      <c r="F410" s="16"/>
      <c r="G410" s="75" t="b">
        <f t="shared" si="0"/>
        <v>0</v>
      </c>
      <c r="H410" s="16" t="b">
        <v>0</v>
      </c>
      <c r="I410" s="16" t="s">
        <v>207</v>
      </c>
      <c r="J410" s="16" t="s">
        <v>63</v>
      </c>
      <c r="K410" s="16" t="s">
        <v>169</v>
      </c>
      <c r="L410" s="16" t="s">
        <v>21</v>
      </c>
      <c r="M410" s="16">
        <v>691</v>
      </c>
    </row>
    <row r="411" ht="15.75" customHeight="1" spans="1:13">
      <c r="A411" s="16" t="s">
        <v>658</v>
      </c>
      <c r="B411" s="16" t="s">
        <v>147</v>
      </c>
      <c r="C411" s="16" t="s">
        <v>15</v>
      </c>
      <c r="D411" s="74"/>
      <c r="E411" s="16" t="s">
        <v>659</v>
      </c>
      <c r="F411" s="16"/>
      <c r="G411" s="75" t="b">
        <f t="shared" si="0"/>
        <v>0</v>
      </c>
      <c r="H411" s="16" t="b">
        <v>0</v>
      </c>
      <c r="I411" s="16" t="s">
        <v>82</v>
      </c>
      <c r="J411" s="16" t="s">
        <v>83</v>
      </c>
      <c r="K411" s="16" t="s">
        <v>660</v>
      </c>
      <c r="L411" s="16" t="s">
        <v>21</v>
      </c>
      <c r="M411" s="16">
        <v>412</v>
      </c>
    </row>
    <row r="412" ht="15.75" customHeight="1" spans="1:13">
      <c r="A412" s="16" t="s">
        <v>661</v>
      </c>
      <c r="B412" s="16" t="s">
        <v>147</v>
      </c>
      <c r="C412" s="16"/>
      <c r="D412" s="74"/>
      <c r="E412" s="16" t="s">
        <v>662</v>
      </c>
      <c r="F412" s="16"/>
      <c r="G412" s="75" t="b">
        <f t="shared" si="0"/>
        <v>0</v>
      </c>
      <c r="H412" s="16" t="b">
        <v>0</v>
      </c>
      <c r="I412" s="16" t="s">
        <v>25</v>
      </c>
      <c r="J412" s="16" t="s">
        <v>26</v>
      </c>
      <c r="K412" s="16" t="s">
        <v>27</v>
      </c>
      <c r="L412" s="16" t="s">
        <v>39</v>
      </c>
      <c r="M412" s="16">
        <v>97</v>
      </c>
    </row>
    <row r="413" ht="15.75" customHeight="1" spans="1:13">
      <c r="A413" s="16" t="s">
        <v>663</v>
      </c>
      <c r="B413" s="16" t="s">
        <v>147</v>
      </c>
      <c r="C413" s="16"/>
      <c r="D413" s="74"/>
      <c r="E413" s="16"/>
      <c r="F413" s="16"/>
      <c r="G413" s="75" t="b">
        <f t="shared" si="0"/>
        <v>0</v>
      </c>
      <c r="H413" s="16" t="b">
        <v>0</v>
      </c>
      <c r="I413" s="16" t="s">
        <v>173</v>
      </c>
      <c r="J413" s="16" t="s">
        <v>54</v>
      </c>
      <c r="K413" s="16" t="s">
        <v>55</v>
      </c>
      <c r="L413" s="16" t="s">
        <v>21</v>
      </c>
      <c r="M413" s="16">
        <v>933</v>
      </c>
    </row>
    <row r="414" ht="15.75" customHeight="1" spans="1:13">
      <c r="A414" s="16" t="s">
        <v>664</v>
      </c>
      <c r="B414" s="16" t="s">
        <v>147</v>
      </c>
      <c r="C414" s="16"/>
      <c r="D414" s="74"/>
      <c r="E414" s="16"/>
      <c r="F414" s="16"/>
      <c r="G414" s="75" t="b">
        <f t="shared" si="0"/>
        <v>0</v>
      </c>
      <c r="H414" s="16" t="b">
        <v>0</v>
      </c>
      <c r="I414" s="16" t="s">
        <v>25</v>
      </c>
      <c r="J414" s="16" t="s">
        <v>26</v>
      </c>
      <c r="K414" s="16" t="s">
        <v>43</v>
      </c>
      <c r="L414" s="16" t="s">
        <v>21</v>
      </c>
      <c r="M414" s="16">
        <v>657</v>
      </c>
    </row>
    <row r="415" ht="15.75" customHeight="1" spans="1:13">
      <c r="A415" s="16" t="s">
        <v>665</v>
      </c>
      <c r="B415" s="16" t="s">
        <v>147</v>
      </c>
      <c r="C415" s="16"/>
      <c r="D415" s="74"/>
      <c r="E415" s="16"/>
      <c r="F415" s="16"/>
      <c r="G415" s="75" t="b">
        <f t="shared" si="0"/>
        <v>0</v>
      </c>
      <c r="H415" s="16" t="b">
        <v>0</v>
      </c>
      <c r="I415" s="16" t="s">
        <v>207</v>
      </c>
      <c r="J415" s="16" t="s">
        <v>126</v>
      </c>
      <c r="K415" s="16" t="s">
        <v>142</v>
      </c>
      <c r="L415" s="16" t="s">
        <v>21</v>
      </c>
      <c r="M415" s="16">
        <v>892</v>
      </c>
    </row>
    <row r="416" ht="15.75" customHeight="1" spans="1:13">
      <c r="A416" s="16" t="s">
        <v>666</v>
      </c>
      <c r="B416" s="16" t="s">
        <v>147</v>
      </c>
      <c r="C416" s="16"/>
      <c r="D416" s="74"/>
      <c r="E416" s="16"/>
      <c r="F416" s="16"/>
      <c r="G416" s="75" t="b">
        <f t="shared" si="0"/>
        <v>0</v>
      </c>
      <c r="H416" s="16" t="b">
        <v>0</v>
      </c>
      <c r="I416" s="16" t="s">
        <v>53</v>
      </c>
      <c r="J416" s="16" t="s">
        <v>54</v>
      </c>
      <c r="K416" s="16" t="s">
        <v>124</v>
      </c>
      <c r="L416" s="16" t="s">
        <v>21</v>
      </c>
      <c r="M416" s="16">
        <v>984</v>
      </c>
    </row>
    <row r="417" ht="15.75" customHeight="1" spans="1:13">
      <c r="A417" s="16" t="s">
        <v>667</v>
      </c>
      <c r="B417" s="16" t="s">
        <v>147</v>
      </c>
      <c r="C417" s="16"/>
      <c r="D417" s="74"/>
      <c r="E417" s="16"/>
      <c r="F417" s="16"/>
      <c r="G417" s="75" t="b">
        <f t="shared" si="0"/>
        <v>0</v>
      </c>
      <c r="H417" s="16" t="b">
        <v>0</v>
      </c>
      <c r="I417" s="16" t="s">
        <v>109</v>
      </c>
      <c r="J417" s="16" t="s">
        <v>58</v>
      </c>
      <c r="K417" s="16" t="s">
        <v>59</v>
      </c>
      <c r="L417" s="16" t="s">
        <v>21</v>
      </c>
      <c r="M417" s="16">
        <v>461</v>
      </c>
    </row>
    <row r="418" ht="15.75" customHeight="1" spans="1:13">
      <c r="A418" s="16" t="s">
        <v>668</v>
      </c>
      <c r="B418" s="16" t="s">
        <v>147</v>
      </c>
      <c r="C418" s="16"/>
      <c r="D418" s="74"/>
      <c r="E418" s="16"/>
      <c r="F418" s="16"/>
      <c r="G418" s="75" t="b">
        <f t="shared" si="0"/>
        <v>0</v>
      </c>
      <c r="H418" s="16" t="b">
        <v>0</v>
      </c>
      <c r="I418" s="16" t="s">
        <v>173</v>
      </c>
      <c r="J418" s="16" t="s">
        <v>54</v>
      </c>
      <c r="K418" s="16" t="s">
        <v>55</v>
      </c>
      <c r="L418" s="16" t="s">
        <v>21</v>
      </c>
      <c r="M418" s="16">
        <v>935</v>
      </c>
    </row>
    <row r="419" ht="15.75" customHeight="1" spans="1:13">
      <c r="A419" s="16" t="s">
        <v>669</v>
      </c>
      <c r="B419" s="16" t="s">
        <v>147</v>
      </c>
      <c r="C419" s="16"/>
      <c r="D419" s="74"/>
      <c r="E419" s="16"/>
      <c r="F419" s="16"/>
      <c r="G419" s="75" t="b">
        <f t="shared" si="0"/>
        <v>0</v>
      </c>
      <c r="H419" s="16" t="b">
        <v>0</v>
      </c>
      <c r="I419" s="16" t="s">
        <v>67</v>
      </c>
      <c r="J419" s="16" t="s">
        <v>26</v>
      </c>
      <c r="K419" s="16" t="s">
        <v>68</v>
      </c>
      <c r="L419" s="16" t="s">
        <v>21</v>
      </c>
      <c r="M419" s="16">
        <v>942</v>
      </c>
    </row>
    <row r="420" ht="15.75" customHeight="1" spans="1:13">
      <c r="A420" s="16" t="s">
        <v>670</v>
      </c>
      <c r="B420" s="16" t="s">
        <v>147</v>
      </c>
      <c r="C420" s="16"/>
      <c r="D420" s="74"/>
      <c r="E420" s="16"/>
      <c r="F420" s="16"/>
      <c r="G420" s="75" t="b">
        <f t="shared" si="0"/>
        <v>0</v>
      </c>
      <c r="H420" s="16" t="b">
        <v>0</v>
      </c>
      <c r="I420" s="16" t="s">
        <v>25</v>
      </c>
      <c r="J420" s="16" t="s">
        <v>26</v>
      </c>
      <c r="K420" s="16" t="s">
        <v>77</v>
      </c>
      <c r="L420" s="16" t="s">
        <v>21</v>
      </c>
      <c r="M420" s="16">
        <v>613</v>
      </c>
    </row>
    <row r="421" ht="15.75" customHeight="1" spans="1:13">
      <c r="A421" s="16" t="s">
        <v>671</v>
      </c>
      <c r="B421" s="16" t="s">
        <v>147</v>
      </c>
      <c r="C421" s="16" t="s">
        <v>15</v>
      </c>
      <c r="D421" s="74"/>
      <c r="E421" s="16"/>
      <c r="F421" s="16"/>
      <c r="G421" s="75" t="b">
        <f t="shared" si="0"/>
        <v>0</v>
      </c>
      <c r="H421" s="16" t="b">
        <v>0</v>
      </c>
      <c r="I421" s="16" t="s">
        <v>29</v>
      </c>
      <c r="J421" s="16" t="s">
        <v>30</v>
      </c>
      <c r="K421" s="16" t="s">
        <v>31</v>
      </c>
      <c r="L421" s="16" t="s">
        <v>21</v>
      </c>
      <c r="M421" s="16">
        <v>28</v>
      </c>
    </row>
    <row r="422" ht="15.75" customHeight="1" spans="1:13">
      <c r="A422" s="16" t="s">
        <v>672</v>
      </c>
      <c r="B422" s="16" t="s">
        <v>147</v>
      </c>
      <c r="C422" s="16"/>
      <c r="D422" s="74"/>
      <c r="E422" s="16"/>
      <c r="F422" s="16"/>
      <c r="G422" s="75" t="b">
        <f t="shared" si="0"/>
        <v>0</v>
      </c>
      <c r="H422" s="16" t="b">
        <v>0</v>
      </c>
      <c r="I422" s="16" t="s">
        <v>173</v>
      </c>
      <c r="J422" s="16" t="s">
        <v>54</v>
      </c>
      <c r="K422" s="16" t="s">
        <v>75</v>
      </c>
      <c r="L422" s="16" t="s">
        <v>21</v>
      </c>
      <c r="M422" s="16">
        <v>932</v>
      </c>
    </row>
    <row r="423" ht="15.75" customHeight="1" spans="1:13">
      <c r="A423" s="16" t="s">
        <v>673</v>
      </c>
      <c r="B423" s="16" t="s">
        <v>147</v>
      </c>
      <c r="C423" s="16"/>
      <c r="D423" s="74"/>
      <c r="E423" s="16"/>
      <c r="F423" s="16"/>
      <c r="G423" s="75" t="b">
        <f t="shared" si="0"/>
        <v>0</v>
      </c>
      <c r="H423" s="16" t="b">
        <v>0</v>
      </c>
      <c r="I423" s="16" t="s">
        <v>25</v>
      </c>
      <c r="J423" s="16" t="s">
        <v>26</v>
      </c>
      <c r="K423" s="16" t="s">
        <v>77</v>
      </c>
      <c r="L423" s="16" t="s">
        <v>21</v>
      </c>
      <c r="M423" s="16">
        <v>606</v>
      </c>
    </row>
    <row r="424" ht="15.75" customHeight="1" spans="1:13">
      <c r="A424" s="16" t="s">
        <v>674</v>
      </c>
      <c r="B424" s="16" t="s">
        <v>147</v>
      </c>
      <c r="C424" s="16"/>
      <c r="D424" s="74"/>
      <c r="E424" s="16"/>
      <c r="F424" s="16"/>
      <c r="G424" s="75" t="b">
        <f t="shared" si="0"/>
        <v>0</v>
      </c>
      <c r="H424" s="16" t="b">
        <v>0</v>
      </c>
      <c r="I424" s="16" t="s">
        <v>41</v>
      </c>
      <c r="J424" s="16" t="s">
        <v>132</v>
      </c>
      <c r="K424" s="16" t="s">
        <v>295</v>
      </c>
      <c r="L424" s="16" t="s">
        <v>21</v>
      </c>
      <c r="M424" s="16">
        <v>168</v>
      </c>
    </row>
    <row r="425" ht="15.75" customHeight="1" spans="1:13">
      <c r="A425" s="16" t="s">
        <v>675</v>
      </c>
      <c r="B425" s="16" t="s">
        <v>147</v>
      </c>
      <c r="C425" s="16"/>
      <c r="D425" s="74"/>
      <c r="E425" s="16"/>
      <c r="F425" s="16"/>
      <c r="G425" s="75" t="b">
        <f t="shared" si="0"/>
        <v>0</v>
      </c>
      <c r="H425" s="16" t="b">
        <v>0</v>
      </c>
      <c r="I425" s="16" t="s">
        <v>25</v>
      </c>
      <c r="J425" s="16" t="s">
        <v>26</v>
      </c>
      <c r="K425" s="16" t="s">
        <v>27</v>
      </c>
      <c r="L425" s="16" t="s">
        <v>39</v>
      </c>
      <c r="M425" s="16">
        <v>25</v>
      </c>
    </row>
    <row r="426" ht="15.75" customHeight="1" spans="1:13">
      <c r="A426" s="16" t="s">
        <v>676</v>
      </c>
      <c r="B426" s="16" t="s">
        <v>147</v>
      </c>
      <c r="C426" s="16"/>
      <c r="D426" s="74"/>
      <c r="E426" s="16"/>
      <c r="F426" s="16"/>
      <c r="G426" s="75" t="b">
        <f t="shared" si="0"/>
        <v>0</v>
      </c>
      <c r="H426" s="16" t="b">
        <v>0</v>
      </c>
      <c r="I426" s="16" t="s">
        <v>210</v>
      </c>
      <c r="J426" s="16" t="s">
        <v>211</v>
      </c>
      <c r="K426" s="16" t="s">
        <v>212</v>
      </c>
      <c r="L426" s="16" t="s">
        <v>39</v>
      </c>
      <c r="M426" s="16">
        <v>809</v>
      </c>
    </row>
    <row r="427" ht="15.75" customHeight="1" spans="1:13">
      <c r="A427" s="16" t="s">
        <v>677</v>
      </c>
      <c r="B427" s="16" t="s">
        <v>14</v>
      </c>
      <c r="C427" s="16"/>
      <c r="D427" s="74"/>
      <c r="E427" s="16" t="s">
        <v>678</v>
      </c>
      <c r="F427" s="16"/>
      <c r="G427" s="75" t="b">
        <f t="shared" si="0"/>
        <v>0</v>
      </c>
      <c r="H427" s="16" t="b">
        <v>0</v>
      </c>
      <c r="I427" s="16" t="s">
        <v>109</v>
      </c>
      <c r="J427" s="16" t="s">
        <v>58</v>
      </c>
      <c r="K427" s="16" t="s">
        <v>59</v>
      </c>
      <c r="L427" s="16" t="s">
        <v>21</v>
      </c>
      <c r="M427" s="16">
        <v>24</v>
      </c>
    </row>
    <row r="428" ht="15.75" customHeight="1" spans="1:13">
      <c r="A428" s="16" t="s">
        <v>679</v>
      </c>
      <c r="B428" s="16" t="s">
        <v>147</v>
      </c>
      <c r="C428" s="16"/>
      <c r="D428" s="74"/>
      <c r="E428" s="16"/>
      <c r="F428" s="16"/>
      <c r="G428" s="75" t="b">
        <f t="shared" si="0"/>
        <v>0</v>
      </c>
      <c r="H428" s="16" t="b">
        <v>0</v>
      </c>
      <c r="I428" s="16" t="s">
        <v>53</v>
      </c>
      <c r="J428" s="16" t="s">
        <v>54</v>
      </c>
      <c r="K428" s="16" t="s">
        <v>55</v>
      </c>
      <c r="L428" s="16" t="s">
        <v>21</v>
      </c>
      <c r="M428" s="16">
        <v>502</v>
      </c>
    </row>
    <row r="429" ht="15.75" customHeight="1" spans="1:13">
      <c r="A429" s="16" t="s">
        <v>680</v>
      </c>
      <c r="B429" s="16" t="s">
        <v>14</v>
      </c>
      <c r="C429" s="16" t="s">
        <v>15</v>
      </c>
      <c r="D429" s="74"/>
      <c r="E429" s="16" t="s">
        <v>681</v>
      </c>
      <c r="F429" s="16"/>
      <c r="G429" s="75" t="b">
        <f t="shared" si="0"/>
        <v>0</v>
      </c>
      <c r="H429" s="16" t="b">
        <v>0</v>
      </c>
      <c r="I429" s="16" t="s">
        <v>207</v>
      </c>
      <c r="J429" s="16" t="s">
        <v>63</v>
      </c>
      <c r="K429" s="16" t="s">
        <v>169</v>
      </c>
      <c r="L429" s="16" t="s">
        <v>21</v>
      </c>
      <c r="M429" s="16">
        <v>535</v>
      </c>
    </row>
    <row r="430" ht="15.75" customHeight="1" spans="1:13">
      <c r="A430" s="16" t="s">
        <v>682</v>
      </c>
      <c r="B430" s="16" t="s">
        <v>23</v>
      </c>
      <c r="C430" s="16" t="s">
        <v>15</v>
      </c>
      <c r="D430" s="74"/>
      <c r="E430" s="16" t="s">
        <v>683</v>
      </c>
      <c r="F430" s="16"/>
      <c r="G430" s="75" t="b">
        <f t="shared" si="0"/>
        <v>0</v>
      </c>
      <c r="H430" s="16" t="b">
        <v>0</v>
      </c>
      <c r="I430" s="16" t="s">
        <v>92</v>
      </c>
      <c r="J430" s="16" t="s">
        <v>63</v>
      </c>
      <c r="K430" s="16" t="s">
        <v>440</v>
      </c>
      <c r="L430" s="16" t="s">
        <v>160</v>
      </c>
      <c r="M430" s="16">
        <v>404</v>
      </c>
    </row>
    <row r="431" ht="15.75" customHeight="1" spans="1:13">
      <c r="A431" s="16" t="s">
        <v>684</v>
      </c>
      <c r="B431" s="16" t="s">
        <v>147</v>
      </c>
      <c r="C431" s="16" t="s">
        <v>15</v>
      </c>
      <c r="D431" s="74"/>
      <c r="E431" s="16"/>
      <c r="F431" s="16"/>
      <c r="G431" s="75" t="b">
        <f t="shared" si="0"/>
        <v>0</v>
      </c>
      <c r="H431" s="16" t="b">
        <v>0</v>
      </c>
      <c r="I431" s="16" t="s">
        <v>141</v>
      </c>
      <c r="J431" s="16" t="s">
        <v>126</v>
      </c>
      <c r="K431" s="16" t="s">
        <v>142</v>
      </c>
      <c r="L431" s="16" t="s">
        <v>21</v>
      </c>
      <c r="M431" s="16">
        <v>264</v>
      </c>
    </row>
    <row r="432" ht="15.75" customHeight="1" spans="1:13">
      <c r="A432" s="16" t="s">
        <v>685</v>
      </c>
      <c r="B432" s="16" t="s">
        <v>147</v>
      </c>
      <c r="C432" s="16" t="s">
        <v>183</v>
      </c>
      <c r="D432" s="74" t="s">
        <v>472</v>
      </c>
      <c r="E432" s="16"/>
      <c r="F432" s="16"/>
      <c r="G432" s="75" t="b">
        <f t="shared" si="0"/>
        <v>0</v>
      </c>
      <c r="H432" s="16" t="b">
        <v>0</v>
      </c>
      <c r="I432" s="16" t="s">
        <v>186</v>
      </c>
      <c r="J432" s="16" t="s">
        <v>187</v>
      </c>
      <c r="K432" s="16" t="s">
        <v>188</v>
      </c>
      <c r="L432" s="16" t="s">
        <v>21</v>
      </c>
      <c r="M432" s="16">
        <v>870</v>
      </c>
    </row>
    <row r="433" ht="15.75" customHeight="1" spans="1:13">
      <c r="A433" s="16" t="s">
        <v>686</v>
      </c>
      <c r="B433" s="16" t="s">
        <v>147</v>
      </c>
      <c r="C433" s="16"/>
      <c r="D433" s="74"/>
      <c r="E433" s="16"/>
      <c r="F433" s="16"/>
      <c r="G433" s="75" t="b">
        <f t="shared" si="0"/>
        <v>0</v>
      </c>
      <c r="H433" s="16" t="b">
        <v>0</v>
      </c>
      <c r="I433" s="16" t="s">
        <v>25</v>
      </c>
      <c r="J433" s="16" t="s">
        <v>26</v>
      </c>
      <c r="K433" s="16" t="s">
        <v>77</v>
      </c>
      <c r="L433" s="16" t="s">
        <v>21</v>
      </c>
      <c r="M433" s="16">
        <v>602</v>
      </c>
    </row>
    <row r="434" ht="15.75" customHeight="1" spans="1:13">
      <c r="A434" s="16" t="s">
        <v>687</v>
      </c>
      <c r="B434" s="16" t="s">
        <v>147</v>
      </c>
      <c r="C434" s="16" t="s">
        <v>15</v>
      </c>
      <c r="D434" s="74"/>
      <c r="E434" s="16"/>
      <c r="F434" s="16"/>
      <c r="G434" s="75" t="b">
        <f t="shared" si="0"/>
        <v>0</v>
      </c>
      <c r="H434" s="16" t="b">
        <v>0</v>
      </c>
      <c r="I434" s="16" t="s">
        <v>688</v>
      </c>
      <c r="J434" s="16" t="s">
        <v>19</v>
      </c>
      <c r="K434" s="16" t="s">
        <v>689</v>
      </c>
      <c r="L434" s="16" t="s">
        <v>21</v>
      </c>
      <c r="M434" s="16">
        <v>772</v>
      </c>
    </row>
    <row r="435" ht="15.75" customHeight="1" spans="1:13">
      <c r="A435" s="16" t="s">
        <v>690</v>
      </c>
      <c r="B435" s="16" t="s">
        <v>147</v>
      </c>
      <c r="C435" s="16"/>
      <c r="D435" s="74"/>
      <c r="E435" s="16"/>
      <c r="F435" s="16"/>
      <c r="G435" s="75" t="b">
        <f t="shared" si="0"/>
        <v>0</v>
      </c>
      <c r="H435" s="16" t="b">
        <v>0</v>
      </c>
      <c r="I435" s="16" t="s">
        <v>53</v>
      </c>
      <c r="J435" s="16" t="s">
        <v>54</v>
      </c>
      <c r="K435" s="16" t="s">
        <v>55</v>
      </c>
      <c r="L435" s="16" t="s">
        <v>21</v>
      </c>
      <c r="M435" s="16">
        <v>734</v>
      </c>
    </row>
    <row r="436" ht="15.75" customHeight="1" spans="1:13">
      <c r="A436" s="16" t="s">
        <v>691</v>
      </c>
      <c r="B436" s="16" t="s">
        <v>147</v>
      </c>
      <c r="C436" s="16" t="s">
        <v>15</v>
      </c>
      <c r="D436" s="74"/>
      <c r="E436" s="16"/>
      <c r="F436" s="16"/>
      <c r="G436" s="75" t="b">
        <f t="shared" si="0"/>
        <v>0</v>
      </c>
      <c r="H436" s="16" t="b">
        <v>0</v>
      </c>
      <c r="I436" s="16" t="s">
        <v>319</v>
      </c>
      <c r="J436" s="16" t="s">
        <v>63</v>
      </c>
      <c r="K436" s="16" t="s">
        <v>288</v>
      </c>
      <c r="L436" s="16" t="s">
        <v>21</v>
      </c>
      <c r="M436" s="16">
        <v>996</v>
      </c>
    </row>
    <row r="437" ht="15.75" customHeight="1" spans="1:13">
      <c r="A437" s="16" t="s">
        <v>692</v>
      </c>
      <c r="B437" s="16" t="s">
        <v>147</v>
      </c>
      <c r="C437" s="16" t="s">
        <v>15</v>
      </c>
      <c r="D437" s="74"/>
      <c r="E437" s="16"/>
      <c r="F437" s="16"/>
      <c r="G437" s="75" t="b">
        <f t="shared" si="0"/>
        <v>0</v>
      </c>
      <c r="H437" s="16" t="b">
        <v>0</v>
      </c>
      <c r="I437" s="16" t="s">
        <v>319</v>
      </c>
      <c r="J437" s="16" t="s">
        <v>126</v>
      </c>
      <c r="K437" s="16" t="s">
        <v>127</v>
      </c>
      <c r="L437" s="16" t="s">
        <v>21</v>
      </c>
      <c r="M437" s="16">
        <v>188</v>
      </c>
    </row>
    <row r="438" ht="15.75" customHeight="1" spans="1:13">
      <c r="A438" s="16" t="s">
        <v>693</v>
      </c>
      <c r="B438" s="16" t="s">
        <v>147</v>
      </c>
      <c r="C438" s="16" t="s">
        <v>15</v>
      </c>
      <c r="D438" s="74"/>
      <c r="E438" s="16" t="s">
        <v>694</v>
      </c>
      <c r="F438" s="16"/>
      <c r="G438" s="75" t="b">
        <f t="shared" si="0"/>
        <v>0</v>
      </c>
      <c r="H438" s="16" t="b">
        <v>0</v>
      </c>
      <c r="I438" s="16" t="s">
        <v>695</v>
      </c>
      <c r="J438" s="16" t="s">
        <v>19</v>
      </c>
      <c r="K438" s="16" t="s">
        <v>20</v>
      </c>
      <c r="L438" s="16" t="s">
        <v>21</v>
      </c>
      <c r="M438" s="16">
        <v>367</v>
      </c>
    </row>
    <row r="439" ht="15.75" customHeight="1" spans="1:13">
      <c r="A439" s="16" t="s">
        <v>696</v>
      </c>
      <c r="B439" s="16" t="s">
        <v>147</v>
      </c>
      <c r="C439" s="16" t="s">
        <v>15</v>
      </c>
      <c r="D439" s="74"/>
      <c r="E439" s="16"/>
      <c r="F439" s="16"/>
      <c r="G439" s="75" t="b">
        <f t="shared" si="0"/>
        <v>0</v>
      </c>
      <c r="H439" s="16" t="b">
        <v>0</v>
      </c>
      <c r="I439" s="16" t="s">
        <v>18</v>
      </c>
      <c r="J439" s="16" t="s">
        <v>38</v>
      </c>
      <c r="K439" s="16"/>
      <c r="L439" s="16" t="s">
        <v>39</v>
      </c>
      <c r="M439" s="16">
        <v>363</v>
      </c>
    </row>
    <row r="440" ht="15.75" customHeight="1" spans="1:13">
      <c r="A440" s="16" t="s">
        <v>697</v>
      </c>
      <c r="B440" s="16" t="s">
        <v>147</v>
      </c>
      <c r="C440" s="16"/>
      <c r="D440" s="74"/>
      <c r="E440" s="16"/>
      <c r="F440" s="16"/>
      <c r="G440" s="75" t="b">
        <f t="shared" si="0"/>
        <v>0</v>
      </c>
      <c r="H440" s="16" t="b">
        <v>0</v>
      </c>
      <c r="I440" s="16" t="s">
        <v>109</v>
      </c>
      <c r="J440" s="16" t="s">
        <v>58</v>
      </c>
      <c r="K440" s="16" t="s">
        <v>59</v>
      </c>
      <c r="L440" s="16" t="s">
        <v>21</v>
      </c>
      <c r="M440" s="16">
        <v>526</v>
      </c>
    </row>
    <row r="441" ht="15.75" customHeight="1" spans="1:13">
      <c r="A441" s="16" t="s">
        <v>698</v>
      </c>
      <c r="B441" s="16" t="s">
        <v>147</v>
      </c>
      <c r="C441" s="16"/>
      <c r="D441" s="74"/>
      <c r="E441" s="16"/>
      <c r="F441" s="16"/>
      <c r="G441" s="75" t="b">
        <f t="shared" si="0"/>
        <v>0</v>
      </c>
      <c r="H441" s="16" t="b">
        <v>0</v>
      </c>
      <c r="I441" s="16" t="s">
        <v>53</v>
      </c>
      <c r="J441" s="16" t="s">
        <v>54</v>
      </c>
      <c r="K441" s="16" t="s">
        <v>198</v>
      </c>
      <c r="L441" s="16" t="s">
        <v>21</v>
      </c>
      <c r="M441" s="16">
        <v>553</v>
      </c>
    </row>
    <row r="442" ht="15.75" customHeight="1" spans="1:13">
      <c r="A442" s="16" t="s">
        <v>699</v>
      </c>
      <c r="B442" s="16" t="s">
        <v>147</v>
      </c>
      <c r="C442" s="16" t="s">
        <v>15</v>
      </c>
      <c r="D442" s="74"/>
      <c r="E442" s="16"/>
      <c r="F442" s="16"/>
      <c r="G442" s="75" t="b">
        <f t="shared" si="0"/>
        <v>0</v>
      </c>
      <c r="H442" s="16" t="b">
        <v>0</v>
      </c>
      <c r="I442" s="16" t="s">
        <v>312</v>
      </c>
      <c r="J442" s="16" t="s">
        <v>63</v>
      </c>
      <c r="K442" s="16" t="s">
        <v>169</v>
      </c>
      <c r="L442" s="16" t="s">
        <v>21</v>
      </c>
      <c r="M442" s="16">
        <v>1063</v>
      </c>
    </row>
    <row r="443" ht="15.75" customHeight="1" spans="1:13">
      <c r="A443" s="16" t="s">
        <v>700</v>
      </c>
      <c r="B443" s="16" t="s">
        <v>23</v>
      </c>
      <c r="C443" s="16" t="s">
        <v>15</v>
      </c>
      <c r="D443" s="74"/>
      <c r="E443" s="16" t="s">
        <v>701</v>
      </c>
      <c r="F443" s="16"/>
      <c r="G443" s="75" t="b">
        <f t="shared" si="0"/>
        <v>0</v>
      </c>
      <c r="H443" s="16" t="b">
        <v>0</v>
      </c>
      <c r="I443" s="16" t="s">
        <v>305</v>
      </c>
      <c r="J443" s="16" t="s">
        <v>19</v>
      </c>
      <c r="K443" s="16" t="s">
        <v>306</v>
      </c>
      <c r="L443" s="16" t="s">
        <v>21</v>
      </c>
      <c r="M443" s="16">
        <v>14</v>
      </c>
    </row>
    <row r="444" ht="15.75" customHeight="1" spans="1:13">
      <c r="A444" s="16" t="s">
        <v>702</v>
      </c>
      <c r="B444" s="16" t="s">
        <v>147</v>
      </c>
      <c r="C444" s="16" t="s">
        <v>190</v>
      </c>
      <c r="D444" s="74" t="s">
        <v>71</v>
      </c>
      <c r="E444" s="16"/>
      <c r="F444" s="16"/>
      <c r="G444" s="75" t="b">
        <f t="shared" si="0"/>
        <v>0</v>
      </c>
      <c r="H444" s="16" t="b">
        <v>0</v>
      </c>
      <c r="I444" s="16" t="s">
        <v>72</v>
      </c>
      <c r="J444" s="16" t="s">
        <v>63</v>
      </c>
      <c r="K444" s="16" t="s">
        <v>73</v>
      </c>
      <c r="L444" s="16" t="s">
        <v>21</v>
      </c>
      <c r="M444" s="16">
        <v>910</v>
      </c>
    </row>
    <row r="445" ht="15.75" customHeight="1" spans="1:13">
      <c r="A445" s="16" t="s">
        <v>703</v>
      </c>
      <c r="B445" s="16" t="s">
        <v>147</v>
      </c>
      <c r="C445" s="16"/>
      <c r="D445" s="74"/>
      <c r="E445" s="16"/>
      <c r="F445" s="16"/>
      <c r="G445" s="75" t="b">
        <f t="shared" si="0"/>
        <v>0</v>
      </c>
      <c r="H445" s="16" t="b">
        <v>0</v>
      </c>
      <c r="I445" s="16" t="s">
        <v>53</v>
      </c>
      <c r="J445" s="16" t="s">
        <v>54</v>
      </c>
      <c r="K445" s="16" t="s">
        <v>124</v>
      </c>
      <c r="L445" s="16" t="s">
        <v>21</v>
      </c>
      <c r="M445" s="16">
        <v>1058</v>
      </c>
    </row>
    <row r="446" ht="15.75" customHeight="1" spans="1:13">
      <c r="A446" s="16" t="s">
        <v>704</v>
      </c>
      <c r="B446" s="16" t="s">
        <v>147</v>
      </c>
      <c r="C446" s="16"/>
      <c r="D446" s="74"/>
      <c r="E446" s="16"/>
      <c r="F446" s="16"/>
      <c r="G446" s="75" t="b">
        <f t="shared" si="0"/>
        <v>0</v>
      </c>
      <c r="H446" s="16" t="b">
        <v>0</v>
      </c>
      <c r="I446" s="16" t="s">
        <v>53</v>
      </c>
      <c r="J446" s="16" t="s">
        <v>54</v>
      </c>
      <c r="K446" s="16" t="s">
        <v>75</v>
      </c>
      <c r="L446" s="16" t="s">
        <v>21</v>
      </c>
      <c r="M446" s="16">
        <v>88</v>
      </c>
    </row>
    <row r="447" ht="15.75" customHeight="1" spans="1:13">
      <c r="A447" s="16" t="s">
        <v>705</v>
      </c>
      <c r="B447" s="16" t="s">
        <v>147</v>
      </c>
      <c r="C447" s="16" t="s">
        <v>15</v>
      </c>
      <c r="D447" s="74"/>
      <c r="E447" s="16"/>
      <c r="F447" s="16"/>
      <c r="G447" s="75" t="b">
        <f t="shared" si="0"/>
        <v>0</v>
      </c>
      <c r="H447" s="16" t="b">
        <v>0</v>
      </c>
      <c r="I447" s="16" t="s">
        <v>72</v>
      </c>
      <c r="J447" s="16" t="s">
        <v>30</v>
      </c>
      <c r="K447" s="16" t="s">
        <v>31</v>
      </c>
      <c r="L447" s="16" t="s">
        <v>21</v>
      </c>
      <c r="M447" s="16">
        <v>887</v>
      </c>
    </row>
    <row r="448" ht="15.75" customHeight="1" spans="1:13">
      <c r="A448" s="16" t="s">
        <v>706</v>
      </c>
      <c r="B448" s="16" t="s">
        <v>147</v>
      </c>
      <c r="C448" s="16" t="s">
        <v>15</v>
      </c>
      <c r="D448" s="74" t="s">
        <v>707</v>
      </c>
      <c r="E448" s="16"/>
      <c r="F448" s="16"/>
      <c r="G448" s="75" t="b">
        <f t="shared" si="0"/>
        <v>0</v>
      </c>
      <c r="H448" s="16" t="b">
        <v>0</v>
      </c>
      <c r="I448" s="16" t="s">
        <v>312</v>
      </c>
      <c r="J448" s="16" t="s">
        <v>63</v>
      </c>
      <c r="K448" s="16" t="s">
        <v>169</v>
      </c>
      <c r="L448" s="16" t="s">
        <v>21</v>
      </c>
      <c r="M448" s="16">
        <v>221</v>
      </c>
    </row>
    <row r="449" ht="15.75" customHeight="1" spans="1:13">
      <c r="A449" s="16" t="s">
        <v>708</v>
      </c>
      <c r="B449" s="16" t="s">
        <v>14</v>
      </c>
      <c r="C449" s="16"/>
      <c r="D449" s="74"/>
      <c r="E449" s="16" t="s">
        <v>709</v>
      </c>
      <c r="F449" s="16"/>
      <c r="G449" s="75" t="b">
        <f t="shared" si="0"/>
        <v>0</v>
      </c>
      <c r="H449" s="16" t="b">
        <v>0</v>
      </c>
      <c r="I449" s="16" t="s">
        <v>53</v>
      </c>
      <c r="J449" s="16" t="s">
        <v>54</v>
      </c>
      <c r="K449" s="16" t="s">
        <v>198</v>
      </c>
      <c r="L449" s="16" t="s">
        <v>21</v>
      </c>
      <c r="M449" s="16">
        <v>103</v>
      </c>
    </row>
    <row r="450" ht="15.75" customHeight="1" spans="1:13">
      <c r="A450" s="16" t="s">
        <v>710</v>
      </c>
      <c r="B450" s="16" t="s">
        <v>147</v>
      </c>
      <c r="C450" s="16" t="s">
        <v>15</v>
      </c>
      <c r="D450" s="74"/>
      <c r="E450" s="16"/>
      <c r="F450" s="16"/>
      <c r="G450" s="75" t="b">
        <f t="shared" si="0"/>
        <v>0</v>
      </c>
      <c r="H450" s="16" t="b">
        <v>0</v>
      </c>
      <c r="I450" s="16" t="s">
        <v>62</v>
      </c>
      <c r="J450" s="16" t="s">
        <v>63</v>
      </c>
      <c r="K450" s="16" t="s">
        <v>64</v>
      </c>
      <c r="L450" s="16" t="s">
        <v>21</v>
      </c>
      <c r="M450" s="16">
        <v>894</v>
      </c>
    </row>
    <row r="451" ht="15.75" customHeight="1" spans="1:13">
      <c r="A451" s="16" t="s">
        <v>711</v>
      </c>
      <c r="B451" s="16" t="s">
        <v>147</v>
      </c>
      <c r="C451" s="16" t="s">
        <v>15</v>
      </c>
      <c r="D451" s="74"/>
      <c r="E451" s="16" t="s">
        <v>712</v>
      </c>
      <c r="F451" s="16"/>
      <c r="G451" s="75" t="b">
        <f t="shared" si="0"/>
        <v>0</v>
      </c>
      <c r="H451" s="16" t="b">
        <v>0</v>
      </c>
      <c r="I451" s="16" t="s">
        <v>225</v>
      </c>
      <c r="J451" s="16" t="s">
        <v>211</v>
      </c>
      <c r="K451" s="16" t="s">
        <v>212</v>
      </c>
      <c r="L451" s="16" t="s">
        <v>21</v>
      </c>
      <c r="M451" s="16">
        <v>449</v>
      </c>
    </row>
    <row r="452" ht="15.75" customHeight="1" spans="1:13">
      <c r="A452" s="16" t="s">
        <v>713</v>
      </c>
      <c r="B452" s="16" t="s">
        <v>23</v>
      </c>
      <c r="C452" s="16" t="s">
        <v>15</v>
      </c>
      <c r="D452" s="74"/>
      <c r="E452" s="16" t="s">
        <v>224</v>
      </c>
      <c r="F452" s="16"/>
      <c r="G452" s="75" t="b">
        <f t="shared" si="0"/>
        <v>0</v>
      </c>
      <c r="H452" s="16" t="b">
        <v>0</v>
      </c>
      <c r="I452" s="16" t="s">
        <v>92</v>
      </c>
      <c r="J452" s="16" t="s">
        <v>63</v>
      </c>
      <c r="K452" s="16" t="s">
        <v>440</v>
      </c>
      <c r="L452" s="16" t="s">
        <v>160</v>
      </c>
      <c r="M452" s="16">
        <v>419</v>
      </c>
    </row>
    <row r="453" ht="15.75" customHeight="1" spans="1:13">
      <c r="A453" s="16" t="s">
        <v>714</v>
      </c>
      <c r="B453" s="16" t="s">
        <v>147</v>
      </c>
      <c r="C453" s="16" t="s">
        <v>15</v>
      </c>
      <c r="D453" s="74"/>
      <c r="E453" s="16"/>
      <c r="F453" s="16"/>
      <c r="G453" s="75" t="b">
        <f t="shared" si="0"/>
        <v>0</v>
      </c>
      <c r="H453" s="16" t="b">
        <v>0</v>
      </c>
      <c r="I453" s="16" t="s">
        <v>207</v>
      </c>
      <c r="J453" s="16" t="s">
        <v>126</v>
      </c>
      <c r="K453" s="16" t="s">
        <v>142</v>
      </c>
      <c r="L453" s="16" t="s">
        <v>21</v>
      </c>
      <c r="M453" s="16">
        <v>158</v>
      </c>
    </row>
    <row r="454" ht="15.75" customHeight="1" spans="1:13">
      <c r="A454" s="16" t="s">
        <v>715</v>
      </c>
      <c r="B454" s="16" t="s">
        <v>147</v>
      </c>
      <c r="C454" s="16"/>
      <c r="D454" s="74"/>
      <c r="E454" s="16" t="s">
        <v>617</v>
      </c>
      <c r="F454" s="16"/>
      <c r="G454" s="75" t="b">
        <f t="shared" si="0"/>
        <v>0</v>
      </c>
      <c r="H454" s="16" t="b">
        <v>0</v>
      </c>
      <c r="I454" s="16" t="s">
        <v>92</v>
      </c>
      <c r="J454" s="16" t="s">
        <v>30</v>
      </c>
      <c r="K454" s="16" t="s">
        <v>31</v>
      </c>
      <c r="L454" s="16" t="s">
        <v>21</v>
      </c>
      <c r="M454" s="16">
        <v>669</v>
      </c>
    </row>
    <row r="455" ht="15.75" customHeight="1" spans="1:13">
      <c r="A455" s="16" t="s">
        <v>716</v>
      </c>
      <c r="B455" s="16" t="s">
        <v>147</v>
      </c>
      <c r="C455" s="16" t="s">
        <v>15</v>
      </c>
      <c r="D455" s="74"/>
      <c r="E455" s="16"/>
      <c r="F455" s="16"/>
      <c r="G455" s="75" t="b">
        <f t="shared" si="0"/>
        <v>0</v>
      </c>
      <c r="H455" s="16" t="b">
        <v>0</v>
      </c>
      <c r="I455" s="16" t="s">
        <v>72</v>
      </c>
      <c r="J455" s="16" t="s">
        <v>63</v>
      </c>
      <c r="K455" s="16" t="s">
        <v>73</v>
      </c>
      <c r="L455" s="16" t="s">
        <v>21</v>
      </c>
      <c r="M455" s="16">
        <v>913</v>
      </c>
    </row>
    <row r="456" ht="15.75" customHeight="1" spans="1:13">
      <c r="A456" s="16" t="s">
        <v>717</v>
      </c>
      <c r="B456" s="16" t="s">
        <v>147</v>
      </c>
      <c r="C456" s="16"/>
      <c r="D456" s="74"/>
      <c r="E456" s="16"/>
      <c r="F456" s="16"/>
      <c r="G456" s="75" t="b">
        <f t="shared" si="0"/>
        <v>0</v>
      </c>
      <c r="H456" s="16" t="b">
        <v>0</v>
      </c>
      <c r="I456" s="16" t="s">
        <v>303</v>
      </c>
      <c r="J456" s="16" t="s">
        <v>132</v>
      </c>
      <c r="K456" s="16" t="s">
        <v>295</v>
      </c>
      <c r="L456" s="16" t="s">
        <v>21</v>
      </c>
      <c r="M456" s="16">
        <v>716</v>
      </c>
    </row>
    <row r="457" ht="15.75" customHeight="1" spans="1:13">
      <c r="A457" s="16" t="s">
        <v>718</v>
      </c>
      <c r="B457" s="16" t="s">
        <v>147</v>
      </c>
      <c r="C457" s="16"/>
      <c r="D457" s="74"/>
      <c r="E457" s="16"/>
      <c r="F457" s="16"/>
      <c r="G457" s="75" t="b">
        <f t="shared" si="0"/>
        <v>0</v>
      </c>
      <c r="H457" s="16" t="b">
        <v>0</v>
      </c>
      <c r="I457" s="16" t="s">
        <v>41</v>
      </c>
      <c r="J457" s="16" t="s">
        <v>132</v>
      </c>
      <c r="K457" s="16" t="s">
        <v>295</v>
      </c>
      <c r="L457" s="16" t="s">
        <v>21</v>
      </c>
      <c r="M457" s="16">
        <v>303</v>
      </c>
    </row>
    <row r="458" ht="15.75" customHeight="1" spans="1:13">
      <c r="A458" s="16" t="s">
        <v>719</v>
      </c>
      <c r="B458" s="16" t="s">
        <v>147</v>
      </c>
      <c r="C458" s="16"/>
      <c r="D458" s="74"/>
      <c r="E458" s="16"/>
      <c r="F458" s="16"/>
      <c r="G458" s="75" t="b">
        <f t="shared" si="0"/>
        <v>0</v>
      </c>
      <c r="H458" s="16" t="b">
        <v>0</v>
      </c>
      <c r="I458" s="16" t="s">
        <v>109</v>
      </c>
      <c r="J458" s="16" t="s">
        <v>58</v>
      </c>
      <c r="K458" s="16" t="s">
        <v>177</v>
      </c>
      <c r="L458" s="16" t="s">
        <v>21</v>
      </c>
      <c r="M458" s="16">
        <v>312</v>
      </c>
    </row>
    <row r="459" ht="15.75" customHeight="1" spans="1:13">
      <c r="A459" s="16" t="s">
        <v>720</v>
      </c>
      <c r="B459" s="16" t="s">
        <v>23</v>
      </c>
      <c r="C459" s="16" t="s">
        <v>15</v>
      </c>
      <c r="D459" s="74" t="s">
        <v>721</v>
      </c>
      <c r="E459" s="16" t="s">
        <v>722</v>
      </c>
      <c r="F459" s="16"/>
      <c r="G459" s="75" t="b">
        <f t="shared" si="0"/>
        <v>0</v>
      </c>
      <c r="H459" s="16" t="b">
        <v>0</v>
      </c>
      <c r="I459" s="16" t="s">
        <v>118</v>
      </c>
      <c r="J459" s="16" t="s">
        <v>19</v>
      </c>
      <c r="K459" s="16" t="s">
        <v>119</v>
      </c>
      <c r="L459" s="16" t="s">
        <v>39</v>
      </c>
      <c r="M459" s="16">
        <v>1034</v>
      </c>
    </row>
    <row r="460" ht="15.75" customHeight="1" spans="1:13">
      <c r="A460" s="16" t="s">
        <v>723</v>
      </c>
      <c r="B460" s="16" t="s">
        <v>14</v>
      </c>
      <c r="C460" s="16" t="s">
        <v>183</v>
      </c>
      <c r="D460" s="74" t="s">
        <v>724</v>
      </c>
      <c r="E460" s="16" t="s">
        <v>725</v>
      </c>
      <c r="F460" s="16"/>
      <c r="G460" s="75" t="b">
        <f t="shared" si="0"/>
        <v>0</v>
      </c>
      <c r="H460" s="16" t="b">
        <v>0</v>
      </c>
      <c r="I460" s="16" t="s">
        <v>258</v>
      </c>
      <c r="J460" s="16" t="s">
        <v>19</v>
      </c>
      <c r="K460" s="16" t="s">
        <v>589</v>
      </c>
      <c r="L460" s="16" t="s">
        <v>21</v>
      </c>
      <c r="M460" s="16">
        <v>527</v>
      </c>
    </row>
    <row r="461" ht="15.75" customHeight="1" spans="1:13">
      <c r="A461" s="16" t="s">
        <v>726</v>
      </c>
      <c r="B461" s="16" t="s">
        <v>147</v>
      </c>
      <c r="C461" s="16" t="s">
        <v>15</v>
      </c>
      <c r="D461" s="74"/>
      <c r="E461" s="16"/>
      <c r="F461" s="16"/>
      <c r="G461" s="75" t="b">
        <f t="shared" si="0"/>
        <v>0</v>
      </c>
      <c r="H461" s="16" t="b">
        <v>0</v>
      </c>
      <c r="I461" s="16" t="s">
        <v>588</v>
      </c>
      <c r="J461" s="16" t="s">
        <v>19</v>
      </c>
      <c r="K461" s="16" t="s">
        <v>589</v>
      </c>
      <c r="L461" s="16" t="s">
        <v>21</v>
      </c>
      <c r="M461" s="16">
        <v>324</v>
      </c>
    </row>
    <row r="462" ht="15.75" customHeight="1" spans="1:13">
      <c r="A462" s="16" t="s">
        <v>727</v>
      </c>
      <c r="B462" s="16" t="s">
        <v>147</v>
      </c>
      <c r="C462" s="16" t="s">
        <v>15</v>
      </c>
      <c r="D462" s="74"/>
      <c r="E462" s="16" t="s">
        <v>728</v>
      </c>
      <c r="F462" s="16"/>
      <c r="G462" s="75" t="b">
        <f t="shared" si="0"/>
        <v>0</v>
      </c>
      <c r="H462" s="16" t="b">
        <v>0</v>
      </c>
      <c r="I462" s="16" t="s">
        <v>29</v>
      </c>
      <c r="J462" s="16" t="s">
        <v>30</v>
      </c>
      <c r="K462" s="16" t="s">
        <v>31</v>
      </c>
      <c r="L462" s="16" t="s">
        <v>21</v>
      </c>
      <c r="M462" s="16">
        <v>725</v>
      </c>
    </row>
    <row r="463" ht="15.75" customHeight="1" spans="1:13">
      <c r="A463" s="16" t="s">
        <v>729</v>
      </c>
      <c r="B463" s="16" t="s">
        <v>147</v>
      </c>
      <c r="C463" s="16" t="s">
        <v>15</v>
      </c>
      <c r="D463" s="74"/>
      <c r="E463" s="16"/>
      <c r="F463" s="16"/>
      <c r="G463" s="75" t="b">
        <f t="shared" si="0"/>
        <v>0</v>
      </c>
      <c r="H463" s="16" t="b">
        <v>0</v>
      </c>
      <c r="I463" s="16" t="s">
        <v>312</v>
      </c>
      <c r="J463" s="16" t="s">
        <v>63</v>
      </c>
      <c r="K463" s="16" t="s">
        <v>169</v>
      </c>
      <c r="L463" s="16" t="s">
        <v>21</v>
      </c>
      <c r="M463" s="16">
        <v>975</v>
      </c>
    </row>
    <row r="464" ht="15.75" customHeight="1" spans="1:13">
      <c r="A464" s="16" t="s">
        <v>730</v>
      </c>
      <c r="B464" s="16" t="s">
        <v>147</v>
      </c>
      <c r="C464" s="16" t="s">
        <v>15</v>
      </c>
      <c r="D464" s="74"/>
      <c r="E464" s="16"/>
      <c r="F464" s="16"/>
      <c r="G464" s="75" t="b">
        <f t="shared" si="0"/>
        <v>0</v>
      </c>
      <c r="H464" s="16" t="b">
        <v>0</v>
      </c>
      <c r="I464" s="16" t="s">
        <v>207</v>
      </c>
      <c r="J464" s="16" t="s">
        <v>126</v>
      </c>
      <c r="K464" s="16" t="s">
        <v>127</v>
      </c>
      <c r="L464" s="16" t="s">
        <v>21</v>
      </c>
      <c r="M464" s="16">
        <v>66</v>
      </c>
    </row>
    <row r="465" ht="15.75" customHeight="1" spans="1:13">
      <c r="A465" s="16" t="s">
        <v>731</v>
      </c>
      <c r="B465" s="16" t="s">
        <v>147</v>
      </c>
      <c r="C465" s="16"/>
      <c r="D465" s="74"/>
      <c r="E465" s="16"/>
      <c r="F465" s="16"/>
      <c r="G465" s="75" t="b">
        <f t="shared" si="0"/>
        <v>0</v>
      </c>
      <c r="H465" s="16" t="b">
        <v>0</v>
      </c>
      <c r="I465" s="16" t="s">
        <v>732</v>
      </c>
      <c r="J465" s="16" t="s">
        <v>54</v>
      </c>
      <c r="K465" s="16" t="s">
        <v>733</v>
      </c>
      <c r="L465" s="16" t="s">
        <v>21</v>
      </c>
      <c r="M465" s="16">
        <v>1039</v>
      </c>
    </row>
    <row r="466" ht="15.75" customHeight="1" spans="1:13">
      <c r="A466" s="16" t="s">
        <v>734</v>
      </c>
      <c r="B466" s="16" t="s">
        <v>147</v>
      </c>
      <c r="C466" s="16"/>
      <c r="D466" s="74"/>
      <c r="E466" s="16"/>
      <c r="F466" s="16"/>
      <c r="G466" s="75" t="b">
        <f t="shared" si="0"/>
        <v>0</v>
      </c>
      <c r="H466" s="16" t="b">
        <v>0</v>
      </c>
      <c r="I466" s="16" t="s">
        <v>109</v>
      </c>
      <c r="J466" s="16" t="s">
        <v>58</v>
      </c>
      <c r="K466" s="16" t="s">
        <v>177</v>
      </c>
      <c r="L466" s="16" t="s">
        <v>21</v>
      </c>
      <c r="M466" s="16">
        <v>380</v>
      </c>
    </row>
    <row r="467" ht="15.75" customHeight="1" spans="1:13">
      <c r="A467" s="16" t="s">
        <v>735</v>
      </c>
      <c r="B467" s="16" t="s">
        <v>147</v>
      </c>
      <c r="C467" s="16"/>
      <c r="D467" s="74"/>
      <c r="E467" s="16"/>
      <c r="F467" s="16"/>
      <c r="G467" s="75" t="b">
        <f t="shared" si="0"/>
        <v>0</v>
      </c>
      <c r="H467" s="16" t="b">
        <v>0</v>
      </c>
      <c r="I467" s="16" t="s">
        <v>25</v>
      </c>
      <c r="J467" s="16" t="s">
        <v>26</v>
      </c>
      <c r="K467" s="16" t="s">
        <v>399</v>
      </c>
      <c r="L467" s="16" t="s">
        <v>39</v>
      </c>
      <c r="M467" s="16">
        <v>751</v>
      </c>
    </row>
    <row r="468" ht="15.75" customHeight="1" spans="1:13">
      <c r="A468" s="16" t="s">
        <v>736</v>
      </c>
      <c r="B468" s="16" t="s">
        <v>147</v>
      </c>
      <c r="C468" s="16"/>
      <c r="D468" s="74"/>
      <c r="E468" s="16"/>
      <c r="F468" s="16"/>
      <c r="G468" s="75" t="b">
        <f t="shared" si="0"/>
        <v>0</v>
      </c>
      <c r="H468" s="16" t="b">
        <v>0</v>
      </c>
      <c r="I468" s="16" t="s">
        <v>25</v>
      </c>
      <c r="J468" s="16" t="s">
        <v>26</v>
      </c>
      <c r="K468" s="16" t="s">
        <v>159</v>
      </c>
      <c r="L468" s="16" t="s">
        <v>160</v>
      </c>
      <c r="M468" s="16">
        <v>638</v>
      </c>
    </row>
    <row r="469" ht="15.75" customHeight="1" spans="1:13">
      <c r="A469" s="16" t="s">
        <v>737</v>
      </c>
      <c r="B469" s="16" t="s">
        <v>147</v>
      </c>
      <c r="C469" s="16"/>
      <c r="D469" s="74"/>
      <c r="E469" s="16"/>
      <c r="F469" s="16"/>
      <c r="G469" s="75" t="b">
        <f t="shared" si="0"/>
        <v>0</v>
      </c>
      <c r="H469" s="16" t="b">
        <v>0</v>
      </c>
      <c r="I469" s="16" t="s">
        <v>131</v>
      </c>
      <c r="J469" s="16" t="s">
        <v>132</v>
      </c>
      <c r="K469" s="16" t="s">
        <v>738</v>
      </c>
      <c r="L469" s="16" t="s">
        <v>21</v>
      </c>
      <c r="M469" s="16">
        <v>210</v>
      </c>
    </row>
    <row r="470" ht="15.75" customHeight="1" spans="1:13">
      <c r="A470" s="16" t="s">
        <v>739</v>
      </c>
      <c r="B470" s="16" t="s">
        <v>147</v>
      </c>
      <c r="C470" s="16"/>
      <c r="D470" s="74"/>
      <c r="E470" s="16"/>
      <c r="F470" s="16"/>
      <c r="G470" s="75" t="b">
        <f t="shared" si="0"/>
        <v>0</v>
      </c>
      <c r="H470" s="16" t="b">
        <v>0</v>
      </c>
      <c r="I470" s="16" t="s">
        <v>173</v>
      </c>
      <c r="J470" s="16" t="s">
        <v>54</v>
      </c>
      <c r="K470" s="16" t="s">
        <v>55</v>
      </c>
      <c r="L470" s="16" t="s">
        <v>21</v>
      </c>
      <c r="M470" s="16">
        <v>343</v>
      </c>
    </row>
    <row r="471" ht="15.75" customHeight="1" spans="1:13">
      <c r="A471" s="16" t="s">
        <v>740</v>
      </c>
      <c r="B471" s="16" t="s">
        <v>147</v>
      </c>
      <c r="C471" s="16" t="s">
        <v>183</v>
      </c>
      <c r="D471" s="74" t="s">
        <v>357</v>
      </c>
      <c r="E471" s="16" t="s">
        <v>741</v>
      </c>
      <c r="F471" s="16"/>
      <c r="G471" s="75" t="b">
        <f t="shared" si="0"/>
        <v>0</v>
      </c>
      <c r="H471" s="16" t="b">
        <v>0</v>
      </c>
      <c r="I471" s="16" t="s">
        <v>358</v>
      </c>
      <c r="J471" s="16" t="s">
        <v>63</v>
      </c>
      <c r="K471" s="16" t="s">
        <v>64</v>
      </c>
      <c r="L471" s="16" t="s">
        <v>39</v>
      </c>
      <c r="M471" s="16">
        <v>516</v>
      </c>
    </row>
    <row r="472" ht="15.75" customHeight="1" spans="1:13">
      <c r="A472" s="16" t="s">
        <v>742</v>
      </c>
      <c r="B472" s="16" t="s">
        <v>23</v>
      </c>
      <c r="C472" s="16" t="s">
        <v>183</v>
      </c>
      <c r="D472" s="74" t="s">
        <v>280</v>
      </c>
      <c r="E472" s="16"/>
      <c r="F472" s="16"/>
      <c r="G472" s="75" t="b">
        <f t="shared" si="0"/>
        <v>0</v>
      </c>
      <c r="H472" s="16" t="b">
        <v>0</v>
      </c>
      <c r="I472" s="16" t="s">
        <v>18</v>
      </c>
      <c r="J472" s="16" t="s">
        <v>38</v>
      </c>
      <c r="K472" s="16"/>
      <c r="L472" s="16" t="s">
        <v>39</v>
      </c>
      <c r="M472" s="16">
        <v>393</v>
      </c>
    </row>
    <row r="473" ht="15.75" customHeight="1" spans="1:13">
      <c r="A473" s="16" t="s">
        <v>743</v>
      </c>
      <c r="B473" s="16" t="s">
        <v>147</v>
      </c>
      <c r="C473" s="16" t="s">
        <v>15</v>
      </c>
      <c r="D473" s="74"/>
      <c r="E473" s="16"/>
      <c r="F473" s="16"/>
      <c r="G473" s="75" t="b">
        <f t="shared" si="0"/>
        <v>0</v>
      </c>
      <c r="H473" s="16" t="b">
        <v>0</v>
      </c>
      <c r="I473" s="16" t="s">
        <v>45</v>
      </c>
      <c r="J473" s="16" t="s">
        <v>63</v>
      </c>
      <c r="K473" s="16" t="s">
        <v>93</v>
      </c>
      <c r="L473" s="16" t="s">
        <v>21</v>
      </c>
      <c r="M473" s="16">
        <v>263</v>
      </c>
    </row>
    <row r="474" ht="15.75" customHeight="1" spans="1:13">
      <c r="A474" s="16" t="s">
        <v>744</v>
      </c>
      <c r="B474" s="16" t="s">
        <v>147</v>
      </c>
      <c r="C474" s="16" t="s">
        <v>183</v>
      </c>
      <c r="D474" s="74" t="s">
        <v>745</v>
      </c>
      <c r="E474" s="16"/>
      <c r="F474" s="16"/>
      <c r="G474" s="75" t="b">
        <f t="shared" si="0"/>
        <v>0</v>
      </c>
      <c r="H474" s="16" t="b">
        <v>0</v>
      </c>
      <c r="I474" s="16" t="s">
        <v>746</v>
      </c>
      <c r="J474" s="16" t="s">
        <v>19</v>
      </c>
      <c r="K474" s="16" t="s">
        <v>747</v>
      </c>
      <c r="L474" s="16" t="s">
        <v>21</v>
      </c>
      <c r="M474" s="16">
        <v>124</v>
      </c>
    </row>
    <row r="475" ht="15.75" customHeight="1" spans="1:13">
      <c r="A475" s="16" t="s">
        <v>748</v>
      </c>
      <c r="B475" s="16" t="s">
        <v>147</v>
      </c>
      <c r="C475" s="16"/>
      <c r="D475" s="74"/>
      <c r="E475" s="16"/>
      <c r="F475" s="16"/>
      <c r="G475" s="75" t="b">
        <f t="shared" si="0"/>
        <v>0</v>
      </c>
      <c r="H475" s="16" t="b">
        <v>0</v>
      </c>
      <c r="I475" s="16" t="s">
        <v>67</v>
      </c>
      <c r="J475" s="16" t="s">
        <v>26</v>
      </c>
      <c r="K475" s="16" t="s">
        <v>68</v>
      </c>
      <c r="L475" s="16" t="s">
        <v>21</v>
      </c>
      <c r="M475" s="16">
        <v>19</v>
      </c>
    </row>
    <row r="476" ht="15.75" customHeight="1" spans="1:13">
      <c r="A476" s="16" t="s">
        <v>749</v>
      </c>
      <c r="B476" s="16" t="s">
        <v>147</v>
      </c>
      <c r="C476" s="16"/>
      <c r="D476" s="74"/>
      <c r="E476" s="16"/>
      <c r="F476" s="16"/>
      <c r="G476" s="75" t="b">
        <f t="shared" si="0"/>
        <v>0</v>
      </c>
      <c r="H476" s="16" t="b">
        <v>0</v>
      </c>
      <c r="I476" s="16" t="s">
        <v>392</v>
      </c>
      <c r="J476" s="16" t="s">
        <v>54</v>
      </c>
      <c r="K476" s="16" t="s">
        <v>198</v>
      </c>
      <c r="L476" s="16" t="s">
        <v>21</v>
      </c>
      <c r="M476" s="16">
        <v>1014</v>
      </c>
    </row>
    <row r="477" ht="15.75" customHeight="1" spans="1:13">
      <c r="A477" s="16" t="s">
        <v>750</v>
      </c>
      <c r="B477" s="16" t="s">
        <v>147</v>
      </c>
      <c r="C477" s="16" t="s">
        <v>15</v>
      </c>
      <c r="D477" s="74"/>
      <c r="E477" s="16" t="s">
        <v>751</v>
      </c>
      <c r="F477" s="16"/>
      <c r="G477" s="75" t="b">
        <f t="shared" si="0"/>
        <v>0</v>
      </c>
      <c r="H477" s="16" t="b">
        <v>0</v>
      </c>
      <c r="I477" s="16" t="s">
        <v>258</v>
      </c>
      <c r="J477" s="16" t="s">
        <v>264</v>
      </c>
      <c r="K477" s="16" t="s">
        <v>265</v>
      </c>
      <c r="L477" s="16" t="s">
        <v>21</v>
      </c>
      <c r="M477" s="16">
        <v>879</v>
      </c>
    </row>
    <row r="478" ht="15.75" customHeight="1" spans="1:13">
      <c r="A478" s="16" t="s">
        <v>752</v>
      </c>
      <c r="B478" s="16" t="s">
        <v>147</v>
      </c>
      <c r="C478" s="16" t="s">
        <v>15</v>
      </c>
      <c r="D478" s="74"/>
      <c r="E478" s="16"/>
      <c r="F478" s="16"/>
      <c r="G478" s="75" t="b">
        <f t="shared" si="0"/>
        <v>0</v>
      </c>
      <c r="H478" s="16" t="b">
        <v>0</v>
      </c>
      <c r="I478" s="16" t="s">
        <v>92</v>
      </c>
      <c r="J478" s="16" t="s">
        <v>63</v>
      </c>
      <c r="K478" s="16" t="s">
        <v>93</v>
      </c>
      <c r="L478" s="16" t="s">
        <v>21</v>
      </c>
      <c r="M478" s="16">
        <v>265</v>
      </c>
    </row>
    <row r="479" ht="15.75" customHeight="1" spans="1:13">
      <c r="A479" s="16" t="s">
        <v>753</v>
      </c>
      <c r="B479" s="16" t="s">
        <v>147</v>
      </c>
      <c r="C479" s="16" t="s">
        <v>190</v>
      </c>
      <c r="D479" s="74"/>
      <c r="E479" s="16" t="s">
        <v>754</v>
      </c>
      <c r="F479" s="16"/>
      <c r="G479" s="75" t="b">
        <f t="shared" si="0"/>
        <v>0</v>
      </c>
      <c r="H479" s="16" t="b">
        <v>0</v>
      </c>
      <c r="I479" s="16" t="s">
        <v>29</v>
      </c>
      <c r="J479" s="16" t="s">
        <v>30</v>
      </c>
      <c r="K479" s="16" t="s">
        <v>31</v>
      </c>
      <c r="L479" s="16" t="s">
        <v>21</v>
      </c>
      <c r="M479" s="16">
        <v>884</v>
      </c>
    </row>
    <row r="480" ht="15.75" customHeight="1" spans="1:13">
      <c r="A480" s="16" t="s">
        <v>755</v>
      </c>
      <c r="B480" s="16" t="s">
        <v>147</v>
      </c>
      <c r="C480" s="16"/>
      <c r="D480" s="74"/>
      <c r="E480" s="16"/>
      <c r="F480" s="16"/>
      <c r="G480" s="75" t="b">
        <f t="shared" si="0"/>
        <v>0</v>
      </c>
      <c r="H480" s="16" t="b">
        <v>0</v>
      </c>
      <c r="I480" s="16" t="s">
        <v>173</v>
      </c>
      <c r="J480" s="16" t="s">
        <v>421</v>
      </c>
      <c r="K480" s="16" t="s">
        <v>468</v>
      </c>
      <c r="L480" s="16" t="s">
        <v>21</v>
      </c>
      <c r="M480" s="16">
        <v>917</v>
      </c>
    </row>
    <row r="481" ht="15.75" customHeight="1" spans="1:13">
      <c r="A481" s="16" t="s">
        <v>756</v>
      </c>
      <c r="B481" s="16" t="s">
        <v>147</v>
      </c>
      <c r="C481" s="16"/>
      <c r="D481" s="74"/>
      <c r="E481" s="16"/>
      <c r="F481" s="16"/>
      <c r="G481" s="75" t="b">
        <f t="shared" si="0"/>
        <v>0</v>
      </c>
      <c r="H481" s="16" t="b">
        <v>0</v>
      </c>
      <c r="I481" s="16" t="s">
        <v>25</v>
      </c>
      <c r="J481" s="16" t="s">
        <v>26</v>
      </c>
      <c r="K481" s="16" t="s">
        <v>77</v>
      </c>
      <c r="L481" s="16" t="s">
        <v>39</v>
      </c>
      <c r="M481" s="16">
        <v>640</v>
      </c>
    </row>
    <row r="482" ht="15.75" customHeight="1" spans="1:13">
      <c r="A482" s="16" t="s">
        <v>757</v>
      </c>
      <c r="B482" s="16" t="s">
        <v>23</v>
      </c>
      <c r="C482" s="16" t="s">
        <v>15</v>
      </c>
      <c r="D482" s="74"/>
      <c r="E482" s="16" t="s">
        <v>758</v>
      </c>
      <c r="F482" s="16"/>
      <c r="G482" s="75" t="b">
        <f t="shared" si="0"/>
        <v>0</v>
      </c>
      <c r="H482" s="16" t="b">
        <v>0</v>
      </c>
      <c r="I482" s="16" t="s">
        <v>312</v>
      </c>
      <c r="J482" s="16" t="s">
        <v>19</v>
      </c>
      <c r="K482" s="16" t="s">
        <v>20</v>
      </c>
      <c r="L482" s="16" t="s">
        <v>21</v>
      </c>
      <c r="M482" s="16">
        <v>861</v>
      </c>
    </row>
    <row r="483" ht="15.75" customHeight="1" spans="1:13">
      <c r="A483" s="16" t="s">
        <v>759</v>
      </c>
      <c r="B483" s="16" t="s">
        <v>147</v>
      </c>
      <c r="C483" s="16"/>
      <c r="D483" s="74"/>
      <c r="E483" s="16"/>
      <c r="F483" s="16"/>
      <c r="G483" s="75" t="b">
        <f t="shared" si="0"/>
        <v>0</v>
      </c>
      <c r="H483" s="16" t="b">
        <v>0</v>
      </c>
      <c r="I483" s="16" t="s">
        <v>57</v>
      </c>
      <c r="J483" s="16" t="s">
        <v>58</v>
      </c>
      <c r="K483" s="16" t="s">
        <v>59</v>
      </c>
      <c r="L483" s="16" t="s">
        <v>21</v>
      </c>
      <c r="M483" s="16">
        <v>238</v>
      </c>
    </row>
    <row r="484" ht="15.75" customHeight="1" spans="1:13">
      <c r="A484" s="16" t="s">
        <v>760</v>
      </c>
      <c r="B484" s="16" t="s">
        <v>147</v>
      </c>
      <c r="C484" s="16"/>
      <c r="D484" s="74"/>
      <c r="E484" s="16"/>
      <c r="F484" s="16"/>
      <c r="G484" s="75" t="b">
        <f t="shared" si="0"/>
        <v>0</v>
      </c>
      <c r="H484" s="16" t="b">
        <v>0</v>
      </c>
      <c r="I484" s="16" t="s">
        <v>53</v>
      </c>
      <c r="J484" s="16" t="s">
        <v>54</v>
      </c>
      <c r="K484" s="16" t="s">
        <v>149</v>
      </c>
      <c r="L484" s="16" t="s">
        <v>21</v>
      </c>
      <c r="M484" s="16">
        <v>190</v>
      </c>
    </row>
    <row r="485" ht="15.75" customHeight="1" spans="1:13">
      <c r="A485" s="16" t="s">
        <v>761</v>
      </c>
      <c r="B485" s="16" t="s">
        <v>147</v>
      </c>
      <c r="C485" s="16" t="s">
        <v>15</v>
      </c>
      <c r="D485" s="74"/>
      <c r="E485" s="16"/>
      <c r="F485" s="16"/>
      <c r="G485" s="75" t="b">
        <f t="shared" si="0"/>
        <v>0</v>
      </c>
      <c r="H485" s="16" t="b">
        <v>0</v>
      </c>
      <c r="I485" s="16" t="s">
        <v>207</v>
      </c>
      <c r="J485" s="16" t="s">
        <v>63</v>
      </c>
      <c r="K485" s="16" t="s">
        <v>169</v>
      </c>
      <c r="L485" s="16" t="s">
        <v>21</v>
      </c>
      <c r="M485" s="16">
        <v>876</v>
      </c>
    </row>
    <row r="486" ht="15.75" customHeight="1" spans="1:13">
      <c r="A486" s="16" t="s">
        <v>762</v>
      </c>
      <c r="B486" s="16" t="s">
        <v>147</v>
      </c>
      <c r="C486" s="16"/>
      <c r="D486" s="74"/>
      <c r="E486" s="16"/>
      <c r="F486" s="16"/>
      <c r="G486" s="75" t="b">
        <f t="shared" si="0"/>
        <v>0</v>
      </c>
      <c r="H486" s="16" t="b">
        <v>0</v>
      </c>
      <c r="I486" s="16" t="s">
        <v>25</v>
      </c>
      <c r="J486" s="16" t="s">
        <v>26</v>
      </c>
      <c r="K486" s="16" t="s">
        <v>399</v>
      </c>
      <c r="L486" s="16" t="s">
        <v>39</v>
      </c>
      <c r="M486" s="16">
        <v>765</v>
      </c>
    </row>
    <row r="487" ht="15.75" customHeight="1" spans="1:13">
      <c r="A487" s="16" t="s">
        <v>763</v>
      </c>
      <c r="B487" s="16" t="s">
        <v>147</v>
      </c>
      <c r="C487" s="16" t="s">
        <v>15</v>
      </c>
      <c r="D487" s="74"/>
      <c r="E487" s="16" t="s">
        <v>764</v>
      </c>
      <c r="F487" s="16"/>
      <c r="G487" s="75" t="b">
        <f t="shared" si="0"/>
        <v>0</v>
      </c>
      <c r="H487" s="16" t="b">
        <v>0</v>
      </c>
      <c r="I487" s="16" t="s">
        <v>588</v>
      </c>
      <c r="J487" s="16" t="s">
        <v>19</v>
      </c>
      <c r="K487" s="16" t="s">
        <v>589</v>
      </c>
      <c r="L487" s="16" t="s">
        <v>39</v>
      </c>
      <c r="M487" s="16">
        <v>854</v>
      </c>
    </row>
    <row r="488" ht="15.75" customHeight="1" spans="1:13">
      <c r="A488" s="16" t="s">
        <v>765</v>
      </c>
      <c r="B488" s="16" t="s">
        <v>147</v>
      </c>
      <c r="C488" s="16" t="s">
        <v>15</v>
      </c>
      <c r="D488" s="74"/>
      <c r="E488" s="16"/>
      <c r="F488" s="16"/>
      <c r="G488" s="75" t="b">
        <f t="shared" si="0"/>
        <v>0</v>
      </c>
      <c r="H488" s="16" t="b">
        <v>0</v>
      </c>
      <c r="I488" s="16" t="s">
        <v>141</v>
      </c>
      <c r="J488" s="16" t="s">
        <v>126</v>
      </c>
      <c r="K488" s="16" t="s">
        <v>142</v>
      </c>
      <c r="L488" s="16" t="s">
        <v>21</v>
      </c>
      <c r="M488" s="16">
        <v>285</v>
      </c>
    </row>
    <row r="489" ht="15.75" customHeight="1" spans="1:13">
      <c r="A489" s="16" t="s">
        <v>766</v>
      </c>
      <c r="B489" s="16" t="s">
        <v>147</v>
      </c>
      <c r="C489" s="16"/>
      <c r="D489" s="74"/>
      <c r="E489" s="16"/>
      <c r="F489" s="16"/>
      <c r="G489" s="75" t="b">
        <f t="shared" si="0"/>
        <v>0</v>
      </c>
      <c r="H489" s="16" t="b">
        <v>0</v>
      </c>
      <c r="I489" s="16" t="s">
        <v>109</v>
      </c>
      <c r="J489" s="16" t="s">
        <v>58</v>
      </c>
      <c r="K489" s="16" t="s">
        <v>177</v>
      </c>
      <c r="L489" s="16" t="s">
        <v>21</v>
      </c>
      <c r="M489" s="16">
        <v>534</v>
      </c>
    </row>
    <row r="490" ht="15.75" customHeight="1" spans="1:13">
      <c r="A490" s="16" t="s">
        <v>767</v>
      </c>
      <c r="B490" s="16" t="s">
        <v>147</v>
      </c>
      <c r="C490" s="16"/>
      <c r="D490" s="74"/>
      <c r="E490" s="16"/>
      <c r="F490" s="16"/>
      <c r="G490" s="75" t="b">
        <f t="shared" si="0"/>
        <v>0</v>
      </c>
      <c r="H490" s="16" t="b">
        <v>0</v>
      </c>
      <c r="I490" s="16" t="s">
        <v>303</v>
      </c>
      <c r="J490" s="16" t="s">
        <v>30</v>
      </c>
      <c r="K490" s="16" t="s">
        <v>31</v>
      </c>
      <c r="L490" s="16" t="s">
        <v>21</v>
      </c>
      <c r="M490" s="16">
        <v>248</v>
      </c>
    </row>
    <row r="491" ht="15.75" customHeight="1" spans="1:13">
      <c r="A491" s="16" t="s">
        <v>768</v>
      </c>
      <c r="B491" s="16" t="s">
        <v>147</v>
      </c>
      <c r="C491" s="16"/>
      <c r="D491" s="74"/>
      <c r="E491" s="16"/>
      <c r="F491" s="16"/>
      <c r="G491" s="75" t="b">
        <f t="shared" si="0"/>
        <v>0</v>
      </c>
      <c r="H491" s="16" t="b">
        <v>0</v>
      </c>
      <c r="I491" s="16" t="s">
        <v>25</v>
      </c>
      <c r="J491" s="16" t="s">
        <v>26</v>
      </c>
      <c r="K491" s="16" t="s">
        <v>77</v>
      </c>
      <c r="L491" s="16" t="s">
        <v>39</v>
      </c>
      <c r="M491" s="16">
        <v>1028</v>
      </c>
    </row>
    <row r="492" ht="15.75" customHeight="1" spans="1:13">
      <c r="A492" s="16" t="s">
        <v>769</v>
      </c>
      <c r="B492" s="16" t="s">
        <v>147</v>
      </c>
      <c r="C492" s="16"/>
      <c r="D492" s="74"/>
      <c r="E492" s="16"/>
      <c r="F492" s="16"/>
      <c r="G492" s="75" t="b">
        <f t="shared" si="0"/>
        <v>0</v>
      </c>
      <c r="H492" s="16" t="b">
        <v>0</v>
      </c>
      <c r="I492" s="16" t="s">
        <v>25</v>
      </c>
      <c r="J492" s="16" t="s">
        <v>26</v>
      </c>
      <c r="K492" s="16" t="s">
        <v>77</v>
      </c>
      <c r="L492" s="16" t="s">
        <v>39</v>
      </c>
      <c r="M492" s="16">
        <v>1020</v>
      </c>
    </row>
    <row r="493" ht="15.75" customHeight="1" spans="1:13">
      <c r="A493" s="16" t="s">
        <v>770</v>
      </c>
      <c r="B493" s="16" t="s">
        <v>147</v>
      </c>
      <c r="C493" s="16"/>
      <c r="D493" s="74"/>
      <c r="E493" s="16"/>
      <c r="F493" s="16"/>
      <c r="G493" s="75" t="b">
        <f t="shared" si="0"/>
        <v>0</v>
      </c>
      <c r="H493" s="16" t="b">
        <v>0</v>
      </c>
      <c r="I493" s="16" t="s">
        <v>29</v>
      </c>
      <c r="J493" s="16" t="s">
        <v>46</v>
      </c>
      <c r="K493" s="16" t="s">
        <v>771</v>
      </c>
      <c r="L493" s="16" t="s">
        <v>21</v>
      </c>
      <c r="M493" s="16">
        <v>21</v>
      </c>
    </row>
    <row r="494" ht="15.75" customHeight="1" spans="1:13">
      <c r="A494" s="16" t="s">
        <v>772</v>
      </c>
      <c r="B494" s="16" t="s">
        <v>147</v>
      </c>
      <c r="C494" s="16"/>
      <c r="D494" s="74"/>
      <c r="E494" s="16"/>
      <c r="F494" s="16"/>
      <c r="G494" s="75" t="b">
        <f t="shared" si="0"/>
        <v>0</v>
      </c>
      <c r="H494" s="16" t="b">
        <v>0</v>
      </c>
      <c r="I494" s="16" t="s">
        <v>53</v>
      </c>
      <c r="J494" s="16" t="s">
        <v>54</v>
      </c>
      <c r="K494" s="16" t="s">
        <v>198</v>
      </c>
      <c r="L494" s="16" t="s">
        <v>21</v>
      </c>
      <c r="M494" s="16">
        <v>963</v>
      </c>
    </row>
    <row r="495" ht="15.75" customHeight="1" spans="1:13">
      <c r="A495" s="16" t="s">
        <v>745</v>
      </c>
      <c r="B495" s="16" t="s">
        <v>147</v>
      </c>
      <c r="C495" s="16" t="s">
        <v>183</v>
      </c>
      <c r="D495" s="74" t="s">
        <v>745</v>
      </c>
      <c r="E495" s="16"/>
      <c r="F495" s="16"/>
      <c r="G495" s="75" t="b">
        <f t="shared" si="0"/>
        <v>0</v>
      </c>
      <c r="H495" s="16" t="b">
        <v>0</v>
      </c>
      <c r="I495" s="16" t="s">
        <v>746</v>
      </c>
      <c r="J495" s="16" t="s">
        <v>19</v>
      </c>
      <c r="K495" s="16" t="s">
        <v>747</v>
      </c>
      <c r="L495" s="16" t="s">
        <v>21</v>
      </c>
      <c r="M495" s="16">
        <v>369</v>
      </c>
    </row>
    <row r="496" ht="15.75" customHeight="1" spans="1:13">
      <c r="A496" s="16" t="s">
        <v>773</v>
      </c>
      <c r="B496" s="16" t="s">
        <v>147</v>
      </c>
      <c r="C496" s="16" t="s">
        <v>15</v>
      </c>
      <c r="D496" s="74"/>
      <c r="E496" s="16"/>
      <c r="F496" s="16"/>
      <c r="G496" s="75" t="b">
        <f t="shared" si="0"/>
        <v>0</v>
      </c>
      <c r="H496" s="16" t="b">
        <v>0</v>
      </c>
      <c r="I496" s="16" t="s">
        <v>141</v>
      </c>
      <c r="J496" s="16" t="s">
        <v>126</v>
      </c>
      <c r="K496" s="16" t="s">
        <v>774</v>
      </c>
      <c r="L496" s="16" t="s">
        <v>21</v>
      </c>
      <c r="M496" s="16">
        <v>283</v>
      </c>
    </row>
    <row r="497" ht="15.75" customHeight="1" spans="1:13">
      <c r="A497" s="16" t="s">
        <v>775</v>
      </c>
      <c r="B497" s="16" t="s">
        <v>147</v>
      </c>
      <c r="C497" s="16" t="s">
        <v>15</v>
      </c>
      <c r="D497" s="74"/>
      <c r="E497" s="16"/>
      <c r="F497" s="16"/>
      <c r="G497" s="75" t="b">
        <f t="shared" si="0"/>
        <v>0</v>
      </c>
      <c r="H497" s="16" t="b">
        <v>0</v>
      </c>
      <c r="I497" s="16" t="s">
        <v>72</v>
      </c>
      <c r="J497" s="16" t="s">
        <v>30</v>
      </c>
      <c r="K497" s="16" t="s">
        <v>31</v>
      </c>
      <c r="L497" s="16" t="s">
        <v>21</v>
      </c>
      <c r="M497" s="16">
        <v>695</v>
      </c>
    </row>
    <row r="498" ht="15.75" customHeight="1" spans="1:13">
      <c r="A498" s="16" t="s">
        <v>776</v>
      </c>
      <c r="B498" s="16" t="s">
        <v>147</v>
      </c>
      <c r="C498" s="16" t="s">
        <v>15</v>
      </c>
      <c r="D498" s="74"/>
      <c r="E498" s="16"/>
      <c r="F498" s="16"/>
      <c r="G498" s="75" t="b">
        <f t="shared" si="0"/>
        <v>0</v>
      </c>
      <c r="H498" s="16" t="b">
        <v>0</v>
      </c>
      <c r="I498" s="16" t="s">
        <v>62</v>
      </c>
      <c r="J498" s="16" t="s">
        <v>63</v>
      </c>
      <c r="K498" s="16" t="s">
        <v>64</v>
      </c>
      <c r="L498" s="16" t="s">
        <v>21</v>
      </c>
      <c r="M498" s="16">
        <v>706</v>
      </c>
    </row>
    <row r="499" ht="15.75" customHeight="1" spans="1:13">
      <c r="A499" s="16" t="s">
        <v>777</v>
      </c>
      <c r="B499" s="16" t="s">
        <v>14</v>
      </c>
      <c r="C499" s="16" t="s">
        <v>15</v>
      </c>
      <c r="D499" s="74"/>
      <c r="E499" s="16" t="s">
        <v>778</v>
      </c>
      <c r="F499" s="16"/>
      <c r="G499" s="75" t="b">
        <f t="shared" si="0"/>
        <v>0</v>
      </c>
      <c r="H499" s="16" t="b">
        <v>0</v>
      </c>
      <c r="I499" s="16" t="s">
        <v>225</v>
      </c>
      <c r="J499" s="16" t="s">
        <v>211</v>
      </c>
      <c r="K499" s="16" t="s">
        <v>573</v>
      </c>
      <c r="L499" s="16" t="s">
        <v>21</v>
      </c>
      <c r="M499" s="16">
        <v>108</v>
      </c>
    </row>
    <row r="500" ht="15.75" customHeight="1" spans="1:13">
      <c r="A500" s="80" t="s">
        <v>269</v>
      </c>
      <c r="B500" s="16" t="s">
        <v>779</v>
      </c>
      <c r="C500" s="16" t="s">
        <v>15</v>
      </c>
      <c r="D500" s="74"/>
      <c r="E500" s="16" t="s">
        <v>780</v>
      </c>
      <c r="F500" s="16"/>
      <c r="G500" s="75" t="b">
        <f t="shared" si="0"/>
        <v>0</v>
      </c>
      <c r="H500" s="16" t="b">
        <v>0</v>
      </c>
      <c r="I500" s="16" t="s">
        <v>269</v>
      </c>
      <c r="J500" s="16" t="s">
        <v>211</v>
      </c>
      <c r="K500" s="16" t="s">
        <v>781</v>
      </c>
      <c r="L500" s="16" t="s">
        <v>21</v>
      </c>
      <c r="M500" s="16">
        <v>950</v>
      </c>
    </row>
    <row r="501" ht="15.75" customHeight="1" spans="1:13">
      <c r="A501" s="16" t="s">
        <v>782</v>
      </c>
      <c r="B501" s="16" t="s">
        <v>14</v>
      </c>
      <c r="C501" s="16" t="s">
        <v>15</v>
      </c>
      <c r="D501" s="74"/>
      <c r="E501" s="16" t="s">
        <v>783</v>
      </c>
      <c r="F501" s="16"/>
      <c r="G501" s="75" t="b">
        <f t="shared" si="0"/>
        <v>0</v>
      </c>
      <c r="H501" s="16" t="b">
        <v>0</v>
      </c>
      <c r="I501" s="16" t="s">
        <v>82</v>
      </c>
      <c r="J501" s="16" t="s">
        <v>83</v>
      </c>
      <c r="K501" s="16" t="s">
        <v>84</v>
      </c>
      <c r="L501" s="16" t="s">
        <v>21</v>
      </c>
      <c r="M501" s="16">
        <v>445</v>
      </c>
    </row>
    <row r="502" ht="15.75" customHeight="1" spans="1:13">
      <c r="A502" s="16" t="s">
        <v>784</v>
      </c>
      <c r="B502" s="16" t="s">
        <v>147</v>
      </c>
      <c r="C502" s="16" t="s">
        <v>15</v>
      </c>
      <c r="D502" s="74"/>
      <c r="E502" s="16"/>
      <c r="F502" s="16"/>
      <c r="G502" s="75" t="b">
        <f t="shared" si="0"/>
        <v>0</v>
      </c>
      <c r="H502" s="16" t="b">
        <v>0</v>
      </c>
      <c r="I502" s="16" t="s">
        <v>207</v>
      </c>
      <c r="J502" s="16" t="s">
        <v>63</v>
      </c>
      <c r="K502" s="16" t="s">
        <v>169</v>
      </c>
      <c r="L502" s="16" t="s">
        <v>21</v>
      </c>
      <c r="M502" s="16">
        <v>143</v>
      </c>
    </row>
    <row r="503" ht="15.75" customHeight="1" spans="1:13">
      <c r="A503" s="16" t="s">
        <v>785</v>
      </c>
      <c r="B503" s="16" t="s">
        <v>147</v>
      </c>
      <c r="C503" s="16" t="s">
        <v>15</v>
      </c>
      <c r="D503" s="74"/>
      <c r="E503" s="16"/>
      <c r="F503" s="16"/>
      <c r="G503" s="75" t="b">
        <f t="shared" si="0"/>
        <v>0</v>
      </c>
      <c r="H503" s="16" t="b">
        <v>0</v>
      </c>
      <c r="I503" s="16" t="s">
        <v>82</v>
      </c>
      <c r="J503" s="16" t="s">
        <v>83</v>
      </c>
      <c r="K503" s="16" t="s">
        <v>786</v>
      </c>
      <c r="L503" s="16" t="s">
        <v>21</v>
      </c>
      <c r="M503" s="16">
        <v>485</v>
      </c>
    </row>
    <row r="504" ht="15.75" customHeight="1" spans="1:13">
      <c r="A504" s="16" t="s">
        <v>787</v>
      </c>
      <c r="B504" s="16" t="s">
        <v>147</v>
      </c>
      <c r="C504" s="16" t="s">
        <v>15</v>
      </c>
      <c r="D504" s="74"/>
      <c r="E504" s="16"/>
      <c r="F504" s="16"/>
      <c r="G504" s="75" t="b">
        <f t="shared" si="0"/>
        <v>0</v>
      </c>
      <c r="H504" s="16" t="b">
        <v>0</v>
      </c>
      <c r="I504" s="16" t="s">
        <v>276</v>
      </c>
      <c r="J504" s="16" t="s">
        <v>63</v>
      </c>
      <c r="K504" s="16" t="s">
        <v>169</v>
      </c>
      <c r="L504" s="16" t="s">
        <v>21</v>
      </c>
      <c r="M504" s="16">
        <v>382</v>
      </c>
    </row>
    <row r="505" ht="15.75" customHeight="1" spans="1:13">
      <c r="A505" s="16" t="s">
        <v>788</v>
      </c>
      <c r="B505" s="16" t="s">
        <v>147</v>
      </c>
      <c r="C505" s="16" t="s">
        <v>15</v>
      </c>
      <c r="D505" s="74"/>
      <c r="E505" s="16" t="s">
        <v>789</v>
      </c>
      <c r="F505" s="16"/>
      <c r="G505" s="75" t="b">
        <f t="shared" si="0"/>
        <v>0</v>
      </c>
      <c r="H505" s="16" t="b">
        <v>0</v>
      </c>
      <c r="I505" s="16" t="s">
        <v>225</v>
      </c>
      <c r="J505" s="16" t="s">
        <v>211</v>
      </c>
      <c r="K505" s="16" t="s">
        <v>573</v>
      </c>
      <c r="L505" s="16" t="s">
        <v>39</v>
      </c>
      <c r="M505" s="16">
        <v>846</v>
      </c>
    </row>
    <row r="506" ht="15.75" customHeight="1" spans="1:13">
      <c r="A506" s="16" t="s">
        <v>790</v>
      </c>
      <c r="B506" s="16" t="s">
        <v>14</v>
      </c>
      <c r="C506" s="16" t="s">
        <v>15</v>
      </c>
      <c r="D506" s="74"/>
      <c r="E506" s="16" t="s">
        <v>791</v>
      </c>
      <c r="F506" s="16"/>
      <c r="G506" s="75" t="b">
        <f t="shared" si="0"/>
        <v>0</v>
      </c>
      <c r="H506" s="16" t="b">
        <v>0</v>
      </c>
      <c r="I506" s="16" t="s">
        <v>57</v>
      </c>
      <c r="J506" s="16" t="s">
        <v>30</v>
      </c>
      <c r="K506" s="16" t="s">
        <v>378</v>
      </c>
      <c r="L506" s="16" t="s">
        <v>21</v>
      </c>
      <c r="M506" s="16">
        <v>441</v>
      </c>
    </row>
    <row r="507" ht="15.75" customHeight="1" spans="1:13">
      <c r="A507" s="16" t="s">
        <v>792</v>
      </c>
      <c r="B507" s="16" t="s">
        <v>147</v>
      </c>
      <c r="C507" s="16"/>
      <c r="D507" s="74"/>
      <c r="E507" s="16"/>
      <c r="F507" s="16"/>
      <c r="G507" s="75" t="b">
        <f t="shared" si="0"/>
        <v>0</v>
      </c>
      <c r="H507" s="16" t="b">
        <v>0</v>
      </c>
      <c r="I507" s="16" t="s">
        <v>109</v>
      </c>
      <c r="J507" s="16" t="s">
        <v>58</v>
      </c>
      <c r="K507" s="16" t="s">
        <v>177</v>
      </c>
      <c r="L507" s="16" t="s">
        <v>21</v>
      </c>
      <c r="M507" s="16">
        <v>1008</v>
      </c>
    </row>
    <row r="508" ht="15.75" customHeight="1" spans="1:13">
      <c r="A508" s="16" t="s">
        <v>793</v>
      </c>
      <c r="B508" s="16" t="s">
        <v>147</v>
      </c>
      <c r="C508" s="16"/>
      <c r="D508" s="74"/>
      <c r="E508" s="16"/>
      <c r="F508" s="16"/>
      <c r="G508" s="75" t="b">
        <f t="shared" si="0"/>
        <v>0</v>
      </c>
      <c r="H508" s="16" t="b">
        <v>0</v>
      </c>
      <c r="I508" s="16" t="s">
        <v>732</v>
      </c>
      <c r="J508" s="16" t="s">
        <v>54</v>
      </c>
      <c r="K508" s="16" t="s">
        <v>733</v>
      </c>
      <c r="L508" s="16" t="s">
        <v>21</v>
      </c>
      <c r="M508" s="16">
        <v>500</v>
      </c>
    </row>
    <row r="509" ht="15.75" customHeight="1" spans="1:13">
      <c r="A509" s="16" t="s">
        <v>794</v>
      </c>
      <c r="B509" s="16" t="s">
        <v>147</v>
      </c>
      <c r="C509" s="16" t="s">
        <v>183</v>
      </c>
      <c r="D509" s="74" t="s">
        <v>795</v>
      </c>
      <c r="E509" s="16" t="s">
        <v>796</v>
      </c>
      <c r="F509" s="16"/>
      <c r="G509" s="75" t="b">
        <f t="shared" si="0"/>
        <v>0</v>
      </c>
      <c r="H509" s="16" t="b">
        <v>0</v>
      </c>
      <c r="I509" s="16" t="s">
        <v>141</v>
      </c>
      <c r="J509" s="16" t="s">
        <v>126</v>
      </c>
      <c r="K509" s="16" t="s">
        <v>142</v>
      </c>
      <c r="L509" s="16" t="s">
        <v>21</v>
      </c>
      <c r="M509" s="16">
        <v>249</v>
      </c>
    </row>
    <row r="510" ht="15.75" customHeight="1" spans="1:13">
      <c r="A510" s="16" t="s">
        <v>797</v>
      </c>
      <c r="B510" s="16" t="s">
        <v>147</v>
      </c>
      <c r="C510" s="16"/>
      <c r="D510" s="74"/>
      <c r="E510" s="16"/>
      <c r="F510" s="16"/>
      <c r="G510" s="75" t="b">
        <f t="shared" si="0"/>
        <v>0</v>
      </c>
      <c r="H510" s="16" t="b">
        <v>0</v>
      </c>
      <c r="I510" s="16" t="s">
        <v>207</v>
      </c>
      <c r="J510" s="16" t="s">
        <v>126</v>
      </c>
      <c r="K510" s="16" t="s">
        <v>142</v>
      </c>
      <c r="L510" s="16" t="s">
        <v>21</v>
      </c>
      <c r="M510" s="16">
        <v>673</v>
      </c>
    </row>
    <row r="511" ht="15.75" customHeight="1" spans="1:13">
      <c r="A511" s="16" t="s">
        <v>798</v>
      </c>
      <c r="B511" s="16" t="s">
        <v>147</v>
      </c>
      <c r="C511" s="16"/>
      <c r="D511" s="74"/>
      <c r="E511" s="16"/>
      <c r="F511" s="16"/>
      <c r="G511" s="75" t="b">
        <f t="shared" si="0"/>
        <v>0</v>
      </c>
      <c r="H511" s="16" t="b">
        <v>0</v>
      </c>
      <c r="I511" s="16" t="s">
        <v>109</v>
      </c>
      <c r="J511" s="16" t="s">
        <v>58</v>
      </c>
      <c r="K511" s="16" t="s">
        <v>164</v>
      </c>
      <c r="L511" s="16" t="s">
        <v>21</v>
      </c>
      <c r="M511" s="16">
        <v>833</v>
      </c>
    </row>
    <row r="512" ht="15.75" customHeight="1" spans="1:13">
      <c r="A512" s="16" t="s">
        <v>799</v>
      </c>
      <c r="B512" s="16" t="s">
        <v>147</v>
      </c>
      <c r="C512" s="16"/>
      <c r="D512" s="74"/>
      <c r="E512" s="16"/>
      <c r="F512" s="16"/>
      <c r="G512" s="75" t="b">
        <f t="shared" si="0"/>
        <v>0</v>
      </c>
      <c r="H512" s="16" t="b">
        <v>0</v>
      </c>
      <c r="I512" s="16" t="s">
        <v>41</v>
      </c>
      <c r="J512" s="16" t="s">
        <v>132</v>
      </c>
      <c r="K512" s="16" t="s">
        <v>295</v>
      </c>
      <c r="L512" s="16" t="s">
        <v>21</v>
      </c>
      <c r="M512" s="16">
        <v>402</v>
      </c>
    </row>
    <row r="513" ht="15.75" customHeight="1" spans="1:13">
      <c r="A513" s="16" t="s">
        <v>800</v>
      </c>
      <c r="B513" s="16" t="s">
        <v>147</v>
      </c>
      <c r="C513" s="16" t="s">
        <v>15</v>
      </c>
      <c r="D513" s="74"/>
      <c r="E513" s="16"/>
      <c r="F513" s="16"/>
      <c r="G513" s="75" t="b">
        <f t="shared" si="0"/>
        <v>0</v>
      </c>
      <c r="H513" s="16" t="b">
        <v>0</v>
      </c>
      <c r="I513" s="16" t="s">
        <v>29</v>
      </c>
      <c r="J513" s="16" t="s">
        <v>63</v>
      </c>
      <c r="K513" s="16" t="s">
        <v>93</v>
      </c>
      <c r="L513" s="16" t="s">
        <v>21</v>
      </c>
      <c r="M513" s="16">
        <v>244</v>
      </c>
    </row>
    <row r="514" ht="15.75" customHeight="1" spans="1:13">
      <c r="A514" s="16" t="s">
        <v>801</v>
      </c>
      <c r="B514" s="16" t="s">
        <v>147</v>
      </c>
      <c r="C514" s="16"/>
      <c r="D514" s="74"/>
      <c r="E514" s="16"/>
      <c r="F514" s="16"/>
      <c r="G514" s="75" t="b">
        <f t="shared" si="0"/>
        <v>0</v>
      </c>
      <c r="H514" s="16" t="b">
        <v>0</v>
      </c>
      <c r="I514" s="16" t="s">
        <v>57</v>
      </c>
      <c r="J514" s="16" t="s">
        <v>58</v>
      </c>
      <c r="K514" s="16" t="s">
        <v>177</v>
      </c>
      <c r="L514" s="16" t="s">
        <v>21</v>
      </c>
      <c r="M514" s="16">
        <v>927</v>
      </c>
    </row>
    <row r="515" ht="15.75" customHeight="1" spans="1:13">
      <c r="A515" s="16" t="s">
        <v>802</v>
      </c>
      <c r="B515" s="16" t="s">
        <v>23</v>
      </c>
      <c r="C515" s="16"/>
      <c r="D515" s="74"/>
      <c r="E515" s="16" t="s">
        <v>803</v>
      </c>
      <c r="F515" s="16"/>
      <c r="G515" s="75" t="b">
        <f t="shared" si="0"/>
        <v>0</v>
      </c>
      <c r="H515" s="16" t="b">
        <v>0</v>
      </c>
      <c r="I515" s="16" t="s">
        <v>53</v>
      </c>
      <c r="J515" s="16" t="s">
        <v>54</v>
      </c>
      <c r="K515" s="16" t="s">
        <v>198</v>
      </c>
      <c r="L515" s="16" t="s">
        <v>21</v>
      </c>
      <c r="M515" s="16">
        <v>828</v>
      </c>
    </row>
    <row r="516" ht="15.75" customHeight="1" spans="1:13">
      <c r="A516" s="16" t="s">
        <v>804</v>
      </c>
      <c r="B516" s="16" t="s">
        <v>147</v>
      </c>
      <c r="C516" s="16"/>
      <c r="D516" s="74"/>
      <c r="E516" s="16"/>
      <c r="F516" s="16"/>
      <c r="G516" s="75" t="b">
        <f t="shared" si="0"/>
        <v>0</v>
      </c>
      <c r="H516" s="16" t="b">
        <v>0</v>
      </c>
      <c r="I516" s="16" t="s">
        <v>207</v>
      </c>
      <c r="J516" s="16" t="s">
        <v>126</v>
      </c>
      <c r="K516" s="16" t="s">
        <v>142</v>
      </c>
      <c r="L516" s="16" t="s">
        <v>21</v>
      </c>
      <c r="M516" s="16">
        <v>891</v>
      </c>
    </row>
    <row r="517" ht="15.75" customHeight="1" spans="1:13">
      <c r="A517" s="16" t="s">
        <v>805</v>
      </c>
      <c r="B517" s="16" t="s">
        <v>147</v>
      </c>
      <c r="C517" s="16" t="s">
        <v>15</v>
      </c>
      <c r="D517" s="74"/>
      <c r="E517" s="16"/>
      <c r="F517" s="16"/>
      <c r="G517" s="75" t="b">
        <f t="shared" si="0"/>
        <v>0</v>
      </c>
      <c r="H517" s="16" t="b">
        <v>0</v>
      </c>
      <c r="I517" s="16" t="s">
        <v>575</v>
      </c>
      <c r="J517" s="16" t="s">
        <v>63</v>
      </c>
      <c r="K517" s="16" t="s">
        <v>93</v>
      </c>
      <c r="L517" s="16" t="s">
        <v>21</v>
      </c>
      <c r="M517" s="16">
        <v>156</v>
      </c>
    </row>
    <row r="518" ht="15.75" customHeight="1" spans="1:13">
      <c r="A518" s="16" t="s">
        <v>806</v>
      </c>
      <c r="B518" s="16" t="s">
        <v>147</v>
      </c>
      <c r="C518" s="16"/>
      <c r="D518" s="74"/>
      <c r="E518" s="16"/>
      <c r="F518" s="16"/>
      <c r="G518" s="75" t="b">
        <f t="shared" si="0"/>
        <v>0</v>
      </c>
      <c r="H518" s="16" t="b">
        <v>0</v>
      </c>
      <c r="I518" s="16" t="s">
        <v>53</v>
      </c>
      <c r="J518" s="16" t="s">
        <v>54</v>
      </c>
      <c r="K518" s="16" t="s">
        <v>149</v>
      </c>
      <c r="L518" s="16" t="s">
        <v>21</v>
      </c>
      <c r="M518" s="16">
        <v>333</v>
      </c>
    </row>
    <row r="519" ht="15.75" customHeight="1" spans="1:13">
      <c r="A519" s="16" t="s">
        <v>807</v>
      </c>
      <c r="B519" s="16" t="s">
        <v>147</v>
      </c>
      <c r="C519" s="16" t="s">
        <v>15</v>
      </c>
      <c r="D519" s="74"/>
      <c r="E519" s="16"/>
      <c r="F519" s="16"/>
      <c r="G519" s="75" t="b">
        <f t="shared" si="0"/>
        <v>0</v>
      </c>
      <c r="H519" s="16" t="b">
        <v>0</v>
      </c>
      <c r="I519" s="16" t="s">
        <v>230</v>
      </c>
      <c r="J519" s="16" t="s">
        <v>63</v>
      </c>
      <c r="K519" s="16" t="s">
        <v>93</v>
      </c>
      <c r="L519" s="16" t="s">
        <v>21</v>
      </c>
      <c r="M519" s="16">
        <v>563</v>
      </c>
    </row>
    <row r="520" ht="15.75" customHeight="1" spans="1:13">
      <c r="A520" s="16" t="s">
        <v>808</v>
      </c>
      <c r="B520" s="16" t="s">
        <v>147</v>
      </c>
      <c r="C520" s="16"/>
      <c r="D520" s="74"/>
      <c r="E520" s="16"/>
      <c r="F520" s="16"/>
      <c r="G520" s="75" t="b">
        <f t="shared" si="0"/>
        <v>0</v>
      </c>
      <c r="H520" s="16" t="b">
        <v>0</v>
      </c>
      <c r="I520" s="16" t="s">
        <v>25</v>
      </c>
      <c r="J520" s="16" t="s">
        <v>26</v>
      </c>
      <c r="K520" s="16" t="s">
        <v>77</v>
      </c>
      <c r="L520" s="16" t="s">
        <v>39</v>
      </c>
      <c r="M520" s="16">
        <v>627</v>
      </c>
    </row>
    <row r="521" ht="15.75" customHeight="1" spans="1:13">
      <c r="A521" s="16" t="s">
        <v>809</v>
      </c>
      <c r="B521" s="16" t="s">
        <v>147</v>
      </c>
      <c r="C521" s="16" t="s">
        <v>15</v>
      </c>
      <c r="D521" s="74"/>
      <c r="E521" s="16"/>
      <c r="F521" s="16"/>
      <c r="G521" s="75" t="b">
        <f t="shared" si="0"/>
        <v>0</v>
      </c>
      <c r="H521" s="16" t="b">
        <v>0</v>
      </c>
      <c r="I521" s="16" t="s">
        <v>131</v>
      </c>
      <c r="J521" s="16" t="s">
        <v>132</v>
      </c>
      <c r="K521" s="16" t="s">
        <v>371</v>
      </c>
      <c r="L521" s="16" t="s">
        <v>21</v>
      </c>
      <c r="M521" s="16">
        <v>544</v>
      </c>
    </row>
    <row r="522" ht="15.75" customHeight="1" spans="1:13">
      <c r="A522" s="16" t="s">
        <v>810</v>
      </c>
      <c r="B522" s="16" t="s">
        <v>14</v>
      </c>
      <c r="C522" s="16" t="s">
        <v>15</v>
      </c>
      <c r="D522" s="74"/>
      <c r="E522" s="16" t="s">
        <v>811</v>
      </c>
      <c r="F522" s="16"/>
      <c r="G522" s="75" t="b">
        <f t="shared" si="0"/>
        <v>0</v>
      </c>
      <c r="H522" s="16" t="b">
        <v>0</v>
      </c>
      <c r="I522" s="16" t="s">
        <v>82</v>
      </c>
      <c r="J522" s="16" t="s">
        <v>83</v>
      </c>
      <c r="K522" s="16" t="s">
        <v>84</v>
      </c>
      <c r="L522" s="16" t="s">
        <v>21</v>
      </c>
      <c r="M522" s="16">
        <v>357</v>
      </c>
    </row>
    <row r="523" ht="15.75" customHeight="1" spans="1:13">
      <c r="A523" s="16" t="s">
        <v>812</v>
      </c>
      <c r="B523" s="16" t="s">
        <v>147</v>
      </c>
      <c r="C523" s="16" t="s">
        <v>190</v>
      </c>
      <c r="D523" s="74" t="s">
        <v>723</v>
      </c>
      <c r="E523" s="16"/>
      <c r="F523" s="16"/>
      <c r="G523" s="75" t="b">
        <f t="shared" si="0"/>
        <v>0</v>
      </c>
      <c r="H523" s="16" t="b">
        <v>0</v>
      </c>
      <c r="I523" s="16" t="s">
        <v>575</v>
      </c>
      <c r="J523" s="16" t="s">
        <v>63</v>
      </c>
      <c r="K523" s="16" t="s">
        <v>169</v>
      </c>
      <c r="L523" s="16" t="s">
        <v>21</v>
      </c>
      <c r="M523" s="16">
        <v>520</v>
      </c>
    </row>
    <row r="524" ht="15.75" customHeight="1" spans="1:13">
      <c r="A524" s="16" t="s">
        <v>813</v>
      </c>
      <c r="B524" s="16" t="s">
        <v>147</v>
      </c>
      <c r="C524" s="16"/>
      <c r="D524" s="74"/>
      <c r="E524" s="16"/>
      <c r="F524" s="16"/>
      <c r="G524" s="75" t="b">
        <f t="shared" si="0"/>
        <v>0</v>
      </c>
      <c r="H524" s="16" t="b">
        <v>0</v>
      </c>
      <c r="I524" s="16" t="s">
        <v>173</v>
      </c>
      <c r="J524" s="16" t="s">
        <v>54</v>
      </c>
      <c r="K524" s="16" t="s">
        <v>75</v>
      </c>
      <c r="L524" s="16" t="s">
        <v>21</v>
      </c>
      <c r="M524" s="16">
        <v>536</v>
      </c>
    </row>
    <row r="525" ht="15.75" customHeight="1" spans="1:13">
      <c r="A525" s="16" t="s">
        <v>814</v>
      </c>
      <c r="B525" s="16" t="s">
        <v>147</v>
      </c>
      <c r="C525" s="16"/>
      <c r="D525" s="74"/>
      <c r="E525" s="16"/>
      <c r="F525" s="16"/>
      <c r="G525" s="75" t="b">
        <f t="shared" si="0"/>
        <v>0</v>
      </c>
      <c r="H525" s="16" t="b">
        <v>0</v>
      </c>
      <c r="I525" s="16" t="s">
        <v>53</v>
      </c>
      <c r="J525" s="16" t="s">
        <v>54</v>
      </c>
      <c r="K525" s="16" t="s">
        <v>198</v>
      </c>
      <c r="L525" s="16" t="s">
        <v>21</v>
      </c>
      <c r="M525" s="16">
        <v>865</v>
      </c>
    </row>
    <row r="526" ht="15.75" customHeight="1" spans="1:13">
      <c r="A526" s="16" t="s">
        <v>815</v>
      </c>
      <c r="B526" s="16" t="s">
        <v>147</v>
      </c>
      <c r="C526" s="16"/>
      <c r="D526" s="74"/>
      <c r="E526" s="16"/>
      <c r="F526" s="16"/>
      <c r="G526" s="75" t="b">
        <f t="shared" si="0"/>
        <v>0</v>
      </c>
      <c r="H526" s="16" t="b">
        <v>0</v>
      </c>
      <c r="I526" s="16" t="s">
        <v>57</v>
      </c>
      <c r="J526" s="16" t="s">
        <v>58</v>
      </c>
      <c r="K526" s="16" t="s">
        <v>164</v>
      </c>
      <c r="L526" s="16" t="s">
        <v>21</v>
      </c>
      <c r="M526" s="16">
        <v>928</v>
      </c>
    </row>
    <row r="527" ht="15.75" customHeight="1" spans="1:13">
      <c r="A527" s="16" t="s">
        <v>816</v>
      </c>
      <c r="B527" s="16" t="s">
        <v>147</v>
      </c>
      <c r="C527" s="16"/>
      <c r="D527" s="74"/>
      <c r="E527" s="16"/>
      <c r="F527" s="16"/>
      <c r="G527" s="75" t="b">
        <f t="shared" si="0"/>
        <v>0</v>
      </c>
      <c r="H527" s="16" t="b">
        <v>0</v>
      </c>
      <c r="I527" s="16" t="s">
        <v>131</v>
      </c>
      <c r="J527" s="16" t="s">
        <v>132</v>
      </c>
      <c r="K527" s="16" t="s">
        <v>133</v>
      </c>
      <c r="L527" s="16" t="s">
        <v>21</v>
      </c>
      <c r="M527" s="16">
        <v>513</v>
      </c>
    </row>
    <row r="528" ht="15.75" customHeight="1" spans="1:13">
      <c r="A528" s="16" t="s">
        <v>817</v>
      </c>
      <c r="B528" s="16" t="s">
        <v>147</v>
      </c>
      <c r="C528" s="16"/>
      <c r="D528" s="74"/>
      <c r="E528" s="16"/>
      <c r="F528" s="16"/>
      <c r="G528" s="75" t="b">
        <f t="shared" si="0"/>
        <v>0</v>
      </c>
      <c r="H528" s="16" t="b">
        <v>0</v>
      </c>
      <c r="I528" s="16" t="s">
        <v>53</v>
      </c>
      <c r="J528" s="16" t="s">
        <v>421</v>
      </c>
      <c r="K528" s="16" t="s">
        <v>422</v>
      </c>
      <c r="L528" s="16" t="s">
        <v>21</v>
      </c>
      <c r="M528" s="16">
        <v>737</v>
      </c>
    </row>
    <row r="529" ht="15.75" customHeight="1" spans="1:13">
      <c r="A529" s="16" t="s">
        <v>818</v>
      </c>
      <c r="B529" s="16" t="s">
        <v>147</v>
      </c>
      <c r="C529" s="16" t="s">
        <v>190</v>
      </c>
      <c r="D529" s="74"/>
      <c r="E529" s="16" t="s">
        <v>617</v>
      </c>
      <c r="F529" s="16"/>
      <c r="G529" s="75" t="b">
        <f t="shared" si="0"/>
        <v>0</v>
      </c>
      <c r="H529" s="16" t="b">
        <v>0</v>
      </c>
      <c r="I529" s="16" t="s">
        <v>92</v>
      </c>
      <c r="J529" s="16" t="s">
        <v>30</v>
      </c>
      <c r="K529" s="16" t="s">
        <v>31</v>
      </c>
      <c r="L529" s="16" t="s">
        <v>21</v>
      </c>
      <c r="M529" s="16">
        <v>702</v>
      </c>
    </row>
    <row r="530" ht="15.75" customHeight="1" spans="1:13">
      <c r="A530" s="16" t="s">
        <v>819</v>
      </c>
      <c r="B530" s="16" t="s">
        <v>147</v>
      </c>
      <c r="C530" s="16" t="s">
        <v>15</v>
      </c>
      <c r="D530" s="74"/>
      <c r="E530" s="16"/>
      <c r="F530" s="16"/>
      <c r="G530" s="75" t="b">
        <f t="shared" si="0"/>
        <v>0</v>
      </c>
      <c r="H530" s="16" t="b">
        <v>0</v>
      </c>
      <c r="I530" s="16" t="s">
        <v>92</v>
      </c>
      <c r="J530" s="16" t="s">
        <v>63</v>
      </c>
      <c r="K530" s="16" t="s">
        <v>93</v>
      </c>
      <c r="L530" s="16" t="s">
        <v>21</v>
      </c>
      <c r="M530" s="16">
        <v>914</v>
      </c>
    </row>
    <row r="531" ht="15.75" customHeight="1" spans="1:13">
      <c r="A531" s="75" t="s">
        <v>820</v>
      </c>
      <c r="B531" s="75" t="s">
        <v>147</v>
      </c>
      <c r="C531" s="75" t="s">
        <v>15</v>
      </c>
      <c r="D531" s="79"/>
      <c r="E531" s="75"/>
      <c r="F531" s="75"/>
      <c r="G531" s="75" t="b">
        <f t="shared" si="0"/>
        <v>0</v>
      </c>
      <c r="H531" s="16" t="b">
        <v>0</v>
      </c>
      <c r="I531" s="75" t="s">
        <v>186</v>
      </c>
      <c r="J531" s="75" t="s">
        <v>187</v>
      </c>
      <c r="K531" s="75" t="s">
        <v>227</v>
      </c>
      <c r="L531" s="75" t="s">
        <v>21</v>
      </c>
      <c r="M531" s="75">
        <v>99</v>
      </c>
    </row>
    <row r="532" ht="15.75" customHeight="1" spans="1:13">
      <c r="A532" s="16" t="s">
        <v>821</v>
      </c>
      <c r="B532" s="16" t="s">
        <v>147</v>
      </c>
      <c r="C532" s="16"/>
      <c r="D532" s="74"/>
      <c r="E532" s="16"/>
      <c r="F532" s="16"/>
      <c r="G532" s="75" t="b">
        <f t="shared" si="0"/>
        <v>0</v>
      </c>
      <c r="H532" s="16" t="b">
        <v>0</v>
      </c>
      <c r="I532" s="16" t="s">
        <v>131</v>
      </c>
      <c r="J532" s="16" t="s">
        <v>132</v>
      </c>
      <c r="K532" s="16" t="s">
        <v>270</v>
      </c>
      <c r="L532" s="16" t="s">
        <v>21</v>
      </c>
      <c r="M532" s="16">
        <v>381</v>
      </c>
    </row>
    <row r="533" ht="15.75" customHeight="1" spans="1:13">
      <c r="A533" s="16" t="s">
        <v>822</v>
      </c>
      <c r="B533" s="16" t="s">
        <v>147</v>
      </c>
      <c r="C533" s="16" t="s">
        <v>15</v>
      </c>
      <c r="D533" s="74"/>
      <c r="E533" s="16" t="s">
        <v>823</v>
      </c>
      <c r="F533" s="16"/>
      <c r="G533" s="75" t="b">
        <f t="shared" si="0"/>
        <v>0</v>
      </c>
      <c r="H533" s="16" t="b">
        <v>0</v>
      </c>
      <c r="I533" s="16" t="s">
        <v>303</v>
      </c>
      <c r="J533" s="16" t="s">
        <v>19</v>
      </c>
      <c r="K533" s="16" t="s">
        <v>20</v>
      </c>
      <c r="L533" s="16" t="s">
        <v>21</v>
      </c>
      <c r="M533" s="16">
        <v>856</v>
      </c>
    </row>
    <row r="534" ht="15.75" customHeight="1" spans="1:13">
      <c r="A534" s="16" t="s">
        <v>824</v>
      </c>
      <c r="B534" s="16" t="s">
        <v>147</v>
      </c>
      <c r="C534" s="16"/>
      <c r="D534" s="74"/>
      <c r="E534" s="16"/>
      <c r="F534" s="16"/>
      <c r="G534" s="75" t="b">
        <f t="shared" si="0"/>
        <v>0</v>
      </c>
      <c r="H534" s="16" t="b">
        <v>0</v>
      </c>
      <c r="I534" s="16" t="s">
        <v>53</v>
      </c>
      <c r="J534" s="16" t="s">
        <v>54</v>
      </c>
      <c r="K534" s="16" t="s">
        <v>198</v>
      </c>
      <c r="L534" s="16" t="s">
        <v>21</v>
      </c>
      <c r="M534" s="16">
        <v>387</v>
      </c>
    </row>
    <row r="535" ht="15.75" customHeight="1" spans="1:13">
      <c r="A535" s="16" t="s">
        <v>825</v>
      </c>
      <c r="B535" s="16" t="s">
        <v>14</v>
      </c>
      <c r="C535" s="16" t="s">
        <v>15</v>
      </c>
      <c r="D535" s="74"/>
      <c r="E535" s="16" t="s">
        <v>826</v>
      </c>
      <c r="F535" s="16"/>
      <c r="G535" s="75" t="b">
        <f t="shared" si="0"/>
        <v>0</v>
      </c>
      <c r="H535" s="16" t="b">
        <v>0</v>
      </c>
      <c r="I535" s="16" t="s">
        <v>82</v>
      </c>
      <c r="J535" s="16" t="s">
        <v>83</v>
      </c>
      <c r="K535" s="16" t="s">
        <v>84</v>
      </c>
      <c r="L535" s="16" t="s">
        <v>21</v>
      </c>
      <c r="M535" s="16">
        <v>420</v>
      </c>
    </row>
    <row r="536" ht="15.75" customHeight="1" spans="1:13">
      <c r="A536" s="16" t="s">
        <v>827</v>
      </c>
      <c r="B536" s="16" t="s">
        <v>147</v>
      </c>
      <c r="C536" s="16" t="s">
        <v>15</v>
      </c>
      <c r="D536" s="74"/>
      <c r="E536" s="16"/>
      <c r="F536" s="16"/>
      <c r="G536" s="75" t="b">
        <f t="shared" si="0"/>
        <v>0</v>
      </c>
      <c r="H536" s="16" t="b">
        <v>0</v>
      </c>
      <c r="I536" s="16" t="s">
        <v>319</v>
      </c>
      <c r="J536" s="16" t="s">
        <v>63</v>
      </c>
      <c r="K536" s="16" t="s">
        <v>288</v>
      </c>
      <c r="L536" s="16" t="s">
        <v>21</v>
      </c>
      <c r="M536" s="16">
        <v>318</v>
      </c>
    </row>
    <row r="537" ht="15.75" customHeight="1" spans="1:13">
      <c r="A537" s="16" t="s">
        <v>828</v>
      </c>
      <c r="B537" s="16" t="s">
        <v>147</v>
      </c>
      <c r="C537" s="16"/>
      <c r="D537" s="74"/>
      <c r="E537" s="16"/>
      <c r="F537" s="16"/>
      <c r="G537" s="75" t="b">
        <f t="shared" si="0"/>
        <v>0</v>
      </c>
      <c r="H537" s="16" t="b">
        <v>0</v>
      </c>
      <c r="I537" s="16" t="s">
        <v>41</v>
      </c>
      <c r="J537" s="16" t="s">
        <v>132</v>
      </c>
      <c r="K537" s="16" t="s">
        <v>295</v>
      </c>
      <c r="L537" s="16" t="s">
        <v>21</v>
      </c>
      <c r="M537" s="16">
        <v>79</v>
      </c>
    </row>
    <row r="538" ht="15.75" customHeight="1" spans="1:13">
      <c r="A538" s="16" t="s">
        <v>829</v>
      </c>
      <c r="B538" s="16" t="s">
        <v>830</v>
      </c>
      <c r="C538" s="16" t="s">
        <v>15</v>
      </c>
      <c r="D538" s="74"/>
      <c r="E538" s="16" t="s">
        <v>831</v>
      </c>
      <c r="F538" s="16"/>
      <c r="G538" s="75" t="b">
        <f t="shared" si="0"/>
        <v>0</v>
      </c>
      <c r="H538" s="16" t="b">
        <v>0</v>
      </c>
      <c r="I538" s="16" t="s">
        <v>207</v>
      </c>
      <c r="J538" s="16" t="s">
        <v>63</v>
      </c>
      <c r="K538" s="16" t="s">
        <v>169</v>
      </c>
      <c r="L538" s="16" t="s">
        <v>21</v>
      </c>
      <c r="M538" s="16">
        <v>832</v>
      </c>
    </row>
    <row r="539" ht="15.75" customHeight="1" spans="1:13">
      <c r="A539" s="16" t="s">
        <v>832</v>
      </c>
      <c r="B539" s="16" t="s">
        <v>147</v>
      </c>
      <c r="C539" s="16"/>
      <c r="D539" s="74"/>
      <c r="E539" s="16"/>
      <c r="F539" s="16"/>
      <c r="G539" s="75" t="b">
        <f t="shared" si="0"/>
        <v>0</v>
      </c>
      <c r="H539" s="16" t="b">
        <v>0</v>
      </c>
      <c r="I539" s="16" t="s">
        <v>25</v>
      </c>
      <c r="J539" s="16" t="s">
        <v>26</v>
      </c>
      <c r="K539" s="16" t="s">
        <v>399</v>
      </c>
      <c r="L539" s="16" t="s">
        <v>21</v>
      </c>
      <c r="M539" s="16">
        <v>746</v>
      </c>
    </row>
    <row r="540" ht="15.75" customHeight="1" spans="1:13">
      <c r="A540" s="16" t="s">
        <v>833</v>
      </c>
      <c r="B540" s="16" t="s">
        <v>147</v>
      </c>
      <c r="C540" s="16"/>
      <c r="D540" s="74"/>
      <c r="E540" s="16"/>
      <c r="F540" s="16"/>
      <c r="G540" s="75" t="b">
        <f t="shared" si="0"/>
        <v>0</v>
      </c>
      <c r="H540" s="16" t="b">
        <v>0</v>
      </c>
      <c r="I540" s="16" t="s">
        <v>303</v>
      </c>
      <c r="J540" s="16" t="s">
        <v>132</v>
      </c>
      <c r="K540" s="16" t="s">
        <v>270</v>
      </c>
      <c r="L540" s="16" t="s">
        <v>21</v>
      </c>
      <c r="M540" s="16">
        <v>125</v>
      </c>
    </row>
    <row r="541" ht="15.75" customHeight="1" spans="1:13">
      <c r="A541" s="16" t="s">
        <v>834</v>
      </c>
      <c r="B541" s="16" t="s">
        <v>147</v>
      </c>
      <c r="C541" s="16"/>
      <c r="D541" s="74"/>
      <c r="E541" s="16"/>
      <c r="F541" s="16"/>
      <c r="G541" s="75" t="b">
        <f t="shared" si="0"/>
        <v>0</v>
      </c>
      <c r="H541" s="16" t="b">
        <v>0</v>
      </c>
      <c r="I541" s="16" t="s">
        <v>25</v>
      </c>
      <c r="J541" s="16" t="s">
        <v>26</v>
      </c>
      <c r="K541" s="16" t="s">
        <v>399</v>
      </c>
      <c r="L541" s="16" t="s">
        <v>39</v>
      </c>
      <c r="M541" s="16">
        <v>769</v>
      </c>
    </row>
    <row r="542" ht="15.75" customHeight="1" spans="1:13">
      <c r="A542" s="16" t="s">
        <v>835</v>
      </c>
      <c r="B542" s="16" t="s">
        <v>23</v>
      </c>
      <c r="C542" s="16"/>
      <c r="D542" s="74"/>
      <c r="E542" s="16" t="s">
        <v>803</v>
      </c>
      <c r="F542" s="16"/>
      <c r="G542" s="75" t="b">
        <f t="shared" si="0"/>
        <v>0</v>
      </c>
      <c r="H542" s="16" t="b">
        <v>0</v>
      </c>
      <c r="I542" s="16" t="s">
        <v>53</v>
      </c>
      <c r="J542" s="16" t="s">
        <v>54</v>
      </c>
      <c r="K542" s="16" t="s">
        <v>198</v>
      </c>
      <c r="L542" s="16" t="s">
        <v>21</v>
      </c>
      <c r="M542" s="16">
        <v>325</v>
      </c>
    </row>
    <row r="543" ht="15.75" customHeight="1" spans="1:13">
      <c r="A543" s="16" t="s">
        <v>836</v>
      </c>
      <c r="B543" s="16" t="s">
        <v>147</v>
      </c>
      <c r="C543" s="16" t="s">
        <v>15</v>
      </c>
      <c r="D543" s="74"/>
      <c r="E543" s="16"/>
      <c r="F543" s="16"/>
      <c r="G543" s="75" t="b">
        <f t="shared" si="0"/>
        <v>0</v>
      </c>
      <c r="H543" s="16" t="b">
        <v>0</v>
      </c>
      <c r="I543" s="16" t="s">
        <v>29</v>
      </c>
      <c r="J543" s="16" t="s">
        <v>30</v>
      </c>
      <c r="K543" s="16" t="s">
        <v>31</v>
      </c>
      <c r="L543" s="16" t="s">
        <v>21</v>
      </c>
      <c r="M543" s="16">
        <v>288</v>
      </c>
    </row>
    <row r="544" ht="15.75" customHeight="1" spans="1:13">
      <c r="A544" s="16" t="s">
        <v>837</v>
      </c>
      <c r="B544" s="16" t="s">
        <v>147</v>
      </c>
      <c r="C544" s="16"/>
      <c r="D544" s="74"/>
      <c r="E544" s="16"/>
      <c r="F544" s="16"/>
      <c r="G544" s="75" t="b">
        <f t="shared" si="0"/>
        <v>0</v>
      </c>
      <c r="H544" s="16" t="b">
        <v>0</v>
      </c>
      <c r="I544" s="16" t="s">
        <v>392</v>
      </c>
      <c r="J544" s="16" t="s">
        <v>54</v>
      </c>
      <c r="K544" s="16" t="s">
        <v>198</v>
      </c>
      <c r="L544" s="16" t="s">
        <v>21</v>
      </c>
      <c r="M544" s="16">
        <v>1017</v>
      </c>
    </row>
    <row r="545" ht="15.75" customHeight="1" spans="1:13">
      <c r="A545" s="16" t="s">
        <v>838</v>
      </c>
      <c r="B545" s="16" t="s">
        <v>147</v>
      </c>
      <c r="C545" s="16"/>
      <c r="D545" s="74"/>
      <c r="E545" s="16"/>
      <c r="F545" s="16"/>
      <c r="G545" s="75" t="b">
        <f t="shared" si="0"/>
        <v>0</v>
      </c>
      <c r="H545" s="16" t="b">
        <v>0</v>
      </c>
      <c r="I545" s="16" t="s">
        <v>67</v>
      </c>
      <c r="J545" s="16" t="s">
        <v>26</v>
      </c>
      <c r="K545" s="16" t="s">
        <v>68</v>
      </c>
      <c r="L545" s="16" t="s">
        <v>21</v>
      </c>
      <c r="M545" s="16">
        <v>208</v>
      </c>
    </row>
    <row r="546" ht="15.75" customHeight="1" spans="1:13">
      <c r="A546" s="16" t="s">
        <v>839</v>
      </c>
      <c r="B546" s="16" t="s">
        <v>147</v>
      </c>
      <c r="C546" s="16" t="s">
        <v>15</v>
      </c>
      <c r="D546" s="74"/>
      <c r="E546" s="16"/>
      <c r="F546" s="16"/>
      <c r="G546" s="75" t="b">
        <f t="shared" si="0"/>
        <v>0</v>
      </c>
      <c r="H546" s="16" t="b">
        <v>0</v>
      </c>
      <c r="I546" s="16" t="s">
        <v>840</v>
      </c>
      <c r="J546" s="16" t="s">
        <v>63</v>
      </c>
      <c r="K546" s="16" t="s">
        <v>169</v>
      </c>
      <c r="L546" s="16" t="s">
        <v>21</v>
      </c>
      <c r="M546" s="16">
        <v>311</v>
      </c>
    </row>
    <row r="547" ht="15.75" customHeight="1" spans="1:13">
      <c r="A547" s="16" t="s">
        <v>841</v>
      </c>
      <c r="B547" s="16" t="s">
        <v>147</v>
      </c>
      <c r="C547" s="16" t="s">
        <v>15</v>
      </c>
      <c r="D547" s="74"/>
      <c r="E547" s="16"/>
      <c r="F547" s="16"/>
      <c r="G547" s="75" t="b">
        <f t="shared" si="0"/>
        <v>0</v>
      </c>
      <c r="H547" s="16" t="b">
        <v>0</v>
      </c>
      <c r="I547" s="16" t="s">
        <v>29</v>
      </c>
      <c r="J547" s="16" t="s">
        <v>30</v>
      </c>
      <c r="K547" s="16" t="s">
        <v>31</v>
      </c>
      <c r="L547" s="16" t="s">
        <v>21</v>
      </c>
      <c r="M547" s="16">
        <v>83</v>
      </c>
    </row>
    <row r="548" ht="15.75" customHeight="1" spans="1:13">
      <c r="A548" s="16" t="s">
        <v>842</v>
      </c>
      <c r="B548" s="16" t="s">
        <v>147</v>
      </c>
      <c r="C548" s="16" t="s">
        <v>15</v>
      </c>
      <c r="D548" s="74"/>
      <c r="E548" s="16"/>
      <c r="F548" s="16"/>
      <c r="G548" s="75" t="b">
        <f t="shared" si="0"/>
        <v>0</v>
      </c>
      <c r="H548" s="16" t="b">
        <v>0</v>
      </c>
      <c r="I548" s="16" t="s">
        <v>72</v>
      </c>
      <c r="J548" s="16" t="s">
        <v>30</v>
      </c>
      <c r="K548" s="16" t="s">
        <v>50</v>
      </c>
      <c r="L548" s="16" t="s">
        <v>21</v>
      </c>
      <c r="M548" s="16">
        <v>315</v>
      </c>
    </row>
    <row r="549" ht="15.75" customHeight="1" spans="1:13">
      <c r="A549" s="16" t="s">
        <v>843</v>
      </c>
      <c r="B549" s="16" t="s">
        <v>147</v>
      </c>
      <c r="C549" s="16" t="s">
        <v>15</v>
      </c>
      <c r="D549" s="74"/>
      <c r="E549" s="16"/>
      <c r="F549" s="16"/>
      <c r="G549" s="75" t="b">
        <f t="shared" si="0"/>
        <v>0</v>
      </c>
      <c r="H549" s="16" t="b">
        <v>0</v>
      </c>
      <c r="I549" s="16" t="s">
        <v>92</v>
      </c>
      <c r="J549" s="16" t="s">
        <v>63</v>
      </c>
      <c r="K549" s="16" t="s">
        <v>169</v>
      </c>
      <c r="L549" s="16" t="s">
        <v>21</v>
      </c>
      <c r="M549" s="16">
        <v>1004</v>
      </c>
    </row>
    <row r="550" ht="15.75" customHeight="1" spans="1:13">
      <c r="A550" s="16" t="s">
        <v>844</v>
      </c>
      <c r="B550" s="16" t="s">
        <v>147</v>
      </c>
      <c r="C550" s="16" t="s">
        <v>190</v>
      </c>
      <c r="D550" s="74"/>
      <c r="E550" s="16" t="s">
        <v>526</v>
      </c>
      <c r="F550" s="16"/>
      <c r="G550" s="75" t="b">
        <f t="shared" si="0"/>
        <v>0</v>
      </c>
      <c r="H550" s="16" t="b">
        <v>0</v>
      </c>
      <c r="I550" s="16" t="s">
        <v>207</v>
      </c>
      <c r="J550" s="16" t="s">
        <v>30</v>
      </c>
      <c r="K550" s="16" t="s">
        <v>31</v>
      </c>
      <c r="L550" s="16" t="s">
        <v>21</v>
      </c>
      <c r="M550" s="16">
        <v>687</v>
      </c>
    </row>
    <row r="551" ht="15.75" customHeight="1" spans="1:13">
      <c r="A551" s="16" t="s">
        <v>845</v>
      </c>
      <c r="B551" s="16" t="s">
        <v>147</v>
      </c>
      <c r="C551" s="16"/>
      <c r="D551" s="74"/>
      <c r="E551" s="16"/>
      <c r="F551" s="16"/>
      <c r="G551" s="75" t="b">
        <f t="shared" si="0"/>
        <v>0</v>
      </c>
      <c r="H551" s="16" t="b">
        <v>0</v>
      </c>
      <c r="I551" s="16" t="s">
        <v>207</v>
      </c>
      <c r="J551" s="16" t="s">
        <v>26</v>
      </c>
      <c r="K551" s="16" t="s">
        <v>27</v>
      </c>
      <c r="L551" s="16" t="s">
        <v>21</v>
      </c>
      <c r="M551" s="16">
        <v>141</v>
      </c>
    </row>
    <row r="552" ht="15.75" customHeight="1" spans="1:13">
      <c r="A552" s="16" t="s">
        <v>846</v>
      </c>
      <c r="B552" s="16" t="s">
        <v>147</v>
      </c>
      <c r="C552" s="16" t="s">
        <v>15</v>
      </c>
      <c r="D552" s="74"/>
      <c r="E552" s="16"/>
      <c r="F552" s="16"/>
      <c r="G552" s="75" t="b">
        <f t="shared" si="0"/>
        <v>0</v>
      </c>
      <c r="H552" s="16" t="b">
        <v>0</v>
      </c>
      <c r="I552" s="16" t="s">
        <v>312</v>
      </c>
      <c r="J552" s="16" t="s">
        <v>63</v>
      </c>
      <c r="K552" s="16" t="s">
        <v>169</v>
      </c>
      <c r="L552" s="16" t="s">
        <v>21</v>
      </c>
      <c r="M552" s="16">
        <v>1051</v>
      </c>
    </row>
    <row r="553" ht="15.75" customHeight="1" spans="1:13">
      <c r="A553" s="16" t="s">
        <v>847</v>
      </c>
      <c r="B553" s="16" t="s">
        <v>147</v>
      </c>
      <c r="C553" s="16" t="s">
        <v>15</v>
      </c>
      <c r="D553" s="74"/>
      <c r="E553" s="16"/>
      <c r="F553" s="16"/>
      <c r="G553" s="75" t="b">
        <f t="shared" si="0"/>
        <v>0</v>
      </c>
      <c r="H553" s="16" t="b">
        <v>0</v>
      </c>
      <c r="I553" s="16" t="s">
        <v>358</v>
      </c>
      <c r="J553" s="16" t="s">
        <v>126</v>
      </c>
      <c r="K553" s="16" t="s">
        <v>142</v>
      </c>
      <c r="L553" s="16" t="s">
        <v>39</v>
      </c>
      <c r="M553" s="16">
        <v>399</v>
      </c>
    </row>
    <row r="554" ht="15.75" customHeight="1" spans="1:13">
      <c r="A554" s="16" t="s">
        <v>848</v>
      </c>
      <c r="B554" s="16" t="s">
        <v>147</v>
      </c>
      <c r="C554" s="16"/>
      <c r="D554" s="74"/>
      <c r="E554" s="16"/>
      <c r="F554" s="16"/>
      <c r="G554" s="75" t="b">
        <f t="shared" si="0"/>
        <v>0</v>
      </c>
      <c r="H554" s="16" t="b">
        <v>0</v>
      </c>
      <c r="I554" s="16" t="s">
        <v>67</v>
      </c>
      <c r="J554" s="16" t="s">
        <v>26</v>
      </c>
      <c r="K554" s="16" t="s">
        <v>68</v>
      </c>
      <c r="L554" s="16" t="s">
        <v>21</v>
      </c>
      <c r="M554" s="16">
        <v>26</v>
      </c>
    </row>
    <row r="555" ht="15.75" customHeight="1" spans="1:13">
      <c r="A555" s="16" t="s">
        <v>849</v>
      </c>
      <c r="B555" s="16" t="s">
        <v>147</v>
      </c>
      <c r="C555" s="16" t="s">
        <v>183</v>
      </c>
      <c r="D555" s="74" t="s">
        <v>850</v>
      </c>
      <c r="E555" s="16" t="s">
        <v>851</v>
      </c>
      <c r="F555" s="16"/>
      <c r="G555" s="75" t="b">
        <f t="shared" si="0"/>
        <v>0</v>
      </c>
      <c r="H555" s="16" t="b">
        <v>0</v>
      </c>
      <c r="I555" s="16" t="s">
        <v>92</v>
      </c>
      <c r="J555" s="16" t="s">
        <v>63</v>
      </c>
      <c r="K555" s="16" t="s">
        <v>440</v>
      </c>
      <c r="L555" s="16" t="s">
        <v>160</v>
      </c>
      <c r="M555" s="16">
        <v>401</v>
      </c>
    </row>
    <row r="556" ht="15.75" customHeight="1" spans="1:13">
      <c r="A556" s="16" t="s">
        <v>852</v>
      </c>
      <c r="B556" s="16" t="s">
        <v>147</v>
      </c>
      <c r="C556" s="16"/>
      <c r="D556" s="74"/>
      <c r="E556" s="16"/>
      <c r="F556" s="16"/>
      <c r="G556" s="75" t="b">
        <f t="shared" si="0"/>
        <v>0</v>
      </c>
      <c r="H556" s="16" t="b">
        <v>0</v>
      </c>
      <c r="I556" s="16" t="s">
        <v>303</v>
      </c>
      <c r="J556" s="16" t="s">
        <v>132</v>
      </c>
      <c r="K556" s="16" t="s">
        <v>270</v>
      </c>
      <c r="L556" s="16" t="s">
        <v>21</v>
      </c>
      <c r="M556" s="16">
        <v>862</v>
      </c>
    </row>
    <row r="557" ht="15.75" customHeight="1" spans="1:13">
      <c r="A557" s="16" t="s">
        <v>853</v>
      </c>
      <c r="B557" s="16" t="s">
        <v>147</v>
      </c>
      <c r="C557" s="16" t="s">
        <v>15</v>
      </c>
      <c r="D557" s="74"/>
      <c r="E557" s="16"/>
      <c r="F557" s="16"/>
      <c r="G557" s="75" t="b">
        <f t="shared" si="0"/>
        <v>0</v>
      </c>
      <c r="H557" s="16" t="b">
        <v>0</v>
      </c>
      <c r="I557" s="16" t="s">
        <v>312</v>
      </c>
      <c r="J557" s="16" t="s">
        <v>63</v>
      </c>
      <c r="K557" s="16" t="s">
        <v>93</v>
      </c>
      <c r="L557" s="16" t="s">
        <v>21</v>
      </c>
      <c r="M557" s="16">
        <v>1048</v>
      </c>
    </row>
    <row r="558" ht="15.75" customHeight="1" spans="1:13">
      <c r="A558" s="16" t="s">
        <v>854</v>
      </c>
      <c r="B558" s="16" t="s">
        <v>147</v>
      </c>
      <c r="C558" s="16"/>
      <c r="D558" s="74"/>
      <c r="E558" s="16"/>
      <c r="F558" s="16"/>
      <c r="G558" s="75" t="b">
        <f t="shared" si="0"/>
        <v>0</v>
      </c>
      <c r="H558" s="16" t="b">
        <v>0</v>
      </c>
      <c r="I558" s="16" t="s">
        <v>25</v>
      </c>
      <c r="J558" s="16" t="s">
        <v>26</v>
      </c>
      <c r="K558" s="16" t="s">
        <v>159</v>
      </c>
      <c r="L558" s="16" t="s">
        <v>21</v>
      </c>
      <c r="M558" s="16">
        <v>612</v>
      </c>
    </row>
    <row r="559" ht="15.75" customHeight="1" spans="1:13">
      <c r="A559" s="16" t="s">
        <v>855</v>
      </c>
      <c r="B559" s="16" t="s">
        <v>147</v>
      </c>
      <c r="C559" s="16"/>
      <c r="D559" s="74"/>
      <c r="E559" s="16"/>
      <c r="F559" s="16"/>
      <c r="G559" s="75" t="b">
        <f t="shared" si="0"/>
        <v>0</v>
      </c>
      <c r="H559" s="16" t="b">
        <v>0</v>
      </c>
      <c r="I559" s="16" t="s">
        <v>25</v>
      </c>
      <c r="J559" s="16" t="s">
        <v>26</v>
      </c>
      <c r="K559" s="16" t="s">
        <v>77</v>
      </c>
      <c r="L559" s="16" t="s">
        <v>21</v>
      </c>
      <c r="M559" s="16">
        <v>603</v>
      </c>
    </row>
    <row r="560" ht="15.75" customHeight="1" spans="1:13">
      <c r="A560" s="16" t="s">
        <v>856</v>
      </c>
      <c r="B560" s="16" t="s">
        <v>147</v>
      </c>
      <c r="C560" s="16"/>
      <c r="D560" s="74"/>
      <c r="E560" s="16"/>
      <c r="F560" s="16"/>
      <c r="G560" s="75" t="b">
        <f t="shared" si="0"/>
        <v>0</v>
      </c>
      <c r="H560" s="16" t="b">
        <v>0</v>
      </c>
      <c r="I560" s="16" t="s">
        <v>25</v>
      </c>
      <c r="J560" s="16" t="s">
        <v>26</v>
      </c>
      <c r="K560" s="16" t="s">
        <v>159</v>
      </c>
      <c r="L560" s="16" t="s">
        <v>21</v>
      </c>
      <c r="M560" s="16">
        <v>624</v>
      </c>
    </row>
    <row r="561" ht="15.75" customHeight="1" spans="1:13">
      <c r="A561" s="16" t="s">
        <v>857</v>
      </c>
      <c r="B561" s="16" t="s">
        <v>147</v>
      </c>
      <c r="C561" s="16"/>
      <c r="D561" s="74"/>
      <c r="E561" s="16"/>
      <c r="F561" s="16"/>
      <c r="G561" s="75" t="b">
        <f t="shared" si="0"/>
        <v>0</v>
      </c>
      <c r="H561" s="16" t="b">
        <v>0</v>
      </c>
      <c r="I561" s="16" t="s">
        <v>53</v>
      </c>
      <c r="J561" s="16" t="s">
        <v>54</v>
      </c>
      <c r="K561" s="16" t="s">
        <v>55</v>
      </c>
      <c r="L561" s="16" t="s">
        <v>21</v>
      </c>
      <c r="M561" s="16">
        <v>549</v>
      </c>
    </row>
    <row r="562" ht="15.75" customHeight="1" spans="1:13">
      <c r="A562" s="16" t="s">
        <v>858</v>
      </c>
      <c r="B562" s="16" t="s">
        <v>147</v>
      </c>
      <c r="C562" s="16" t="s">
        <v>15</v>
      </c>
      <c r="D562" s="74"/>
      <c r="E562" s="16"/>
      <c r="F562" s="16"/>
      <c r="G562" s="75" t="b">
        <f t="shared" si="0"/>
        <v>0</v>
      </c>
      <c r="H562" s="16" t="b">
        <v>0</v>
      </c>
      <c r="I562" s="16" t="s">
        <v>278</v>
      </c>
      <c r="J562" s="16" t="s">
        <v>30</v>
      </c>
      <c r="K562" s="16" t="s">
        <v>30</v>
      </c>
      <c r="L562" s="16" t="s">
        <v>21</v>
      </c>
      <c r="M562" s="16">
        <v>145</v>
      </c>
    </row>
    <row r="563" ht="15.75" customHeight="1" spans="1:13">
      <c r="A563" s="16" t="s">
        <v>859</v>
      </c>
      <c r="B563" s="16" t="s">
        <v>147</v>
      </c>
      <c r="C563" s="16" t="s">
        <v>15</v>
      </c>
      <c r="D563" s="74"/>
      <c r="E563" s="16"/>
      <c r="F563" s="16"/>
      <c r="G563" s="75" t="b">
        <f t="shared" si="0"/>
        <v>0</v>
      </c>
      <c r="H563" s="16" t="b">
        <v>0</v>
      </c>
      <c r="I563" s="16" t="s">
        <v>141</v>
      </c>
      <c r="J563" s="16" t="s">
        <v>126</v>
      </c>
      <c r="K563" s="16" t="s">
        <v>142</v>
      </c>
      <c r="L563" s="16" t="s">
        <v>21</v>
      </c>
      <c r="M563" s="16">
        <v>63</v>
      </c>
    </row>
    <row r="564" ht="15.75" customHeight="1" spans="1:13">
      <c r="A564" s="16" t="s">
        <v>860</v>
      </c>
      <c r="B564" s="16" t="s">
        <v>23</v>
      </c>
      <c r="C564" s="16"/>
      <c r="D564" s="74" t="s">
        <v>861</v>
      </c>
      <c r="E564" s="16" t="s">
        <v>862</v>
      </c>
      <c r="F564" s="16"/>
      <c r="G564" s="75" t="b">
        <f t="shared" si="0"/>
        <v>0</v>
      </c>
      <c r="H564" s="16" t="b">
        <v>0</v>
      </c>
      <c r="I564" s="16" t="s">
        <v>118</v>
      </c>
      <c r="J564" s="16" t="s">
        <v>647</v>
      </c>
      <c r="K564" s="16" t="s">
        <v>648</v>
      </c>
      <c r="L564" s="16" t="s">
        <v>39</v>
      </c>
      <c r="M564" s="16">
        <v>105</v>
      </c>
    </row>
    <row r="565" ht="15.75" customHeight="1" spans="1:13">
      <c r="A565" s="16" t="s">
        <v>863</v>
      </c>
      <c r="B565" s="16" t="s">
        <v>147</v>
      </c>
      <c r="C565" s="16"/>
      <c r="D565" s="74"/>
      <c r="E565" s="16"/>
      <c r="F565" s="16"/>
      <c r="G565" s="75" t="b">
        <f t="shared" si="0"/>
        <v>0</v>
      </c>
      <c r="H565" s="16" t="b">
        <v>0</v>
      </c>
      <c r="I565" s="16" t="s">
        <v>25</v>
      </c>
      <c r="J565" s="16" t="s">
        <v>26</v>
      </c>
      <c r="K565" s="16" t="s">
        <v>77</v>
      </c>
      <c r="L565" s="16" t="s">
        <v>21</v>
      </c>
      <c r="M565" s="16">
        <v>620</v>
      </c>
    </row>
    <row r="566" ht="15.75" customHeight="1" spans="1:13">
      <c r="A566" s="16" t="s">
        <v>864</v>
      </c>
      <c r="B566" s="16" t="s">
        <v>147</v>
      </c>
      <c r="C566" s="16" t="s">
        <v>15</v>
      </c>
      <c r="D566" s="74"/>
      <c r="E566" s="16"/>
      <c r="F566" s="16"/>
      <c r="G566" s="75" t="b">
        <f t="shared" si="0"/>
        <v>0</v>
      </c>
      <c r="H566" s="16" t="b">
        <v>0</v>
      </c>
      <c r="I566" s="16" t="s">
        <v>312</v>
      </c>
      <c r="J566" s="16" t="s">
        <v>63</v>
      </c>
      <c r="K566" s="16" t="s">
        <v>93</v>
      </c>
      <c r="L566" s="16" t="s">
        <v>21</v>
      </c>
      <c r="M566" s="16">
        <v>1050</v>
      </c>
    </row>
    <row r="567" ht="15.75" customHeight="1" spans="1:13">
      <c r="A567" s="16" t="s">
        <v>865</v>
      </c>
      <c r="B567" s="16" t="s">
        <v>147</v>
      </c>
      <c r="C567" s="16" t="s">
        <v>15</v>
      </c>
      <c r="D567" s="74"/>
      <c r="E567" s="16"/>
      <c r="F567" s="16"/>
      <c r="G567" s="75" t="b">
        <f t="shared" si="0"/>
        <v>0</v>
      </c>
      <c r="H567" s="16" t="b">
        <v>0</v>
      </c>
      <c r="I567" s="16" t="s">
        <v>82</v>
      </c>
      <c r="J567" s="16" t="s">
        <v>83</v>
      </c>
      <c r="K567" s="16" t="s">
        <v>84</v>
      </c>
      <c r="L567" s="16" t="s">
        <v>21</v>
      </c>
      <c r="M567" s="16">
        <v>411</v>
      </c>
    </row>
    <row r="568" ht="15.75" customHeight="1" spans="1:13">
      <c r="A568" s="16" t="s">
        <v>866</v>
      </c>
      <c r="B568" s="16" t="s">
        <v>147</v>
      </c>
      <c r="C568" s="16"/>
      <c r="D568" s="74"/>
      <c r="E568" s="16"/>
      <c r="F568" s="16"/>
      <c r="G568" s="75" t="b">
        <f t="shared" si="0"/>
        <v>0</v>
      </c>
      <c r="H568" s="16" t="b">
        <v>0</v>
      </c>
      <c r="I568" s="16" t="s">
        <v>53</v>
      </c>
      <c r="J568" s="16" t="s">
        <v>54</v>
      </c>
      <c r="K568" s="16" t="s">
        <v>198</v>
      </c>
      <c r="L568" s="16" t="s">
        <v>21</v>
      </c>
      <c r="M568" s="16">
        <v>87</v>
      </c>
    </row>
    <row r="569" ht="15.75" customHeight="1" spans="1:13">
      <c r="A569" s="16" t="s">
        <v>867</v>
      </c>
      <c r="B569" s="16" t="s">
        <v>14</v>
      </c>
      <c r="C569" s="16" t="s">
        <v>190</v>
      </c>
      <c r="D569" s="74" t="s">
        <v>868</v>
      </c>
      <c r="E569" s="16" t="s">
        <v>869</v>
      </c>
      <c r="F569" s="16"/>
      <c r="G569" s="75" t="b">
        <f t="shared" si="0"/>
        <v>0</v>
      </c>
      <c r="H569" s="16" t="b">
        <v>0</v>
      </c>
      <c r="I569" s="16" t="s">
        <v>870</v>
      </c>
      <c r="J569" s="16" t="s">
        <v>211</v>
      </c>
      <c r="K569" s="16" t="s">
        <v>871</v>
      </c>
      <c r="L569" s="16" t="s">
        <v>21</v>
      </c>
      <c r="M569" s="16">
        <v>514</v>
      </c>
    </row>
    <row r="570" ht="15.75" customHeight="1" spans="1:13">
      <c r="A570" s="16" t="s">
        <v>872</v>
      </c>
      <c r="B570" s="16" t="s">
        <v>147</v>
      </c>
      <c r="C570" s="16"/>
      <c r="D570" s="74"/>
      <c r="E570" s="16"/>
      <c r="F570" s="16"/>
      <c r="G570" s="75" t="b">
        <f t="shared" si="0"/>
        <v>0</v>
      </c>
      <c r="H570" s="16" t="b">
        <v>0</v>
      </c>
      <c r="I570" s="16" t="s">
        <v>144</v>
      </c>
      <c r="J570" s="16" t="s">
        <v>46</v>
      </c>
      <c r="K570" s="16" t="s">
        <v>873</v>
      </c>
      <c r="L570" s="16" t="s">
        <v>21</v>
      </c>
      <c r="M570" s="16">
        <v>305</v>
      </c>
    </row>
    <row r="571" ht="15.75" customHeight="1" spans="1:13">
      <c r="A571" s="16" t="s">
        <v>874</v>
      </c>
      <c r="B571" s="16" t="s">
        <v>147</v>
      </c>
      <c r="C571" s="16" t="s">
        <v>183</v>
      </c>
      <c r="D571" s="74" t="s">
        <v>875</v>
      </c>
      <c r="E571" s="16"/>
      <c r="F571" s="16"/>
      <c r="G571" s="75" t="b">
        <f t="shared" si="0"/>
        <v>0</v>
      </c>
      <c r="H571" s="16" t="b">
        <v>0</v>
      </c>
      <c r="I571" s="16" t="s">
        <v>186</v>
      </c>
      <c r="J571" s="16" t="s">
        <v>187</v>
      </c>
      <c r="K571" s="16" t="s">
        <v>514</v>
      </c>
      <c r="L571" s="16" t="s">
        <v>21</v>
      </c>
      <c r="M571" s="16">
        <v>991</v>
      </c>
    </row>
    <row r="572" ht="15.75" customHeight="1" spans="1:13">
      <c r="A572" s="16" t="s">
        <v>876</v>
      </c>
      <c r="B572" s="16" t="s">
        <v>147</v>
      </c>
      <c r="C572" s="16"/>
      <c r="D572" s="74"/>
      <c r="E572" s="16"/>
      <c r="F572" s="16"/>
      <c r="G572" s="75" t="b">
        <f t="shared" si="0"/>
        <v>0</v>
      </c>
      <c r="H572" s="16" t="b">
        <v>0</v>
      </c>
      <c r="I572" s="16" t="s">
        <v>57</v>
      </c>
      <c r="J572" s="16" t="s">
        <v>58</v>
      </c>
      <c r="K572" s="16" t="s">
        <v>177</v>
      </c>
      <c r="L572" s="16" t="s">
        <v>39</v>
      </c>
      <c r="M572" s="16">
        <v>926</v>
      </c>
    </row>
    <row r="573" ht="15.75" customHeight="1" spans="1:13">
      <c r="A573" s="16" t="s">
        <v>877</v>
      </c>
      <c r="B573" s="16" t="s">
        <v>147</v>
      </c>
      <c r="C573" s="16"/>
      <c r="D573" s="74"/>
      <c r="E573" s="16"/>
      <c r="F573" s="16"/>
      <c r="G573" s="75" t="b">
        <f t="shared" si="0"/>
        <v>0</v>
      </c>
      <c r="H573" s="16" t="b">
        <v>0</v>
      </c>
      <c r="I573" s="16" t="s">
        <v>131</v>
      </c>
      <c r="J573" s="16" t="s">
        <v>132</v>
      </c>
      <c r="K573" s="16" t="s">
        <v>544</v>
      </c>
      <c r="L573" s="16" t="s">
        <v>21</v>
      </c>
      <c r="M573" s="16">
        <v>537</v>
      </c>
    </row>
    <row r="574" ht="15.75" customHeight="1" spans="1:13">
      <c r="A574" s="16" t="s">
        <v>878</v>
      </c>
      <c r="B574" s="16" t="s">
        <v>147</v>
      </c>
      <c r="C574" s="16"/>
      <c r="D574" s="74"/>
      <c r="E574" s="16"/>
      <c r="F574" s="16"/>
      <c r="G574" s="75" t="b">
        <f t="shared" si="0"/>
        <v>0</v>
      </c>
      <c r="H574" s="16" t="b">
        <v>0</v>
      </c>
      <c r="I574" s="16" t="s">
        <v>25</v>
      </c>
      <c r="J574" s="16" t="s">
        <v>26</v>
      </c>
      <c r="K574" s="16" t="s">
        <v>399</v>
      </c>
      <c r="L574" s="16" t="s">
        <v>39</v>
      </c>
      <c r="M574" s="16">
        <v>764</v>
      </c>
    </row>
    <row r="575" ht="15.75" customHeight="1" spans="1:13">
      <c r="A575" s="16" t="s">
        <v>879</v>
      </c>
      <c r="B575" s="16" t="s">
        <v>14</v>
      </c>
      <c r="C575" s="16" t="s">
        <v>183</v>
      </c>
      <c r="D575" s="74" t="s">
        <v>357</v>
      </c>
      <c r="E575" s="16" t="s">
        <v>880</v>
      </c>
      <c r="F575" s="16"/>
      <c r="G575" s="75" t="b">
        <f t="shared" si="0"/>
        <v>0</v>
      </c>
      <c r="H575" s="16" t="b">
        <v>0</v>
      </c>
      <c r="I575" s="16" t="s">
        <v>358</v>
      </c>
      <c r="J575" s="16" t="s">
        <v>63</v>
      </c>
      <c r="K575" s="16" t="s">
        <v>93</v>
      </c>
      <c r="L575" s="16" t="s">
        <v>39</v>
      </c>
      <c r="M575" s="16">
        <v>421</v>
      </c>
    </row>
    <row r="576" ht="15.75" customHeight="1" spans="1:13">
      <c r="A576" s="16" t="s">
        <v>881</v>
      </c>
      <c r="B576" s="16" t="s">
        <v>14</v>
      </c>
      <c r="C576" s="16" t="s">
        <v>15</v>
      </c>
      <c r="D576" s="74"/>
      <c r="E576" s="16" t="s">
        <v>882</v>
      </c>
      <c r="F576" s="16"/>
      <c r="G576" s="75" t="b">
        <f t="shared" si="0"/>
        <v>0</v>
      </c>
      <c r="H576" s="16" t="b">
        <v>0</v>
      </c>
      <c r="I576" s="16" t="s">
        <v>25</v>
      </c>
      <c r="J576" s="16" t="s">
        <v>19</v>
      </c>
      <c r="K576" s="16" t="s">
        <v>20</v>
      </c>
      <c r="L576" s="16" t="s">
        <v>39</v>
      </c>
      <c r="M576" s="16">
        <v>1026</v>
      </c>
    </row>
    <row r="577" ht="15.75" customHeight="1" spans="1:13">
      <c r="A577" s="16" t="s">
        <v>883</v>
      </c>
      <c r="B577" s="16" t="s">
        <v>147</v>
      </c>
      <c r="C577" s="16"/>
      <c r="D577" s="74"/>
      <c r="E577" s="16"/>
      <c r="F577" s="16"/>
      <c r="G577" s="75" t="b">
        <f t="shared" si="0"/>
        <v>0</v>
      </c>
      <c r="H577" s="16" t="b">
        <v>0</v>
      </c>
      <c r="I577" s="16" t="s">
        <v>25</v>
      </c>
      <c r="J577" s="16" t="s">
        <v>26</v>
      </c>
      <c r="K577" s="16" t="s">
        <v>399</v>
      </c>
      <c r="L577" s="16" t="s">
        <v>39</v>
      </c>
      <c r="M577" s="16">
        <v>770</v>
      </c>
    </row>
    <row r="578" ht="15.75" customHeight="1" spans="1:13">
      <c r="A578" s="16" t="s">
        <v>884</v>
      </c>
      <c r="B578" s="16" t="s">
        <v>147</v>
      </c>
      <c r="C578" s="16"/>
      <c r="D578" s="74"/>
      <c r="E578" s="16"/>
      <c r="F578" s="16"/>
      <c r="G578" s="75" t="b">
        <f t="shared" si="0"/>
        <v>0</v>
      </c>
      <c r="H578" s="16" t="b">
        <v>0</v>
      </c>
      <c r="I578" s="16" t="s">
        <v>25</v>
      </c>
      <c r="J578" s="16" t="s">
        <v>26</v>
      </c>
      <c r="K578" s="16" t="s">
        <v>399</v>
      </c>
      <c r="L578" s="16" t="s">
        <v>39</v>
      </c>
      <c r="M578" s="16">
        <v>767</v>
      </c>
    </row>
    <row r="579" ht="15.75" customHeight="1" spans="1:13">
      <c r="A579" s="16" t="s">
        <v>885</v>
      </c>
      <c r="B579" s="16" t="s">
        <v>147</v>
      </c>
      <c r="C579" s="16" t="s">
        <v>15</v>
      </c>
      <c r="D579" s="74"/>
      <c r="E579" s="16"/>
      <c r="F579" s="16"/>
      <c r="G579" s="75" t="b">
        <f t="shared" si="0"/>
        <v>0</v>
      </c>
      <c r="H579" s="16" t="b">
        <v>0</v>
      </c>
      <c r="I579" s="16" t="s">
        <v>168</v>
      </c>
      <c r="J579" s="16" t="s">
        <v>63</v>
      </c>
      <c r="K579" s="16" t="s">
        <v>93</v>
      </c>
      <c r="L579" s="16" t="s">
        <v>21</v>
      </c>
      <c r="M579" s="16">
        <v>885</v>
      </c>
    </row>
    <row r="580" ht="15.75" customHeight="1" spans="1:13">
      <c r="A580" s="16" t="s">
        <v>886</v>
      </c>
      <c r="B580" s="16" t="s">
        <v>147</v>
      </c>
      <c r="C580" s="16"/>
      <c r="D580" s="74"/>
      <c r="E580" s="16"/>
      <c r="F580" s="16"/>
      <c r="G580" s="75" t="b">
        <f t="shared" si="0"/>
        <v>0</v>
      </c>
      <c r="H580" s="16" t="b">
        <v>0</v>
      </c>
      <c r="I580" s="16" t="s">
        <v>53</v>
      </c>
      <c r="J580" s="16" t="s">
        <v>54</v>
      </c>
      <c r="K580" s="16" t="s">
        <v>124</v>
      </c>
      <c r="L580" s="16" t="s">
        <v>21</v>
      </c>
      <c r="M580" s="16">
        <v>1037</v>
      </c>
    </row>
    <row r="581" ht="15.75" customHeight="1" spans="1:13">
      <c r="A581" s="16" t="s">
        <v>887</v>
      </c>
      <c r="B581" s="16" t="s">
        <v>147</v>
      </c>
      <c r="C581" s="16"/>
      <c r="D581" s="74"/>
      <c r="E581" s="16"/>
      <c r="F581" s="16"/>
      <c r="G581" s="75" t="b">
        <f t="shared" si="0"/>
        <v>0</v>
      </c>
      <c r="H581" s="16" t="b">
        <v>0</v>
      </c>
      <c r="I581" s="16" t="s">
        <v>109</v>
      </c>
      <c r="J581" s="16" t="s">
        <v>58</v>
      </c>
      <c r="K581" s="16" t="s">
        <v>177</v>
      </c>
      <c r="L581" s="16" t="s">
        <v>21</v>
      </c>
      <c r="M581" s="16">
        <v>148</v>
      </c>
    </row>
    <row r="582" ht="15.75" customHeight="1" spans="1:13">
      <c r="A582" s="16" t="s">
        <v>888</v>
      </c>
      <c r="B582" s="16" t="s">
        <v>23</v>
      </c>
      <c r="C582" s="16" t="s">
        <v>15</v>
      </c>
      <c r="D582" s="74" t="s">
        <v>889</v>
      </c>
      <c r="E582" s="16" t="s">
        <v>890</v>
      </c>
      <c r="F582" s="16"/>
      <c r="G582" s="75" t="b">
        <f t="shared" si="0"/>
        <v>0</v>
      </c>
      <c r="H582" s="16" t="b">
        <v>0</v>
      </c>
      <c r="I582" s="16" t="s">
        <v>186</v>
      </c>
      <c r="J582" s="16" t="s">
        <v>187</v>
      </c>
      <c r="K582" s="16" t="s">
        <v>514</v>
      </c>
      <c r="L582" s="16" t="s">
        <v>21</v>
      </c>
      <c r="M582" s="16">
        <v>109</v>
      </c>
    </row>
    <row r="583" ht="15.75" customHeight="1" spans="1:13">
      <c r="A583" s="80" t="s">
        <v>891</v>
      </c>
      <c r="B583" s="16" t="s">
        <v>779</v>
      </c>
      <c r="C583" s="16" t="s">
        <v>15</v>
      </c>
      <c r="D583" s="74" t="s">
        <v>892</v>
      </c>
      <c r="E583" s="16" t="s">
        <v>893</v>
      </c>
      <c r="F583" s="16"/>
      <c r="G583" s="75" t="b">
        <f t="shared" si="0"/>
        <v>0</v>
      </c>
      <c r="H583" s="16" t="b">
        <v>0</v>
      </c>
      <c r="I583" s="16" t="s">
        <v>18</v>
      </c>
      <c r="J583" s="16" t="s">
        <v>38</v>
      </c>
      <c r="K583" s="16"/>
      <c r="L583" s="16" t="s">
        <v>39</v>
      </c>
      <c r="M583" s="16">
        <v>497</v>
      </c>
    </row>
    <row r="584" ht="15.75" customHeight="1" spans="1:13">
      <c r="A584" s="16" t="s">
        <v>894</v>
      </c>
      <c r="B584" s="16" t="s">
        <v>147</v>
      </c>
      <c r="C584" s="16"/>
      <c r="D584" s="74"/>
      <c r="E584" s="16"/>
      <c r="F584" s="16"/>
      <c r="G584" s="75" t="b">
        <f t="shared" si="0"/>
        <v>0</v>
      </c>
      <c r="H584" s="16" t="b">
        <v>0</v>
      </c>
      <c r="I584" s="16" t="s">
        <v>53</v>
      </c>
      <c r="J584" s="16" t="s">
        <v>54</v>
      </c>
      <c r="K584" s="16" t="s">
        <v>895</v>
      </c>
      <c r="L584" s="16" t="s">
        <v>21</v>
      </c>
      <c r="M584" s="16">
        <v>8</v>
      </c>
    </row>
    <row r="585" ht="15.75" customHeight="1" spans="1:13">
      <c r="A585" s="16" t="s">
        <v>896</v>
      </c>
      <c r="B585" s="16" t="s">
        <v>147</v>
      </c>
      <c r="C585" s="16" t="s">
        <v>15</v>
      </c>
      <c r="D585" s="74"/>
      <c r="E585" s="16"/>
      <c r="F585" s="16"/>
      <c r="G585" s="75" t="b">
        <f t="shared" si="0"/>
        <v>0</v>
      </c>
      <c r="H585" s="16" t="b">
        <v>0</v>
      </c>
      <c r="I585" s="16" t="s">
        <v>62</v>
      </c>
      <c r="J585" s="16" t="s">
        <v>63</v>
      </c>
      <c r="K585" s="16" t="s">
        <v>93</v>
      </c>
      <c r="L585" s="16" t="s">
        <v>21</v>
      </c>
      <c r="M585" s="16">
        <v>903</v>
      </c>
    </row>
    <row r="586" ht="15.75" customHeight="1" spans="1:13">
      <c r="A586" s="16" t="s">
        <v>897</v>
      </c>
      <c r="B586" s="16" t="s">
        <v>147</v>
      </c>
      <c r="C586" s="16" t="s">
        <v>15</v>
      </c>
      <c r="D586" s="74"/>
      <c r="E586" s="16"/>
      <c r="F586" s="16"/>
      <c r="G586" s="75" t="b">
        <f t="shared" si="0"/>
        <v>0</v>
      </c>
      <c r="H586" s="16" t="b">
        <v>0</v>
      </c>
      <c r="I586" s="16" t="s">
        <v>230</v>
      </c>
      <c r="J586" s="16" t="s">
        <v>63</v>
      </c>
      <c r="K586" s="16" t="s">
        <v>93</v>
      </c>
      <c r="L586" s="16" t="s">
        <v>21</v>
      </c>
      <c r="M586" s="16">
        <v>719</v>
      </c>
    </row>
    <row r="587" ht="15.75" customHeight="1" spans="1:13">
      <c r="A587" s="16" t="s">
        <v>898</v>
      </c>
      <c r="B587" s="16" t="s">
        <v>147</v>
      </c>
      <c r="C587" s="16" t="s">
        <v>15</v>
      </c>
      <c r="D587" s="74"/>
      <c r="E587" s="16"/>
      <c r="F587" s="16"/>
      <c r="G587" s="75" t="b">
        <f t="shared" si="0"/>
        <v>0</v>
      </c>
      <c r="H587" s="16" t="b">
        <v>0</v>
      </c>
      <c r="I587" s="16" t="s">
        <v>319</v>
      </c>
      <c r="J587" s="16" t="s">
        <v>126</v>
      </c>
      <c r="K587" s="16" t="s">
        <v>142</v>
      </c>
      <c r="L587" s="16" t="s">
        <v>21</v>
      </c>
      <c r="M587" s="16">
        <v>319</v>
      </c>
    </row>
    <row r="588" ht="15.75" customHeight="1" spans="1:13">
      <c r="A588" s="16" t="s">
        <v>899</v>
      </c>
      <c r="B588" s="16" t="s">
        <v>147</v>
      </c>
      <c r="C588" s="16" t="s">
        <v>15</v>
      </c>
      <c r="D588" s="74"/>
      <c r="E588" s="16"/>
      <c r="F588" s="16"/>
      <c r="G588" s="75" t="b">
        <f t="shared" si="0"/>
        <v>0</v>
      </c>
      <c r="H588" s="16" t="b">
        <v>0</v>
      </c>
      <c r="I588" s="16" t="s">
        <v>312</v>
      </c>
      <c r="J588" s="16" t="s">
        <v>63</v>
      </c>
      <c r="K588" s="16" t="s">
        <v>93</v>
      </c>
      <c r="L588" s="16" t="s">
        <v>21</v>
      </c>
      <c r="M588" s="16">
        <v>1052</v>
      </c>
    </row>
    <row r="589" ht="15.75" customHeight="1" spans="1:13">
      <c r="A589" s="16" t="s">
        <v>900</v>
      </c>
      <c r="B589" s="16" t="s">
        <v>147</v>
      </c>
      <c r="C589" s="16"/>
      <c r="D589" s="74"/>
      <c r="E589" s="16"/>
      <c r="F589" s="16"/>
      <c r="G589" s="75" t="b">
        <f t="shared" si="0"/>
        <v>0</v>
      </c>
      <c r="H589" s="16" t="b">
        <v>0</v>
      </c>
      <c r="I589" s="16" t="s">
        <v>25</v>
      </c>
      <c r="J589" s="16" t="s">
        <v>26</v>
      </c>
      <c r="K589" s="16" t="s">
        <v>77</v>
      </c>
      <c r="L589" s="16" t="s">
        <v>39</v>
      </c>
      <c r="M589" s="16">
        <v>617</v>
      </c>
    </row>
    <row r="590" ht="15.75" customHeight="1" spans="1:13">
      <c r="A590" s="16" t="s">
        <v>901</v>
      </c>
      <c r="B590" s="16" t="s">
        <v>147</v>
      </c>
      <c r="C590" s="16" t="s">
        <v>15</v>
      </c>
      <c r="D590" s="74"/>
      <c r="E590" s="16"/>
      <c r="F590" s="16"/>
      <c r="G590" s="75" t="b">
        <f t="shared" si="0"/>
        <v>0</v>
      </c>
      <c r="H590" s="16" t="b">
        <v>0</v>
      </c>
      <c r="I590" s="16" t="s">
        <v>92</v>
      </c>
      <c r="J590" s="16" t="s">
        <v>63</v>
      </c>
      <c r="K590" s="16" t="s">
        <v>93</v>
      </c>
      <c r="L590" s="16" t="s">
        <v>21</v>
      </c>
      <c r="M590" s="16">
        <v>1003</v>
      </c>
    </row>
    <row r="591" ht="15.75" customHeight="1" spans="1:13">
      <c r="A591" s="16" t="s">
        <v>902</v>
      </c>
      <c r="B591" s="16" t="s">
        <v>147</v>
      </c>
      <c r="C591" s="16"/>
      <c r="D591" s="74"/>
      <c r="E591" s="16"/>
      <c r="F591" s="16"/>
      <c r="G591" s="75" t="b">
        <f t="shared" si="0"/>
        <v>0</v>
      </c>
      <c r="H591" s="16" t="b">
        <v>0</v>
      </c>
      <c r="I591" s="16" t="s">
        <v>109</v>
      </c>
      <c r="J591" s="16" t="s">
        <v>58</v>
      </c>
      <c r="K591" s="16" t="s">
        <v>177</v>
      </c>
      <c r="L591" s="16" t="s">
        <v>21</v>
      </c>
      <c r="M591" s="16">
        <v>524</v>
      </c>
    </row>
    <row r="592" ht="15.75" customHeight="1" spans="1:13">
      <c r="A592" s="16" t="s">
        <v>903</v>
      </c>
      <c r="B592" s="16" t="s">
        <v>147</v>
      </c>
      <c r="C592" s="16"/>
      <c r="D592" s="74"/>
      <c r="E592" s="16"/>
      <c r="F592" s="16"/>
      <c r="G592" s="75" t="b">
        <f t="shared" si="0"/>
        <v>0</v>
      </c>
      <c r="H592" s="16" t="b">
        <v>0</v>
      </c>
      <c r="I592" s="16" t="s">
        <v>25</v>
      </c>
      <c r="J592" s="16" t="s">
        <v>26</v>
      </c>
      <c r="K592" s="16" t="s">
        <v>399</v>
      </c>
      <c r="L592" s="16" t="s">
        <v>160</v>
      </c>
      <c r="M592" s="16">
        <v>611</v>
      </c>
    </row>
    <row r="593" ht="15.75" customHeight="1" spans="1:13">
      <c r="A593" s="16" t="s">
        <v>904</v>
      </c>
      <c r="B593" s="16" t="s">
        <v>147</v>
      </c>
      <c r="C593" s="16" t="s">
        <v>15</v>
      </c>
      <c r="D593" s="74"/>
      <c r="E593" s="16"/>
      <c r="F593" s="16"/>
      <c r="G593" s="75" t="b">
        <f t="shared" si="0"/>
        <v>0</v>
      </c>
      <c r="H593" s="16" t="b">
        <v>0</v>
      </c>
      <c r="I593" s="16" t="s">
        <v>207</v>
      </c>
      <c r="J593" s="16" t="s">
        <v>63</v>
      </c>
      <c r="K593" s="16" t="s">
        <v>169</v>
      </c>
      <c r="L593" s="16" t="s">
        <v>21</v>
      </c>
      <c r="M593" s="16">
        <v>947</v>
      </c>
    </row>
    <row r="594" ht="15.75" customHeight="1" spans="1:13">
      <c r="A594" s="16" t="s">
        <v>905</v>
      </c>
      <c r="B594" s="16" t="s">
        <v>147</v>
      </c>
      <c r="C594" s="16"/>
      <c r="D594" s="74"/>
      <c r="E594" s="16"/>
      <c r="F594" s="16"/>
      <c r="G594" s="75" t="b">
        <f t="shared" si="0"/>
        <v>0</v>
      </c>
      <c r="H594" s="16" t="b">
        <v>0</v>
      </c>
      <c r="I594" s="16" t="s">
        <v>173</v>
      </c>
      <c r="J594" s="16" t="s">
        <v>421</v>
      </c>
      <c r="K594" s="16" t="s">
        <v>906</v>
      </c>
      <c r="L594" s="16" t="s">
        <v>21</v>
      </c>
      <c r="M594" s="16">
        <v>430</v>
      </c>
    </row>
    <row r="595" ht="15.75" customHeight="1" spans="1:13">
      <c r="A595" s="16" t="s">
        <v>907</v>
      </c>
      <c r="B595" s="16" t="s">
        <v>147</v>
      </c>
      <c r="C595" s="16" t="s">
        <v>15</v>
      </c>
      <c r="D595" s="74"/>
      <c r="E595" s="16"/>
      <c r="F595" s="16"/>
      <c r="G595" s="75" t="b">
        <f t="shared" si="0"/>
        <v>0</v>
      </c>
      <c r="H595" s="16" t="b">
        <v>0</v>
      </c>
      <c r="I595" s="16" t="s">
        <v>92</v>
      </c>
      <c r="J595" s="16" t="s">
        <v>63</v>
      </c>
      <c r="K595" s="16" t="s">
        <v>93</v>
      </c>
      <c r="L595" s="16" t="s">
        <v>21</v>
      </c>
      <c r="M595" s="16">
        <v>155</v>
      </c>
    </row>
    <row r="596" ht="15.75" customHeight="1" spans="1:13">
      <c r="A596" s="16" t="s">
        <v>908</v>
      </c>
      <c r="B596" s="16" t="s">
        <v>147</v>
      </c>
      <c r="C596" s="16" t="s">
        <v>15</v>
      </c>
      <c r="D596" s="74"/>
      <c r="E596" s="16" t="s">
        <v>909</v>
      </c>
      <c r="F596" s="16"/>
      <c r="G596" s="75" t="b">
        <f t="shared" si="0"/>
        <v>0</v>
      </c>
      <c r="H596" s="16" t="b">
        <v>0</v>
      </c>
      <c r="I596" s="16" t="s">
        <v>210</v>
      </c>
      <c r="J596" s="16" t="s">
        <v>211</v>
      </c>
      <c r="K596" s="16" t="s">
        <v>212</v>
      </c>
      <c r="L596" s="16" t="s">
        <v>39</v>
      </c>
      <c r="M596" s="16">
        <v>713</v>
      </c>
    </row>
    <row r="597" ht="15.75" customHeight="1" spans="1:13">
      <c r="A597" s="16" t="s">
        <v>910</v>
      </c>
      <c r="B597" s="16" t="s">
        <v>147</v>
      </c>
      <c r="C597" s="16" t="s">
        <v>15</v>
      </c>
      <c r="D597" s="74"/>
      <c r="E597" s="16"/>
      <c r="F597" s="16"/>
      <c r="G597" s="75" t="b">
        <f t="shared" si="0"/>
        <v>0</v>
      </c>
      <c r="H597" s="16" t="b">
        <v>0</v>
      </c>
      <c r="I597" s="16" t="s">
        <v>207</v>
      </c>
      <c r="J597" s="16" t="s">
        <v>63</v>
      </c>
      <c r="K597" s="16" t="s">
        <v>169</v>
      </c>
      <c r="L597" s="16" t="s">
        <v>21</v>
      </c>
      <c r="M597" s="16">
        <v>447</v>
      </c>
    </row>
    <row r="598" ht="15.75" customHeight="1" spans="1:13">
      <c r="A598" s="16" t="s">
        <v>911</v>
      </c>
      <c r="B598" s="16" t="s">
        <v>147</v>
      </c>
      <c r="C598" s="16"/>
      <c r="D598" s="74"/>
      <c r="E598" s="16"/>
      <c r="F598" s="16"/>
      <c r="G598" s="75" t="b">
        <f t="shared" si="0"/>
        <v>0</v>
      </c>
      <c r="H598" s="16" t="b">
        <v>0</v>
      </c>
      <c r="I598" s="16" t="s">
        <v>141</v>
      </c>
      <c r="J598" s="16" t="s">
        <v>126</v>
      </c>
      <c r="K598" s="16" t="s">
        <v>142</v>
      </c>
      <c r="L598" s="16" t="s">
        <v>21</v>
      </c>
      <c r="M598" s="16">
        <v>491</v>
      </c>
    </row>
    <row r="599" ht="15.75" customHeight="1" spans="1:13">
      <c r="A599" s="16" t="s">
        <v>912</v>
      </c>
      <c r="B599" s="16" t="s">
        <v>147</v>
      </c>
      <c r="C599" s="16"/>
      <c r="D599" s="74"/>
      <c r="E599" s="16"/>
      <c r="F599" s="16"/>
      <c r="G599" s="75" t="b">
        <f t="shared" si="0"/>
        <v>0</v>
      </c>
      <c r="H599" s="16" t="b">
        <v>0</v>
      </c>
      <c r="I599" s="16" t="s">
        <v>25</v>
      </c>
      <c r="J599" s="16" t="s">
        <v>26</v>
      </c>
      <c r="K599" s="16" t="s">
        <v>77</v>
      </c>
      <c r="L599" s="16" t="s">
        <v>21</v>
      </c>
      <c r="M599" s="16">
        <v>339</v>
      </c>
    </row>
    <row r="600" ht="15.75" customHeight="1" spans="1:13">
      <c r="A600" s="16" t="s">
        <v>913</v>
      </c>
      <c r="B600" s="16" t="s">
        <v>147</v>
      </c>
      <c r="C600" s="16" t="s">
        <v>15</v>
      </c>
      <c r="D600" s="74"/>
      <c r="E600" s="16"/>
      <c r="F600" s="16"/>
      <c r="G600" s="75" t="b">
        <f t="shared" si="0"/>
        <v>0</v>
      </c>
      <c r="H600" s="16" t="b">
        <v>0</v>
      </c>
      <c r="I600" s="16" t="s">
        <v>72</v>
      </c>
      <c r="J600" s="16" t="s">
        <v>30</v>
      </c>
      <c r="K600" s="16" t="s">
        <v>31</v>
      </c>
      <c r="L600" s="16" t="s">
        <v>21</v>
      </c>
      <c r="M600" s="16">
        <v>888</v>
      </c>
    </row>
    <row r="601" ht="15.75" customHeight="1" spans="1:13">
      <c r="A601" s="16" t="s">
        <v>914</v>
      </c>
      <c r="B601" s="16" t="s">
        <v>147</v>
      </c>
      <c r="C601" s="16"/>
      <c r="D601" s="74"/>
      <c r="E601" s="16"/>
      <c r="F601" s="16"/>
      <c r="G601" s="75" t="b">
        <f t="shared" si="0"/>
        <v>0</v>
      </c>
      <c r="H601" s="16" t="b">
        <v>0</v>
      </c>
      <c r="I601" s="16" t="s">
        <v>25</v>
      </c>
      <c r="J601" s="16" t="s">
        <v>26</v>
      </c>
      <c r="K601" s="16" t="s">
        <v>77</v>
      </c>
      <c r="L601" s="16" t="s">
        <v>21</v>
      </c>
      <c r="M601" s="16">
        <v>633</v>
      </c>
    </row>
    <row r="602" ht="15.75" customHeight="1" spans="1:13">
      <c r="A602" s="16" t="s">
        <v>915</v>
      </c>
      <c r="B602" s="16" t="s">
        <v>147</v>
      </c>
      <c r="C602" s="16"/>
      <c r="D602" s="74"/>
      <c r="E602" s="16"/>
      <c r="F602" s="16"/>
      <c r="G602" s="75" t="b">
        <f t="shared" si="0"/>
        <v>0</v>
      </c>
      <c r="H602" s="16" t="b">
        <v>0</v>
      </c>
      <c r="I602" s="16" t="s">
        <v>109</v>
      </c>
      <c r="J602" s="16" t="s">
        <v>58</v>
      </c>
      <c r="K602" s="16" t="s">
        <v>177</v>
      </c>
      <c r="L602" s="16" t="s">
        <v>21</v>
      </c>
      <c r="M602" s="16">
        <v>946</v>
      </c>
    </row>
    <row r="603" ht="15.75" customHeight="1" spans="1:13">
      <c r="A603" s="16" t="s">
        <v>916</v>
      </c>
      <c r="B603" s="16" t="s">
        <v>147</v>
      </c>
      <c r="C603" s="16" t="s">
        <v>15</v>
      </c>
      <c r="D603" s="74"/>
      <c r="E603" s="16"/>
      <c r="F603" s="16"/>
      <c r="G603" s="75" t="b">
        <f t="shared" si="0"/>
        <v>0</v>
      </c>
      <c r="H603" s="16" t="b">
        <v>0</v>
      </c>
      <c r="I603" s="16" t="s">
        <v>173</v>
      </c>
      <c r="J603" s="16" t="s">
        <v>63</v>
      </c>
      <c r="K603" s="16" t="s">
        <v>288</v>
      </c>
      <c r="L603" s="16" t="s">
        <v>21</v>
      </c>
      <c r="M603" s="16">
        <v>429</v>
      </c>
    </row>
    <row r="604" ht="15.75" customHeight="1" spans="1:13">
      <c r="A604" s="16" t="s">
        <v>917</v>
      </c>
      <c r="B604" s="16" t="s">
        <v>147</v>
      </c>
      <c r="C604" s="16"/>
      <c r="D604" s="74"/>
      <c r="E604" s="16"/>
      <c r="F604" s="16"/>
      <c r="G604" s="75" t="b">
        <f t="shared" si="0"/>
        <v>0</v>
      </c>
      <c r="H604" s="16" t="b">
        <v>0</v>
      </c>
      <c r="I604" s="16" t="s">
        <v>25</v>
      </c>
      <c r="J604" s="16" t="s">
        <v>26</v>
      </c>
      <c r="K604" s="16" t="s">
        <v>399</v>
      </c>
      <c r="L604" s="16" t="s">
        <v>39</v>
      </c>
      <c r="M604" s="16">
        <v>766</v>
      </c>
    </row>
    <row r="605" ht="15.75" customHeight="1" spans="1:13">
      <c r="A605" s="16" t="s">
        <v>918</v>
      </c>
      <c r="B605" s="16" t="s">
        <v>147</v>
      </c>
      <c r="C605" s="16" t="s">
        <v>15</v>
      </c>
      <c r="D605" s="74"/>
      <c r="E605" s="16"/>
      <c r="F605" s="16"/>
      <c r="G605" s="75" t="b">
        <f t="shared" si="0"/>
        <v>0</v>
      </c>
      <c r="H605" s="16" t="b">
        <v>0</v>
      </c>
      <c r="I605" s="16" t="s">
        <v>173</v>
      </c>
      <c r="J605" s="16" t="s">
        <v>63</v>
      </c>
      <c r="K605" s="16" t="s">
        <v>93</v>
      </c>
      <c r="L605" s="16" t="s">
        <v>21</v>
      </c>
      <c r="M605" s="16">
        <v>559</v>
      </c>
    </row>
    <row r="606" ht="15.75" customHeight="1" spans="1:13">
      <c r="A606" s="16" t="s">
        <v>919</v>
      </c>
      <c r="B606" s="16" t="s">
        <v>147</v>
      </c>
      <c r="C606" s="16"/>
      <c r="D606" s="74"/>
      <c r="E606" s="16"/>
      <c r="F606" s="16"/>
      <c r="G606" s="75" t="b">
        <f t="shared" si="0"/>
        <v>0</v>
      </c>
      <c r="H606" s="16" t="b">
        <v>0</v>
      </c>
      <c r="I606" s="16" t="s">
        <v>25</v>
      </c>
      <c r="J606" s="16" t="s">
        <v>26</v>
      </c>
      <c r="K606" s="16" t="s">
        <v>399</v>
      </c>
      <c r="L606" s="16" t="s">
        <v>39</v>
      </c>
      <c r="M606" s="16">
        <v>752</v>
      </c>
    </row>
    <row r="607" ht="15.75" customHeight="1" spans="1:13">
      <c r="A607" s="16" t="s">
        <v>920</v>
      </c>
      <c r="B607" s="16" t="s">
        <v>147</v>
      </c>
      <c r="C607" s="16"/>
      <c r="D607" s="74"/>
      <c r="E607" s="16"/>
      <c r="F607" s="16"/>
      <c r="G607" s="75" t="b">
        <f t="shared" si="0"/>
        <v>0</v>
      </c>
      <c r="H607" s="16" t="b">
        <v>0</v>
      </c>
      <c r="I607" s="16" t="s">
        <v>25</v>
      </c>
      <c r="J607" s="16" t="s">
        <v>26</v>
      </c>
      <c r="K607" s="16" t="s">
        <v>399</v>
      </c>
      <c r="L607" s="16" t="s">
        <v>39</v>
      </c>
      <c r="M607" s="16">
        <v>762</v>
      </c>
    </row>
    <row r="608" ht="15.75" customHeight="1" spans="1:13">
      <c r="A608" s="16" t="s">
        <v>921</v>
      </c>
      <c r="B608" s="16" t="s">
        <v>147</v>
      </c>
      <c r="C608" s="16" t="s">
        <v>15</v>
      </c>
      <c r="D608" s="74"/>
      <c r="E608" s="16"/>
      <c r="F608" s="16"/>
      <c r="G608" s="75" t="b">
        <f t="shared" si="0"/>
        <v>0</v>
      </c>
      <c r="H608" s="16" t="b">
        <v>0</v>
      </c>
      <c r="I608" s="16" t="s">
        <v>53</v>
      </c>
      <c r="J608" s="16" t="s">
        <v>30</v>
      </c>
      <c r="K608" s="16" t="s">
        <v>50</v>
      </c>
      <c r="L608" s="16" t="s">
        <v>21</v>
      </c>
      <c r="M608" s="16">
        <v>139</v>
      </c>
    </row>
    <row r="609" ht="15.75" customHeight="1" spans="1:13">
      <c r="A609" s="16" t="s">
        <v>922</v>
      </c>
      <c r="B609" s="16" t="s">
        <v>147</v>
      </c>
      <c r="C609" s="16" t="s">
        <v>15</v>
      </c>
      <c r="D609" s="74"/>
      <c r="E609" s="16"/>
      <c r="F609" s="16"/>
      <c r="G609" s="75" t="b">
        <f t="shared" si="0"/>
        <v>0</v>
      </c>
      <c r="H609" s="16" t="b">
        <v>0</v>
      </c>
      <c r="I609" s="16" t="s">
        <v>144</v>
      </c>
      <c r="J609" s="16" t="s">
        <v>30</v>
      </c>
      <c r="K609" s="16" t="s">
        <v>31</v>
      </c>
      <c r="L609" s="16" t="s">
        <v>21</v>
      </c>
      <c r="M609" s="16">
        <v>1023</v>
      </c>
    </row>
    <row r="610" ht="15.75" customHeight="1" spans="1:13">
      <c r="A610" s="16" t="s">
        <v>923</v>
      </c>
      <c r="B610" s="16" t="s">
        <v>23</v>
      </c>
      <c r="C610" s="16" t="s">
        <v>183</v>
      </c>
      <c r="D610" s="74" t="s">
        <v>924</v>
      </c>
      <c r="E610" s="16" t="s">
        <v>925</v>
      </c>
      <c r="F610" s="16"/>
      <c r="G610" s="75" t="b">
        <f t="shared" si="0"/>
        <v>0</v>
      </c>
      <c r="H610" s="16" t="b">
        <v>0</v>
      </c>
      <c r="I610" s="16" t="s">
        <v>358</v>
      </c>
      <c r="J610" s="16" t="s">
        <v>63</v>
      </c>
      <c r="K610" s="16" t="s">
        <v>64</v>
      </c>
      <c r="L610" s="16" t="s">
        <v>160</v>
      </c>
      <c r="M610" s="16">
        <v>712</v>
      </c>
    </row>
    <row r="611" ht="15.75" customHeight="1" spans="1:13">
      <c r="A611" s="16" t="s">
        <v>926</v>
      </c>
      <c r="B611" s="16" t="s">
        <v>147</v>
      </c>
      <c r="C611" s="16" t="s">
        <v>190</v>
      </c>
      <c r="D611" s="74"/>
      <c r="E611" s="16" t="s">
        <v>927</v>
      </c>
      <c r="F611" s="16"/>
      <c r="G611" s="75" t="b">
        <f t="shared" si="0"/>
        <v>0</v>
      </c>
      <c r="H611" s="16" t="b">
        <v>0</v>
      </c>
      <c r="I611" s="16" t="s">
        <v>18</v>
      </c>
      <c r="J611" s="16" t="s">
        <v>38</v>
      </c>
      <c r="K611" s="16"/>
      <c r="L611" s="16" t="s">
        <v>39</v>
      </c>
      <c r="M611" s="16">
        <v>462</v>
      </c>
    </row>
    <row r="612" ht="15.75" customHeight="1" spans="1:13">
      <c r="A612" s="16" t="s">
        <v>928</v>
      </c>
      <c r="B612" s="16" t="s">
        <v>14</v>
      </c>
      <c r="C612" s="16" t="s">
        <v>15</v>
      </c>
      <c r="D612" s="74"/>
      <c r="E612" s="16" t="s">
        <v>929</v>
      </c>
      <c r="F612" s="16"/>
      <c r="G612" s="75" t="b">
        <f t="shared" si="0"/>
        <v>0</v>
      </c>
      <c r="H612" s="16" t="b">
        <v>0</v>
      </c>
      <c r="I612" s="16" t="s">
        <v>18</v>
      </c>
      <c r="J612" s="16" t="s">
        <v>38</v>
      </c>
      <c r="K612" s="16"/>
      <c r="L612" s="16" t="s">
        <v>39</v>
      </c>
      <c r="M612" s="16">
        <v>58</v>
      </c>
    </row>
    <row r="613" ht="15.75" customHeight="1" spans="1:13">
      <c r="A613" s="16" t="s">
        <v>930</v>
      </c>
      <c r="B613" s="16" t="s">
        <v>147</v>
      </c>
      <c r="C613" s="16"/>
      <c r="D613" s="74"/>
      <c r="E613" s="16"/>
      <c r="F613" s="16"/>
      <c r="G613" s="75" t="b">
        <f t="shared" si="0"/>
        <v>0</v>
      </c>
      <c r="H613" s="16" t="b">
        <v>0</v>
      </c>
      <c r="I613" s="16" t="s">
        <v>67</v>
      </c>
      <c r="J613" s="16" t="s">
        <v>26</v>
      </c>
      <c r="K613" s="16" t="s">
        <v>68</v>
      </c>
      <c r="L613" s="16" t="s">
        <v>21</v>
      </c>
      <c r="M613" s="16">
        <v>313</v>
      </c>
    </row>
    <row r="614" ht="15.75" customHeight="1" spans="1:13">
      <c r="A614" s="16" t="s">
        <v>931</v>
      </c>
      <c r="B614" s="16" t="s">
        <v>147</v>
      </c>
      <c r="C614" s="16" t="s">
        <v>190</v>
      </c>
      <c r="D614" s="74"/>
      <c r="E614" s="16" t="s">
        <v>526</v>
      </c>
      <c r="F614" s="16"/>
      <c r="G614" s="75" t="b">
        <f t="shared" si="0"/>
        <v>0</v>
      </c>
      <c r="H614" s="16" t="b">
        <v>0</v>
      </c>
      <c r="I614" s="16" t="s">
        <v>207</v>
      </c>
      <c r="J614" s="16" t="s">
        <v>30</v>
      </c>
      <c r="K614" s="16" t="s">
        <v>31</v>
      </c>
      <c r="L614" s="16" t="s">
        <v>21</v>
      </c>
      <c r="M614" s="16">
        <v>675</v>
      </c>
    </row>
    <row r="615" ht="15.75" customHeight="1" spans="1:13">
      <c r="A615" s="16" t="s">
        <v>932</v>
      </c>
      <c r="B615" s="16" t="s">
        <v>147</v>
      </c>
      <c r="C615" s="16"/>
      <c r="D615" s="74"/>
      <c r="E615" s="16"/>
      <c r="F615" s="16"/>
      <c r="G615" s="75" t="b">
        <f t="shared" si="0"/>
        <v>0</v>
      </c>
      <c r="H615" s="16" t="b">
        <v>0</v>
      </c>
      <c r="I615" s="16" t="s">
        <v>25</v>
      </c>
      <c r="J615" s="16" t="s">
        <v>26</v>
      </c>
      <c r="K615" s="16" t="s">
        <v>399</v>
      </c>
      <c r="L615" s="16" t="s">
        <v>39</v>
      </c>
      <c r="M615" s="16">
        <v>750</v>
      </c>
    </row>
    <row r="616" ht="15.75" customHeight="1" spans="1:13">
      <c r="A616" s="16" t="s">
        <v>933</v>
      </c>
      <c r="B616" s="16" t="s">
        <v>147</v>
      </c>
      <c r="C616" s="16"/>
      <c r="D616" s="74"/>
      <c r="E616" s="16"/>
      <c r="F616" s="16"/>
      <c r="G616" s="75" t="b">
        <f t="shared" si="0"/>
        <v>0</v>
      </c>
      <c r="H616" s="16" t="b">
        <v>0</v>
      </c>
      <c r="I616" s="16" t="s">
        <v>25</v>
      </c>
      <c r="J616" s="16" t="s">
        <v>58</v>
      </c>
      <c r="K616" s="16" t="s">
        <v>59</v>
      </c>
      <c r="L616" s="16" t="s">
        <v>21</v>
      </c>
      <c r="M616" s="16">
        <v>503</v>
      </c>
    </row>
    <row r="617" ht="15.75" customHeight="1" spans="1:13">
      <c r="A617" s="16" t="s">
        <v>934</v>
      </c>
      <c r="B617" s="16" t="s">
        <v>147</v>
      </c>
      <c r="C617" s="16"/>
      <c r="D617" s="74"/>
      <c r="E617" s="16"/>
      <c r="F617" s="16"/>
      <c r="G617" s="75" t="b">
        <f t="shared" si="0"/>
        <v>0</v>
      </c>
      <c r="H617" s="16" t="b">
        <v>0</v>
      </c>
      <c r="I617" s="16" t="s">
        <v>109</v>
      </c>
      <c r="J617" s="16" t="s">
        <v>58</v>
      </c>
      <c r="K617" s="16" t="s">
        <v>59</v>
      </c>
      <c r="L617" s="16" t="s">
        <v>21</v>
      </c>
      <c r="M617" s="16">
        <v>206</v>
      </c>
    </row>
    <row r="618" ht="15.75" customHeight="1" spans="1:13">
      <c r="A618" s="16" t="s">
        <v>935</v>
      </c>
      <c r="B618" s="16" t="s">
        <v>147</v>
      </c>
      <c r="C618" s="16"/>
      <c r="D618" s="74"/>
      <c r="E618" s="16"/>
      <c r="F618" s="16"/>
      <c r="G618" s="75" t="b">
        <f t="shared" si="0"/>
        <v>0</v>
      </c>
      <c r="H618" s="16" t="b">
        <v>0</v>
      </c>
      <c r="I618" s="16" t="s">
        <v>41</v>
      </c>
      <c r="J618" s="16" t="s">
        <v>132</v>
      </c>
      <c r="K618" s="16" t="s">
        <v>295</v>
      </c>
      <c r="L618" s="16" t="s">
        <v>21</v>
      </c>
      <c r="M618" s="16">
        <v>978</v>
      </c>
    </row>
    <row r="619" ht="15.75" customHeight="1" spans="1:13">
      <c r="A619" s="16" t="s">
        <v>936</v>
      </c>
      <c r="B619" s="16" t="s">
        <v>147</v>
      </c>
      <c r="C619" s="16" t="s">
        <v>15</v>
      </c>
      <c r="D619" s="74"/>
      <c r="E619" s="16"/>
      <c r="F619" s="16"/>
      <c r="G619" s="75" t="b">
        <f t="shared" si="0"/>
        <v>0</v>
      </c>
      <c r="H619" s="16" t="b">
        <v>0</v>
      </c>
      <c r="I619" s="16" t="s">
        <v>144</v>
      </c>
      <c r="J619" s="16" t="s">
        <v>30</v>
      </c>
      <c r="K619" s="16" t="s">
        <v>31</v>
      </c>
      <c r="L619" s="16" t="s">
        <v>21</v>
      </c>
      <c r="M619" s="16">
        <v>589</v>
      </c>
    </row>
    <row r="620" ht="15.75" customHeight="1" spans="1:13">
      <c r="A620" s="16" t="s">
        <v>937</v>
      </c>
      <c r="B620" s="16" t="s">
        <v>147</v>
      </c>
      <c r="C620" s="16" t="s">
        <v>15</v>
      </c>
      <c r="D620" s="74"/>
      <c r="E620" s="16" t="s">
        <v>938</v>
      </c>
      <c r="F620" s="16"/>
      <c r="G620" s="75" t="b">
        <f t="shared" si="0"/>
        <v>0</v>
      </c>
      <c r="H620" s="16" t="b">
        <v>0</v>
      </c>
      <c r="I620" s="16" t="s">
        <v>207</v>
      </c>
      <c r="J620" s="16" t="s">
        <v>30</v>
      </c>
      <c r="K620" s="16" t="s">
        <v>31</v>
      </c>
      <c r="L620" s="16" t="s">
        <v>21</v>
      </c>
      <c r="M620" s="16">
        <v>557</v>
      </c>
    </row>
    <row r="621" ht="15.75" customHeight="1" spans="1:13">
      <c r="A621" s="16" t="s">
        <v>939</v>
      </c>
      <c r="B621" s="16" t="s">
        <v>147</v>
      </c>
      <c r="C621" s="16" t="s">
        <v>15</v>
      </c>
      <c r="D621" s="74"/>
      <c r="E621" s="16"/>
      <c r="F621" s="16"/>
      <c r="G621" s="75" t="b">
        <f t="shared" si="0"/>
        <v>0</v>
      </c>
      <c r="H621" s="16" t="b">
        <v>0</v>
      </c>
      <c r="I621" s="16" t="s">
        <v>207</v>
      </c>
      <c r="J621" s="16" t="s">
        <v>30</v>
      </c>
      <c r="K621" s="16" t="s">
        <v>30</v>
      </c>
      <c r="L621" s="16" t="s">
        <v>21</v>
      </c>
      <c r="M621" s="16">
        <v>693</v>
      </c>
    </row>
    <row r="622" ht="15.75" customHeight="1" spans="1:13">
      <c r="A622" s="75" t="s">
        <v>940</v>
      </c>
      <c r="B622" s="75" t="s">
        <v>23</v>
      </c>
      <c r="C622" s="75" t="s">
        <v>15</v>
      </c>
      <c r="D622" s="79"/>
      <c r="E622" s="75" t="s">
        <v>941</v>
      </c>
      <c r="F622" s="75"/>
      <c r="G622" s="75" t="b">
        <f t="shared" si="0"/>
        <v>0</v>
      </c>
      <c r="H622" s="16" t="b">
        <v>0</v>
      </c>
      <c r="I622" s="75" t="s">
        <v>186</v>
      </c>
      <c r="J622" s="75" t="s">
        <v>187</v>
      </c>
      <c r="K622" s="75" t="s">
        <v>227</v>
      </c>
      <c r="L622" s="75" t="s">
        <v>21</v>
      </c>
      <c r="M622" s="75">
        <v>384</v>
      </c>
    </row>
    <row r="623" ht="15.75" customHeight="1" spans="1:13">
      <c r="A623" s="16" t="s">
        <v>942</v>
      </c>
      <c r="B623" s="16" t="s">
        <v>147</v>
      </c>
      <c r="C623" s="16"/>
      <c r="D623" s="74"/>
      <c r="E623" s="16"/>
      <c r="F623" s="16"/>
      <c r="G623" s="75" t="b">
        <f t="shared" si="0"/>
        <v>0</v>
      </c>
      <c r="H623" s="16" t="b">
        <v>0</v>
      </c>
      <c r="I623" s="16" t="s">
        <v>109</v>
      </c>
      <c r="J623" s="16" t="s">
        <v>58</v>
      </c>
      <c r="K623" s="16" t="s">
        <v>177</v>
      </c>
      <c r="L623" s="16" t="s">
        <v>21</v>
      </c>
      <c r="M623" s="16">
        <v>368</v>
      </c>
    </row>
    <row r="624" ht="15.75" customHeight="1" spans="1:13">
      <c r="A624" s="16" t="s">
        <v>943</v>
      </c>
      <c r="B624" s="16" t="s">
        <v>147</v>
      </c>
      <c r="C624" s="16" t="s">
        <v>15</v>
      </c>
      <c r="D624" s="74"/>
      <c r="E624" s="16"/>
      <c r="F624" s="16"/>
      <c r="G624" s="75" t="b">
        <f t="shared" si="0"/>
        <v>0</v>
      </c>
      <c r="H624" s="16" t="b">
        <v>0</v>
      </c>
      <c r="I624" s="16" t="s">
        <v>141</v>
      </c>
      <c r="J624" s="16" t="s">
        <v>126</v>
      </c>
      <c r="K624" s="16" t="s">
        <v>142</v>
      </c>
      <c r="L624" s="16" t="s">
        <v>21</v>
      </c>
      <c r="M624" s="16">
        <v>251</v>
      </c>
    </row>
    <row r="625" ht="15.75" customHeight="1" spans="1:13">
      <c r="A625" s="16" t="s">
        <v>944</v>
      </c>
      <c r="B625" s="16" t="s">
        <v>147</v>
      </c>
      <c r="C625" s="16"/>
      <c r="D625" s="74"/>
      <c r="E625" s="16"/>
      <c r="F625" s="16"/>
      <c r="G625" s="75" t="b">
        <f t="shared" si="0"/>
        <v>0</v>
      </c>
      <c r="H625" s="16" t="b">
        <v>0</v>
      </c>
      <c r="I625" s="16" t="s">
        <v>25</v>
      </c>
      <c r="J625" s="16" t="s">
        <v>26</v>
      </c>
      <c r="K625" s="16" t="s">
        <v>399</v>
      </c>
      <c r="L625" s="16" t="s">
        <v>160</v>
      </c>
      <c r="M625" s="16">
        <v>742</v>
      </c>
    </row>
    <row r="626" ht="15.75" customHeight="1" spans="1:13">
      <c r="A626" s="16" t="s">
        <v>945</v>
      </c>
      <c r="B626" s="16" t="s">
        <v>147</v>
      </c>
      <c r="C626" s="16" t="s">
        <v>15</v>
      </c>
      <c r="D626" s="74"/>
      <c r="E626" s="16"/>
      <c r="F626" s="16"/>
      <c r="G626" s="75" t="b">
        <f t="shared" si="0"/>
        <v>0</v>
      </c>
      <c r="H626" s="16" t="b">
        <v>0</v>
      </c>
      <c r="I626" s="16" t="s">
        <v>305</v>
      </c>
      <c r="J626" s="16" t="s">
        <v>19</v>
      </c>
      <c r="K626" s="16" t="s">
        <v>306</v>
      </c>
      <c r="L626" s="16" t="s">
        <v>21</v>
      </c>
      <c r="M626" s="16">
        <v>774</v>
      </c>
    </row>
    <row r="627" ht="15.75" customHeight="1" spans="1:13">
      <c r="A627" s="16" t="s">
        <v>946</v>
      </c>
      <c r="B627" s="16" t="s">
        <v>147</v>
      </c>
      <c r="C627" s="16"/>
      <c r="D627" s="74"/>
      <c r="E627" s="16"/>
      <c r="F627" s="16"/>
      <c r="G627" s="75" t="b">
        <f t="shared" si="0"/>
        <v>0</v>
      </c>
      <c r="H627" s="16" t="b">
        <v>0</v>
      </c>
      <c r="I627" s="16" t="s">
        <v>25</v>
      </c>
      <c r="J627" s="16" t="s">
        <v>26</v>
      </c>
      <c r="K627" s="16" t="s">
        <v>399</v>
      </c>
      <c r="L627" s="16" t="s">
        <v>160</v>
      </c>
      <c r="M627" s="16">
        <v>630</v>
      </c>
    </row>
    <row r="628" ht="15.75" customHeight="1" spans="1:13">
      <c r="A628" s="16" t="s">
        <v>947</v>
      </c>
      <c r="B628" s="16" t="s">
        <v>147</v>
      </c>
      <c r="C628" s="16" t="s">
        <v>15</v>
      </c>
      <c r="D628" s="74"/>
      <c r="E628" s="16"/>
      <c r="F628" s="16"/>
      <c r="G628" s="75" t="b">
        <f t="shared" si="0"/>
        <v>0</v>
      </c>
      <c r="H628" s="16" t="b">
        <v>0</v>
      </c>
      <c r="I628" s="16" t="s">
        <v>312</v>
      </c>
      <c r="J628" s="16" t="s">
        <v>19</v>
      </c>
      <c r="K628" s="16" t="s">
        <v>20</v>
      </c>
      <c r="L628" s="16" t="s">
        <v>21</v>
      </c>
      <c r="M628" s="16">
        <v>863</v>
      </c>
    </row>
    <row r="629" ht="15.75" customHeight="1" spans="1:13">
      <c r="A629" s="16" t="s">
        <v>948</v>
      </c>
      <c r="B629" s="16" t="s">
        <v>147</v>
      </c>
      <c r="C629" s="16" t="s">
        <v>15</v>
      </c>
      <c r="D629" s="74"/>
      <c r="E629" s="16" t="s">
        <v>893</v>
      </c>
      <c r="F629" s="16"/>
      <c r="G629" s="75" t="b">
        <f t="shared" si="0"/>
        <v>0</v>
      </c>
      <c r="H629" s="16" t="b">
        <v>0</v>
      </c>
      <c r="I629" s="16" t="s">
        <v>82</v>
      </c>
      <c r="J629" s="16" t="s">
        <v>83</v>
      </c>
      <c r="K629" s="16" t="s">
        <v>436</v>
      </c>
      <c r="L629" s="16" t="s">
        <v>21</v>
      </c>
      <c r="M629" s="16">
        <v>178</v>
      </c>
    </row>
    <row r="630" ht="15.75" customHeight="1" spans="1:13">
      <c r="A630" s="16" t="s">
        <v>949</v>
      </c>
      <c r="B630" s="16" t="s">
        <v>23</v>
      </c>
      <c r="C630" s="16" t="s">
        <v>15</v>
      </c>
      <c r="D630" s="74"/>
      <c r="E630" s="16" t="s">
        <v>950</v>
      </c>
      <c r="F630" s="16"/>
      <c r="G630" s="75" t="b">
        <f t="shared" si="0"/>
        <v>0</v>
      </c>
      <c r="H630" s="16" t="b">
        <v>0</v>
      </c>
      <c r="I630" s="16" t="s">
        <v>588</v>
      </c>
      <c r="J630" s="16" t="s">
        <v>19</v>
      </c>
      <c r="K630" s="16" t="s">
        <v>20</v>
      </c>
      <c r="L630" s="16" t="s">
        <v>21</v>
      </c>
      <c r="M630" s="16">
        <v>128</v>
      </c>
    </row>
    <row r="631" ht="15.75" customHeight="1" spans="1:13">
      <c r="A631" s="16" t="s">
        <v>951</v>
      </c>
      <c r="B631" s="16" t="s">
        <v>147</v>
      </c>
      <c r="C631" s="16"/>
      <c r="D631" s="74"/>
      <c r="E631" s="16"/>
      <c r="F631" s="16"/>
      <c r="G631" s="75" t="b">
        <f t="shared" si="0"/>
        <v>0</v>
      </c>
      <c r="H631" s="16" t="b">
        <v>0</v>
      </c>
      <c r="I631" s="16" t="s">
        <v>109</v>
      </c>
      <c r="J631" s="16" t="s">
        <v>58</v>
      </c>
      <c r="K631" s="16" t="s">
        <v>177</v>
      </c>
      <c r="L631" s="16" t="s">
        <v>21</v>
      </c>
      <c r="M631" s="16">
        <v>424</v>
      </c>
    </row>
    <row r="632" ht="15.75" customHeight="1" spans="1:13">
      <c r="A632" s="16" t="s">
        <v>952</v>
      </c>
      <c r="B632" s="16" t="s">
        <v>147</v>
      </c>
      <c r="C632" s="16"/>
      <c r="D632" s="74"/>
      <c r="E632" s="16"/>
      <c r="F632" s="16"/>
      <c r="G632" s="75" t="b">
        <f t="shared" si="0"/>
        <v>0</v>
      </c>
      <c r="H632" s="16" t="b">
        <v>0</v>
      </c>
      <c r="I632" s="16" t="s">
        <v>53</v>
      </c>
      <c r="J632" s="16" t="s">
        <v>54</v>
      </c>
      <c r="K632" s="16" t="s">
        <v>55</v>
      </c>
      <c r="L632" s="16" t="s">
        <v>21</v>
      </c>
      <c r="M632" s="16">
        <v>204</v>
      </c>
    </row>
    <row r="633" ht="15.75" customHeight="1" spans="1:13">
      <c r="A633" s="16" t="s">
        <v>953</v>
      </c>
      <c r="B633" s="16" t="s">
        <v>147</v>
      </c>
      <c r="C633" s="16"/>
      <c r="D633" s="74"/>
      <c r="E633" s="16"/>
      <c r="F633" s="16"/>
      <c r="G633" s="75" t="b">
        <f t="shared" si="0"/>
        <v>0</v>
      </c>
      <c r="H633" s="16" t="b">
        <v>0</v>
      </c>
      <c r="I633" s="16" t="s">
        <v>57</v>
      </c>
      <c r="J633" s="16" t="s">
        <v>58</v>
      </c>
      <c r="K633" s="16" t="s">
        <v>164</v>
      </c>
      <c r="L633" s="16" t="s">
        <v>21</v>
      </c>
      <c r="M633" s="16">
        <v>986</v>
      </c>
    </row>
    <row r="634" ht="15.75" customHeight="1" spans="1:13">
      <c r="A634" s="16" t="s">
        <v>954</v>
      </c>
      <c r="B634" s="16" t="s">
        <v>147</v>
      </c>
      <c r="C634" s="16" t="s">
        <v>15</v>
      </c>
      <c r="D634" s="74"/>
      <c r="E634" s="16"/>
      <c r="F634" s="16"/>
      <c r="G634" s="75" t="b">
        <f t="shared" si="0"/>
        <v>0</v>
      </c>
      <c r="H634" s="16" t="b">
        <v>0</v>
      </c>
      <c r="I634" s="16" t="s">
        <v>141</v>
      </c>
      <c r="J634" s="16" t="s">
        <v>126</v>
      </c>
      <c r="K634" s="16" t="s">
        <v>142</v>
      </c>
      <c r="L634" s="16" t="s">
        <v>21</v>
      </c>
      <c r="M634" s="16">
        <v>258</v>
      </c>
    </row>
    <row r="635" ht="15.75" customHeight="1" spans="1:13">
      <c r="A635" s="16" t="s">
        <v>955</v>
      </c>
      <c r="B635" s="16" t="s">
        <v>147</v>
      </c>
      <c r="C635" s="16"/>
      <c r="D635" s="74"/>
      <c r="E635" s="16"/>
      <c r="F635" s="16"/>
      <c r="G635" s="75" t="b">
        <f t="shared" si="0"/>
        <v>0</v>
      </c>
      <c r="H635" s="16" t="b">
        <v>0</v>
      </c>
      <c r="I635" s="16" t="s">
        <v>25</v>
      </c>
      <c r="J635" s="16" t="s">
        <v>26</v>
      </c>
      <c r="K635" s="16" t="s">
        <v>27</v>
      </c>
      <c r="L635" s="16" t="s">
        <v>39</v>
      </c>
      <c r="M635" s="16">
        <v>671</v>
      </c>
    </row>
    <row r="636" ht="15.75" customHeight="1" spans="1:13">
      <c r="A636" s="16" t="s">
        <v>956</v>
      </c>
      <c r="B636" s="16" t="s">
        <v>147</v>
      </c>
      <c r="C636" s="16" t="s">
        <v>15</v>
      </c>
      <c r="D636" s="74"/>
      <c r="E636" s="16"/>
      <c r="F636" s="16"/>
      <c r="G636" s="75" t="b">
        <f t="shared" si="0"/>
        <v>0</v>
      </c>
      <c r="H636" s="16" t="b">
        <v>0</v>
      </c>
      <c r="I636" s="16" t="s">
        <v>957</v>
      </c>
      <c r="J636" s="16" t="s">
        <v>63</v>
      </c>
      <c r="K636" s="16" t="s">
        <v>93</v>
      </c>
      <c r="L636" s="16" t="s">
        <v>21</v>
      </c>
      <c r="M636" s="16">
        <v>273</v>
      </c>
    </row>
    <row r="637" ht="15.75" customHeight="1" spans="1:13">
      <c r="A637" s="16" t="s">
        <v>958</v>
      </c>
      <c r="B637" s="16" t="s">
        <v>14</v>
      </c>
      <c r="C637" s="16" t="s">
        <v>15</v>
      </c>
      <c r="D637" s="74"/>
      <c r="E637" s="16" t="s">
        <v>959</v>
      </c>
      <c r="F637" s="16"/>
      <c r="G637" s="75" t="b">
        <f t="shared" si="0"/>
        <v>0</v>
      </c>
      <c r="H637" s="16" t="b">
        <v>0</v>
      </c>
      <c r="I637" s="16" t="s">
        <v>109</v>
      </c>
      <c r="J637" s="16" t="s">
        <v>58</v>
      </c>
      <c r="K637" s="16" t="s">
        <v>177</v>
      </c>
      <c r="L637" s="16" t="s">
        <v>21</v>
      </c>
      <c r="M637" s="16">
        <v>94</v>
      </c>
    </row>
    <row r="638" ht="15.75" customHeight="1" spans="1:13">
      <c r="A638" s="75" t="s">
        <v>960</v>
      </c>
      <c r="B638" s="75" t="s">
        <v>147</v>
      </c>
      <c r="C638" s="75" t="s">
        <v>15</v>
      </c>
      <c r="D638" s="79"/>
      <c r="E638" s="75"/>
      <c r="F638" s="75"/>
      <c r="G638" s="75" t="b">
        <f t="shared" si="0"/>
        <v>0</v>
      </c>
      <c r="H638" s="16" t="b">
        <v>0</v>
      </c>
      <c r="I638" s="75" t="s">
        <v>186</v>
      </c>
      <c r="J638" s="75" t="s">
        <v>187</v>
      </c>
      <c r="K638" s="75" t="s">
        <v>227</v>
      </c>
      <c r="L638" s="75" t="s">
        <v>21</v>
      </c>
      <c r="M638" s="75">
        <v>101</v>
      </c>
    </row>
    <row r="639" ht="15.75" customHeight="1" spans="1:13">
      <c r="A639" s="16" t="s">
        <v>961</v>
      </c>
      <c r="B639" s="16" t="s">
        <v>14</v>
      </c>
      <c r="C639" s="16" t="s">
        <v>190</v>
      </c>
      <c r="D639" s="74"/>
      <c r="E639" s="16" t="s">
        <v>962</v>
      </c>
      <c r="F639" s="16"/>
      <c r="G639" s="75" t="b">
        <f t="shared" si="0"/>
        <v>0</v>
      </c>
      <c r="H639" s="16" t="b">
        <v>0</v>
      </c>
      <c r="I639" s="16" t="s">
        <v>225</v>
      </c>
      <c r="J639" s="16" t="s">
        <v>211</v>
      </c>
      <c r="K639" s="16" t="s">
        <v>573</v>
      </c>
      <c r="L639" s="16" t="s">
        <v>39</v>
      </c>
      <c r="M639" s="16">
        <v>212</v>
      </c>
    </row>
    <row r="640" ht="15.75" customHeight="1" spans="1:13">
      <c r="A640" s="16" t="s">
        <v>963</v>
      </c>
      <c r="B640" s="16" t="s">
        <v>14</v>
      </c>
      <c r="C640" s="16" t="s">
        <v>15</v>
      </c>
      <c r="D640" s="74"/>
      <c r="E640" s="16" t="s">
        <v>964</v>
      </c>
      <c r="F640" s="16"/>
      <c r="G640" s="75" t="b">
        <f t="shared" si="0"/>
        <v>0</v>
      </c>
      <c r="H640" s="16" t="b">
        <v>0</v>
      </c>
      <c r="I640" s="16" t="s">
        <v>225</v>
      </c>
      <c r="J640" s="16" t="s">
        <v>211</v>
      </c>
      <c r="K640" s="16" t="s">
        <v>573</v>
      </c>
      <c r="L640" s="16" t="s">
        <v>21</v>
      </c>
      <c r="M640" s="16">
        <v>495</v>
      </c>
    </row>
    <row r="641" ht="15.75" customHeight="1" spans="1:13">
      <c r="A641" s="16" t="s">
        <v>965</v>
      </c>
      <c r="B641" s="16" t="s">
        <v>23</v>
      </c>
      <c r="C641" s="16"/>
      <c r="D641" s="74" t="s">
        <v>966</v>
      </c>
      <c r="E641" s="16" t="s">
        <v>967</v>
      </c>
      <c r="F641" s="16"/>
      <c r="G641" s="75" t="b">
        <f t="shared" si="0"/>
        <v>0</v>
      </c>
      <c r="H641" s="16" t="b">
        <v>0</v>
      </c>
      <c r="I641" s="16" t="s">
        <v>173</v>
      </c>
      <c r="J641" s="16" t="s">
        <v>54</v>
      </c>
      <c r="K641" s="16" t="s">
        <v>75</v>
      </c>
      <c r="L641" s="16" t="s">
        <v>39</v>
      </c>
      <c r="M641" s="16">
        <v>396</v>
      </c>
    </row>
    <row r="642" ht="15.75" customHeight="1" spans="1:13">
      <c r="A642" s="16" t="s">
        <v>968</v>
      </c>
      <c r="B642" s="16" t="s">
        <v>147</v>
      </c>
      <c r="C642" s="16"/>
      <c r="D642" s="74"/>
      <c r="E642" s="16"/>
      <c r="F642" s="16"/>
      <c r="G642" s="75" t="b">
        <f t="shared" si="0"/>
        <v>0</v>
      </c>
      <c r="H642" s="16" t="b">
        <v>0</v>
      </c>
      <c r="I642" s="16" t="s">
        <v>109</v>
      </c>
      <c r="J642" s="16" t="s">
        <v>58</v>
      </c>
      <c r="K642" s="16" t="s">
        <v>59</v>
      </c>
      <c r="L642" s="16" t="s">
        <v>21</v>
      </c>
      <c r="M642" s="16">
        <v>320</v>
      </c>
    </row>
    <row r="643" ht="15.75" customHeight="1" spans="1:13">
      <c r="A643" s="16" t="s">
        <v>969</v>
      </c>
      <c r="B643" s="16" t="s">
        <v>147</v>
      </c>
      <c r="C643" s="16"/>
      <c r="D643" s="74"/>
      <c r="E643" s="16"/>
      <c r="F643" s="16"/>
      <c r="G643" s="75" t="b">
        <f t="shared" si="0"/>
        <v>0</v>
      </c>
      <c r="H643" s="16" t="b">
        <v>0</v>
      </c>
      <c r="I643" s="16" t="s">
        <v>109</v>
      </c>
      <c r="J643" s="16" t="s">
        <v>58</v>
      </c>
      <c r="K643" s="16" t="s">
        <v>59</v>
      </c>
      <c r="L643" s="16" t="s">
        <v>21</v>
      </c>
      <c r="M643" s="16">
        <v>541</v>
      </c>
    </row>
    <row r="644" ht="15.75" customHeight="1" spans="1:13">
      <c r="A644" s="16" t="s">
        <v>970</v>
      </c>
      <c r="B644" s="16" t="s">
        <v>147</v>
      </c>
      <c r="C644" s="16"/>
      <c r="D644" s="74"/>
      <c r="E644" s="16"/>
      <c r="F644" s="16"/>
      <c r="G644" s="75" t="b">
        <f t="shared" si="0"/>
        <v>0</v>
      </c>
      <c r="H644" s="16" t="b">
        <v>0</v>
      </c>
      <c r="I644" s="16" t="s">
        <v>207</v>
      </c>
      <c r="J644" s="16" t="s">
        <v>26</v>
      </c>
      <c r="K644" s="16" t="s">
        <v>77</v>
      </c>
      <c r="L644" s="16" t="s">
        <v>21</v>
      </c>
      <c r="M644" s="16">
        <v>588</v>
      </c>
    </row>
    <row r="645" ht="15.75" customHeight="1" spans="1:13">
      <c r="A645" s="16" t="s">
        <v>971</v>
      </c>
      <c r="B645" s="16" t="s">
        <v>14</v>
      </c>
      <c r="C645" s="16" t="s">
        <v>15</v>
      </c>
      <c r="D645" s="74" t="s">
        <v>972</v>
      </c>
      <c r="E645" s="16" t="s">
        <v>973</v>
      </c>
      <c r="F645" s="16"/>
      <c r="G645" s="75" t="b">
        <f t="shared" si="0"/>
        <v>0</v>
      </c>
      <c r="H645" s="16" t="b">
        <v>0</v>
      </c>
      <c r="I645" s="16" t="s">
        <v>141</v>
      </c>
      <c r="J645" s="16" t="s">
        <v>126</v>
      </c>
      <c r="K645" s="16" t="s">
        <v>142</v>
      </c>
      <c r="L645" s="16" t="s">
        <v>21</v>
      </c>
      <c r="M645" s="16">
        <v>341</v>
      </c>
    </row>
    <row r="646" ht="15.75" customHeight="1" spans="1:13">
      <c r="A646" s="16" t="s">
        <v>974</v>
      </c>
      <c r="B646" s="16" t="s">
        <v>147</v>
      </c>
      <c r="C646" s="16" t="s">
        <v>190</v>
      </c>
      <c r="D646" s="74"/>
      <c r="E646" s="16" t="s">
        <v>526</v>
      </c>
      <c r="F646" s="16"/>
      <c r="G646" s="75" t="b">
        <f t="shared" si="0"/>
        <v>0</v>
      </c>
      <c r="H646" s="16" t="b">
        <v>0</v>
      </c>
      <c r="I646" s="16" t="s">
        <v>207</v>
      </c>
      <c r="J646" s="16" t="s">
        <v>30</v>
      </c>
      <c r="K646" s="16" t="s">
        <v>31</v>
      </c>
      <c r="L646" s="16" t="s">
        <v>21</v>
      </c>
      <c r="M646" s="16">
        <v>681</v>
      </c>
    </row>
    <row r="647" ht="15.75" customHeight="1" spans="1:13">
      <c r="A647" s="16" t="s">
        <v>975</v>
      </c>
      <c r="B647" s="16" t="s">
        <v>147</v>
      </c>
      <c r="C647" s="16" t="s">
        <v>15</v>
      </c>
      <c r="D647" s="74"/>
      <c r="E647" s="16"/>
      <c r="F647" s="16"/>
      <c r="G647" s="75" t="b">
        <f t="shared" si="0"/>
        <v>0</v>
      </c>
      <c r="H647" s="16" t="b">
        <v>0</v>
      </c>
      <c r="I647" s="16" t="s">
        <v>319</v>
      </c>
      <c r="J647" s="16" t="s">
        <v>126</v>
      </c>
      <c r="K647" s="16" t="s">
        <v>127</v>
      </c>
      <c r="L647" s="16" t="s">
        <v>21</v>
      </c>
      <c r="M647" s="16">
        <v>39</v>
      </c>
    </row>
    <row r="648" ht="15.75" customHeight="1" spans="1:13">
      <c r="A648" s="16" t="s">
        <v>976</v>
      </c>
      <c r="B648" s="16" t="s">
        <v>147</v>
      </c>
      <c r="C648" s="16" t="s">
        <v>15</v>
      </c>
      <c r="D648" s="74"/>
      <c r="E648" s="16"/>
      <c r="F648" s="16"/>
      <c r="G648" s="75" t="b">
        <f t="shared" si="0"/>
        <v>0</v>
      </c>
      <c r="H648" s="16" t="b">
        <v>0</v>
      </c>
      <c r="I648" s="16" t="s">
        <v>312</v>
      </c>
      <c r="J648" s="16" t="s">
        <v>63</v>
      </c>
      <c r="K648" s="16" t="s">
        <v>169</v>
      </c>
      <c r="L648" s="16" t="s">
        <v>21</v>
      </c>
      <c r="M648" s="16">
        <v>1049</v>
      </c>
    </row>
    <row r="649" ht="15.75" customHeight="1" spans="1:13">
      <c r="A649" s="16" t="s">
        <v>977</v>
      </c>
      <c r="B649" s="16" t="s">
        <v>147</v>
      </c>
      <c r="C649" s="16" t="s">
        <v>190</v>
      </c>
      <c r="D649" s="74"/>
      <c r="E649" s="16"/>
      <c r="F649" s="16"/>
      <c r="G649" s="75" t="b">
        <f t="shared" si="0"/>
        <v>0</v>
      </c>
      <c r="H649" s="16" t="b">
        <v>0</v>
      </c>
      <c r="I649" s="16" t="s">
        <v>207</v>
      </c>
      <c r="J649" s="16" t="s">
        <v>63</v>
      </c>
      <c r="K649" s="16" t="s">
        <v>169</v>
      </c>
      <c r="L649" s="16" t="s">
        <v>21</v>
      </c>
      <c r="M649" s="16">
        <v>668</v>
      </c>
    </row>
    <row r="650" ht="15.75" customHeight="1" spans="1:13">
      <c r="A650" s="16" t="s">
        <v>978</v>
      </c>
      <c r="B650" s="16" t="s">
        <v>147</v>
      </c>
      <c r="C650" s="16" t="s">
        <v>15</v>
      </c>
      <c r="D650" s="74"/>
      <c r="E650" s="16"/>
      <c r="F650" s="16"/>
      <c r="G650" s="75" t="b">
        <f t="shared" si="0"/>
        <v>0</v>
      </c>
      <c r="H650" s="16" t="b">
        <v>0</v>
      </c>
      <c r="I650" s="16" t="s">
        <v>575</v>
      </c>
      <c r="J650" s="16" t="s">
        <v>63</v>
      </c>
      <c r="K650" s="16" t="s">
        <v>169</v>
      </c>
      <c r="L650" s="16" t="s">
        <v>21</v>
      </c>
      <c r="M650" s="16">
        <v>405</v>
      </c>
    </row>
    <row r="651" ht="15.75" customHeight="1" spans="1:13">
      <c r="A651" s="16" t="s">
        <v>979</v>
      </c>
      <c r="B651" s="16" t="s">
        <v>147</v>
      </c>
      <c r="C651" s="16" t="s">
        <v>15</v>
      </c>
      <c r="D651" s="74"/>
      <c r="E651" s="16"/>
      <c r="F651" s="16"/>
      <c r="G651" s="75" t="b">
        <f t="shared" si="0"/>
        <v>0</v>
      </c>
      <c r="H651" s="16" t="b">
        <v>0</v>
      </c>
      <c r="I651" s="16" t="s">
        <v>29</v>
      </c>
      <c r="J651" s="16" t="s">
        <v>30</v>
      </c>
      <c r="K651" s="16" t="s">
        <v>31</v>
      </c>
      <c r="L651" s="16" t="s">
        <v>21</v>
      </c>
      <c r="M651" s="16">
        <v>999</v>
      </c>
    </row>
    <row r="652" ht="15.75" customHeight="1" spans="1:13">
      <c r="A652" s="16" t="s">
        <v>980</v>
      </c>
      <c r="B652" s="16" t="s">
        <v>147</v>
      </c>
      <c r="C652" s="16" t="s">
        <v>190</v>
      </c>
      <c r="D652" s="74"/>
      <c r="E652" s="16" t="s">
        <v>981</v>
      </c>
      <c r="F652" s="16"/>
      <c r="G652" s="75" t="b">
        <f t="shared" si="0"/>
        <v>0</v>
      </c>
      <c r="H652" s="16" t="b">
        <v>0</v>
      </c>
      <c r="I652" s="16" t="s">
        <v>207</v>
      </c>
      <c r="J652" s="16" t="s">
        <v>30</v>
      </c>
      <c r="K652" s="16" t="s">
        <v>31</v>
      </c>
      <c r="L652" s="16" t="s">
        <v>21</v>
      </c>
      <c r="M652" s="16">
        <v>679</v>
      </c>
    </row>
    <row r="653" ht="15.75" customHeight="1" spans="1:13">
      <c r="A653" s="16" t="s">
        <v>982</v>
      </c>
      <c r="B653" s="16" t="s">
        <v>147</v>
      </c>
      <c r="C653" s="16"/>
      <c r="D653" s="74"/>
      <c r="E653" s="16"/>
      <c r="F653" s="16"/>
      <c r="G653" s="75" t="b">
        <f t="shared" si="0"/>
        <v>0</v>
      </c>
      <c r="H653" s="16" t="b">
        <v>0</v>
      </c>
      <c r="I653" s="16" t="s">
        <v>207</v>
      </c>
      <c r="J653" s="16" t="s">
        <v>126</v>
      </c>
      <c r="K653" s="16" t="s">
        <v>142</v>
      </c>
      <c r="L653" s="16" t="s">
        <v>21</v>
      </c>
      <c r="M653" s="16">
        <v>682</v>
      </c>
    </row>
    <row r="654" ht="15.75" customHeight="1" spans="1:13">
      <c r="A654" s="16" t="s">
        <v>983</v>
      </c>
      <c r="B654" s="16" t="s">
        <v>147</v>
      </c>
      <c r="C654" s="16" t="s">
        <v>15</v>
      </c>
      <c r="D654" s="74"/>
      <c r="E654" s="16"/>
      <c r="F654" s="16"/>
      <c r="G654" s="75" t="b">
        <f t="shared" si="0"/>
        <v>0</v>
      </c>
      <c r="H654" s="16" t="b">
        <v>0</v>
      </c>
      <c r="I654" s="16" t="s">
        <v>131</v>
      </c>
      <c r="J654" s="16" t="s">
        <v>132</v>
      </c>
      <c r="K654" s="16" t="s">
        <v>371</v>
      </c>
      <c r="L654" s="16" t="s">
        <v>21</v>
      </c>
      <c r="M654" s="16">
        <v>543</v>
      </c>
    </row>
    <row r="655" ht="15.75" customHeight="1" spans="1:13">
      <c r="A655" s="16" t="s">
        <v>984</v>
      </c>
      <c r="B655" s="16" t="s">
        <v>147</v>
      </c>
      <c r="C655" s="16" t="s">
        <v>15</v>
      </c>
      <c r="D655" s="74"/>
      <c r="E655" s="16"/>
      <c r="F655" s="16"/>
      <c r="G655" s="75" t="b">
        <f t="shared" si="0"/>
        <v>0</v>
      </c>
      <c r="H655" s="16" t="b">
        <v>0</v>
      </c>
      <c r="I655" s="16" t="s">
        <v>207</v>
      </c>
      <c r="J655" s="16" t="s">
        <v>63</v>
      </c>
      <c r="K655" s="16" t="s">
        <v>169</v>
      </c>
      <c r="L655" s="16" t="s">
        <v>21</v>
      </c>
      <c r="M655" s="16">
        <v>864</v>
      </c>
    </row>
    <row r="656" ht="15.75" customHeight="1" spans="1:13">
      <c r="A656" s="16" t="s">
        <v>985</v>
      </c>
      <c r="B656" s="16" t="s">
        <v>147</v>
      </c>
      <c r="C656" s="16"/>
      <c r="D656" s="74"/>
      <c r="E656" s="16"/>
      <c r="F656" s="16"/>
      <c r="G656" s="75" t="b">
        <f t="shared" si="0"/>
        <v>0</v>
      </c>
      <c r="H656" s="16" t="b">
        <v>0</v>
      </c>
      <c r="I656" s="16" t="s">
        <v>67</v>
      </c>
      <c r="J656" s="16" t="s">
        <v>58</v>
      </c>
      <c r="K656" s="16" t="s">
        <v>164</v>
      </c>
      <c r="L656" s="16" t="s">
        <v>21</v>
      </c>
      <c r="M656" s="16">
        <v>187</v>
      </c>
    </row>
    <row r="657" ht="15.75" customHeight="1" spans="1:13">
      <c r="A657" s="16" t="s">
        <v>986</v>
      </c>
      <c r="B657" s="16" t="s">
        <v>147</v>
      </c>
      <c r="C657" s="16"/>
      <c r="D657" s="74"/>
      <c r="E657" s="16"/>
      <c r="F657" s="16"/>
      <c r="G657" s="75" t="b">
        <f t="shared" si="0"/>
        <v>0</v>
      </c>
      <c r="H657" s="16" t="b">
        <v>0</v>
      </c>
      <c r="I657" s="16" t="s">
        <v>144</v>
      </c>
      <c r="J657" s="16" t="s">
        <v>54</v>
      </c>
      <c r="K657" s="16" t="s">
        <v>566</v>
      </c>
      <c r="L657" s="16" t="s">
        <v>21</v>
      </c>
      <c r="M657" s="16">
        <v>1045</v>
      </c>
    </row>
    <row r="658" ht="15.75" customHeight="1" spans="1:13">
      <c r="A658" s="16" t="s">
        <v>987</v>
      </c>
      <c r="B658" s="16" t="s">
        <v>147</v>
      </c>
      <c r="C658" s="16" t="s">
        <v>15</v>
      </c>
      <c r="D658" s="74"/>
      <c r="E658" s="16"/>
      <c r="F658" s="16"/>
      <c r="G658" s="75" t="b">
        <f t="shared" si="0"/>
        <v>0</v>
      </c>
      <c r="H658" s="16" t="b">
        <v>0</v>
      </c>
      <c r="I658" s="16" t="s">
        <v>18</v>
      </c>
      <c r="J658" s="16" t="s">
        <v>38</v>
      </c>
      <c r="K658" s="16"/>
      <c r="L658" s="16" t="s">
        <v>39</v>
      </c>
      <c r="M658" s="16">
        <v>340</v>
      </c>
    </row>
    <row r="659" ht="15.75" customHeight="1" spans="1:13">
      <c r="A659" s="16" t="s">
        <v>988</v>
      </c>
      <c r="B659" s="16" t="s">
        <v>14</v>
      </c>
      <c r="C659" s="16" t="s">
        <v>15</v>
      </c>
      <c r="D659" s="74"/>
      <c r="E659" s="16" t="s">
        <v>241</v>
      </c>
      <c r="F659" s="16"/>
      <c r="G659" s="75" t="b">
        <f t="shared" si="0"/>
        <v>0</v>
      </c>
      <c r="H659" s="16" t="b">
        <v>0</v>
      </c>
      <c r="I659" s="16" t="s">
        <v>141</v>
      </c>
      <c r="J659" s="16" t="s">
        <v>63</v>
      </c>
      <c r="K659" s="16" t="s">
        <v>288</v>
      </c>
      <c r="L659" s="16" t="s">
        <v>21</v>
      </c>
      <c r="M659" s="16">
        <v>473</v>
      </c>
    </row>
    <row r="660" ht="15.75" customHeight="1" spans="1:13">
      <c r="A660" s="16" t="s">
        <v>989</v>
      </c>
      <c r="B660" s="16" t="s">
        <v>147</v>
      </c>
      <c r="C660" s="16"/>
      <c r="D660" s="74"/>
      <c r="E660" s="16"/>
      <c r="F660" s="16"/>
      <c r="G660" s="75" t="b">
        <f t="shared" si="0"/>
        <v>0</v>
      </c>
      <c r="H660" s="16" t="b">
        <v>0</v>
      </c>
      <c r="I660" s="16" t="s">
        <v>72</v>
      </c>
      <c r="J660" s="16" t="s">
        <v>54</v>
      </c>
      <c r="K660" s="16" t="s">
        <v>55</v>
      </c>
      <c r="L660" s="16" t="s">
        <v>21</v>
      </c>
      <c r="M660" s="16">
        <v>425</v>
      </c>
    </row>
    <row r="661" ht="15.75" customHeight="1" spans="1:13">
      <c r="A661" s="16" t="s">
        <v>990</v>
      </c>
      <c r="B661" s="16" t="s">
        <v>147</v>
      </c>
      <c r="C661" s="16" t="s">
        <v>15</v>
      </c>
      <c r="D661" s="74"/>
      <c r="E661" s="16" t="s">
        <v>893</v>
      </c>
      <c r="F661" s="16"/>
      <c r="G661" s="75" t="b">
        <f t="shared" si="0"/>
        <v>0</v>
      </c>
      <c r="H661" s="16" t="b">
        <v>0</v>
      </c>
      <c r="I661" s="16" t="s">
        <v>338</v>
      </c>
      <c r="J661" s="16" t="s">
        <v>211</v>
      </c>
      <c r="K661" s="16" t="s">
        <v>991</v>
      </c>
      <c r="L661" s="16" t="s">
        <v>21</v>
      </c>
      <c r="M661" s="16">
        <v>92</v>
      </c>
    </row>
    <row r="662" ht="15.75" customHeight="1" spans="1:13">
      <c r="A662" s="16" t="s">
        <v>992</v>
      </c>
      <c r="B662" s="16" t="s">
        <v>147</v>
      </c>
      <c r="C662" s="16" t="s">
        <v>15</v>
      </c>
      <c r="D662" s="74"/>
      <c r="E662" s="16" t="s">
        <v>993</v>
      </c>
      <c r="F662" s="16"/>
      <c r="G662" s="75" t="b">
        <f t="shared" si="0"/>
        <v>0</v>
      </c>
      <c r="H662" s="16" t="b">
        <v>0</v>
      </c>
      <c r="I662" s="16" t="s">
        <v>303</v>
      </c>
      <c r="J662" s="16" t="s">
        <v>19</v>
      </c>
      <c r="K662" s="16" t="s">
        <v>20</v>
      </c>
      <c r="L662" s="16" t="s">
        <v>21</v>
      </c>
      <c r="M662" s="16">
        <v>851</v>
      </c>
    </row>
    <row r="663" ht="15.75" customHeight="1" spans="1:13">
      <c r="A663" s="16" t="s">
        <v>994</v>
      </c>
      <c r="B663" s="16" t="s">
        <v>147</v>
      </c>
      <c r="C663" s="16"/>
      <c r="D663" s="74"/>
      <c r="E663" s="16"/>
      <c r="F663" s="16"/>
      <c r="G663" s="75" t="b">
        <f t="shared" si="0"/>
        <v>0</v>
      </c>
      <c r="H663" s="16" t="b">
        <v>0</v>
      </c>
      <c r="I663" s="16" t="s">
        <v>67</v>
      </c>
      <c r="J663" s="16" t="s">
        <v>26</v>
      </c>
      <c r="K663" s="16" t="s">
        <v>68</v>
      </c>
      <c r="L663" s="16" t="s">
        <v>21</v>
      </c>
      <c r="M663" s="16">
        <v>184</v>
      </c>
    </row>
    <row r="664" ht="15.75" customHeight="1" spans="1:13">
      <c r="A664" s="16" t="s">
        <v>995</v>
      </c>
      <c r="B664" s="16" t="s">
        <v>23</v>
      </c>
      <c r="C664" s="16" t="s">
        <v>15</v>
      </c>
      <c r="D664" s="74"/>
      <c r="E664" s="16" t="s">
        <v>927</v>
      </c>
      <c r="F664" s="16"/>
      <c r="G664" s="75" t="b">
        <f t="shared" si="0"/>
        <v>0</v>
      </c>
      <c r="H664" s="16" t="b">
        <v>0</v>
      </c>
      <c r="I664" s="16" t="s">
        <v>18</v>
      </c>
      <c r="J664" s="16" t="s">
        <v>38</v>
      </c>
      <c r="K664" s="16"/>
      <c r="L664" s="16" t="s">
        <v>39</v>
      </c>
      <c r="M664" s="16">
        <v>499</v>
      </c>
    </row>
    <row r="665" ht="15.75" customHeight="1" spans="1:13">
      <c r="A665" s="16" t="s">
        <v>996</v>
      </c>
      <c r="B665" s="16" t="s">
        <v>147</v>
      </c>
      <c r="C665" s="16" t="s">
        <v>15</v>
      </c>
      <c r="D665" s="74"/>
      <c r="E665" s="16"/>
      <c r="F665" s="16"/>
      <c r="G665" s="75" t="b">
        <f t="shared" si="0"/>
        <v>0</v>
      </c>
      <c r="H665" s="16" t="b">
        <v>0</v>
      </c>
      <c r="I665" s="16" t="s">
        <v>82</v>
      </c>
      <c r="J665" s="16" t="s">
        <v>83</v>
      </c>
      <c r="K665" s="16" t="s">
        <v>786</v>
      </c>
      <c r="L665" s="16" t="s">
        <v>21</v>
      </c>
      <c r="M665" s="16">
        <v>414</v>
      </c>
    </row>
    <row r="666" ht="15.75" customHeight="1" spans="1:13">
      <c r="A666" s="16" t="s">
        <v>997</v>
      </c>
      <c r="B666" s="16" t="s">
        <v>147</v>
      </c>
      <c r="C666" s="16"/>
      <c r="D666" s="74"/>
      <c r="E666" s="16"/>
      <c r="F666" s="16"/>
      <c r="G666" s="75" t="b">
        <f t="shared" si="0"/>
        <v>0</v>
      </c>
      <c r="H666" s="16" t="b">
        <v>0</v>
      </c>
      <c r="I666" s="16" t="s">
        <v>53</v>
      </c>
      <c r="J666" s="16" t="s">
        <v>54</v>
      </c>
      <c r="K666" s="16" t="s">
        <v>198</v>
      </c>
      <c r="L666" s="16" t="s">
        <v>21</v>
      </c>
      <c r="M666" s="16">
        <v>1031</v>
      </c>
    </row>
    <row r="667" ht="15.75" customHeight="1" spans="1:13">
      <c r="A667" s="16" t="s">
        <v>998</v>
      </c>
      <c r="B667" s="16" t="s">
        <v>14</v>
      </c>
      <c r="C667" s="16"/>
      <c r="D667" s="74" t="s">
        <v>999</v>
      </c>
      <c r="E667" s="16" t="s">
        <v>1000</v>
      </c>
      <c r="F667" s="16"/>
      <c r="G667" s="75" t="b">
        <f t="shared" si="0"/>
        <v>0</v>
      </c>
      <c r="H667" s="16" t="b">
        <v>0</v>
      </c>
      <c r="I667" s="16" t="s">
        <v>57</v>
      </c>
      <c r="J667" s="16" t="s">
        <v>58</v>
      </c>
      <c r="K667" s="16" t="s">
        <v>177</v>
      </c>
      <c r="L667" s="16" t="s">
        <v>39</v>
      </c>
      <c r="M667" s="16">
        <v>194</v>
      </c>
    </row>
    <row r="668" ht="15.75" customHeight="1" spans="1:13">
      <c r="A668" s="16" t="s">
        <v>1001</v>
      </c>
      <c r="B668" s="16" t="s">
        <v>23</v>
      </c>
      <c r="C668" s="16"/>
      <c r="D668" s="74"/>
      <c r="E668" s="16"/>
      <c r="F668" s="16"/>
      <c r="G668" s="75" t="b">
        <f t="shared" si="0"/>
        <v>0</v>
      </c>
      <c r="H668" s="16" t="b">
        <v>0</v>
      </c>
      <c r="I668" s="16" t="s">
        <v>25</v>
      </c>
      <c r="J668" s="16" t="s">
        <v>26</v>
      </c>
      <c r="K668" s="16" t="s">
        <v>77</v>
      </c>
      <c r="L668" s="16" t="s">
        <v>39</v>
      </c>
      <c r="M668" s="16">
        <v>941</v>
      </c>
    </row>
    <row r="669" ht="15.75" customHeight="1" spans="1:13">
      <c r="A669" s="16" t="s">
        <v>1002</v>
      </c>
      <c r="B669" s="16" t="s">
        <v>147</v>
      </c>
      <c r="C669" s="16"/>
      <c r="D669" s="74"/>
      <c r="E669" s="16"/>
      <c r="F669" s="16"/>
      <c r="G669" s="75" t="b">
        <f t="shared" si="0"/>
        <v>0</v>
      </c>
      <c r="H669" s="16" t="b">
        <v>0</v>
      </c>
      <c r="I669" s="16" t="s">
        <v>109</v>
      </c>
      <c r="J669" s="16" t="s">
        <v>58</v>
      </c>
      <c r="K669" s="16" t="s">
        <v>177</v>
      </c>
      <c r="L669" s="16" t="s">
        <v>21</v>
      </c>
      <c r="M669" s="16">
        <v>1009</v>
      </c>
    </row>
    <row r="670" ht="15.75" customHeight="1" spans="1:13">
      <c r="A670" s="16" t="s">
        <v>1003</v>
      </c>
      <c r="B670" s="16" t="s">
        <v>147</v>
      </c>
      <c r="C670" s="16" t="s">
        <v>15</v>
      </c>
      <c r="D670" s="74"/>
      <c r="E670" s="16" t="s">
        <v>1004</v>
      </c>
      <c r="F670" s="16"/>
      <c r="G670" s="75" t="b">
        <f t="shared" si="0"/>
        <v>0</v>
      </c>
      <c r="H670" s="16" t="b">
        <v>0</v>
      </c>
      <c r="I670" s="16" t="s">
        <v>870</v>
      </c>
      <c r="J670" s="16" t="s">
        <v>211</v>
      </c>
      <c r="K670" s="16" t="s">
        <v>1005</v>
      </c>
      <c r="L670" s="16" t="s">
        <v>21</v>
      </c>
      <c r="M670" s="16">
        <v>435</v>
      </c>
    </row>
    <row r="671" ht="15.75" customHeight="1" spans="1:13">
      <c r="A671" s="16" t="s">
        <v>1006</v>
      </c>
      <c r="B671" s="16" t="s">
        <v>147</v>
      </c>
      <c r="C671" s="16"/>
      <c r="D671" s="74"/>
      <c r="E671" s="16"/>
      <c r="F671" s="16"/>
      <c r="G671" s="75" t="b">
        <f t="shared" si="0"/>
        <v>0</v>
      </c>
      <c r="H671" s="16" t="b">
        <v>0</v>
      </c>
      <c r="I671" s="16" t="s">
        <v>57</v>
      </c>
      <c r="J671" s="16" t="s">
        <v>58</v>
      </c>
      <c r="K671" s="16" t="s">
        <v>59</v>
      </c>
      <c r="L671" s="16" t="s">
        <v>21</v>
      </c>
      <c r="M671" s="16">
        <v>235</v>
      </c>
    </row>
    <row r="672" ht="15.75" customHeight="1" spans="1:13">
      <c r="A672" s="16" t="s">
        <v>1007</v>
      </c>
      <c r="B672" s="16" t="s">
        <v>147</v>
      </c>
      <c r="C672" s="16" t="s">
        <v>15</v>
      </c>
      <c r="D672" s="74"/>
      <c r="E672" s="16"/>
      <c r="F672" s="16"/>
      <c r="G672" s="75" t="b">
        <f t="shared" si="0"/>
        <v>0</v>
      </c>
      <c r="H672" s="16" t="b">
        <v>0</v>
      </c>
      <c r="I672" s="16" t="s">
        <v>1008</v>
      </c>
      <c r="J672" s="16" t="s">
        <v>83</v>
      </c>
      <c r="K672" s="16" t="s">
        <v>451</v>
      </c>
      <c r="L672" s="16" t="s">
        <v>21</v>
      </c>
      <c r="M672" s="16">
        <v>739</v>
      </c>
    </row>
    <row r="673" ht="15.75" customHeight="1" spans="1:13">
      <c r="A673" s="16" t="s">
        <v>1009</v>
      </c>
      <c r="B673" s="16" t="s">
        <v>147</v>
      </c>
      <c r="C673" s="16" t="s">
        <v>190</v>
      </c>
      <c r="D673" s="74" t="s">
        <v>1010</v>
      </c>
      <c r="E673" s="16"/>
      <c r="F673" s="16"/>
      <c r="G673" s="75" t="b">
        <f t="shared" si="0"/>
        <v>0</v>
      </c>
      <c r="H673" s="16" t="b">
        <v>0</v>
      </c>
      <c r="I673" s="16" t="s">
        <v>278</v>
      </c>
      <c r="J673" s="16" t="s">
        <v>19</v>
      </c>
      <c r="K673" s="16" t="s">
        <v>20</v>
      </c>
      <c r="L673" s="16" t="s">
        <v>21</v>
      </c>
      <c r="M673" s="16">
        <v>106</v>
      </c>
    </row>
    <row r="674" ht="15.75" customHeight="1" spans="1:13">
      <c r="A674" s="16" t="s">
        <v>1011</v>
      </c>
      <c r="B674" s="16" t="s">
        <v>147</v>
      </c>
      <c r="C674" s="16" t="s">
        <v>15</v>
      </c>
      <c r="D674" s="74"/>
      <c r="E674" s="16"/>
      <c r="F674" s="16"/>
      <c r="G674" s="75" t="b">
        <f t="shared" si="0"/>
        <v>0</v>
      </c>
      <c r="H674" s="16" t="b">
        <v>0</v>
      </c>
      <c r="I674" s="16" t="s">
        <v>338</v>
      </c>
      <c r="J674" s="16" t="s">
        <v>211</v>
      </c>
      <c r="K674" s="16" t="s">
        <v>991</v>
      </c>
      <c r="L674" s="16" t="s">
        <v>21</v>
      </c>
      <c r="M674" s="16">
        <v>93</v>
      </c>
    </row>
    <row r="675" ht="15.75" customHeight="1" spans="1:13">
      <c r="A675" s="16" t="s">
        <v>1012</v>
      </c>
      <c r="B675" s="16" t="s">
        <v>14</v>
      </c>
      <c r="C675" s="16" t="s">
        <v>15</v>
      </c>
      <c r="D675" s="74"/>
      <c r="E675" s="16" t="s">
        <v>1013</v>
      </c>
      <c r="F675" s="16"/>
      <c r="G675" s="75" t="b">
        <f t="shared" si="0"/>
        <v>0</v>
      </c>
      <c r="H675" s="16" t="b">
        <v>0</v>
      </c>
      <c r="I675" s="16" t="s">
        <v>1014</v>
      </c>
      <c r="J675" s="16" t="s">
        <v>83</v>
      </c>
      <c r="K675" s="16" t="s">
        <v>1015</v>
      </c>
      <c r="L675" s="16" t="s">
        <v>21</v>
      </c>
      <c r="M675" s="16">
        <v>345</v>
      </c>
    </row>
    <row r="676" ht="15.75" customHeight="1" spans="1:13">
      <c r="A676" s="16" t="s">
        <v>1016</v>
      </c>
      <c r="B676" s="16" t="s">
        <v>147</v>
      </c>
      <c r="C676" s="16" t="s">
        <v>190</v>
      </c>
      <c r="D676" s="74"/>
      <c r="E676" s="16" t="s">
        <v>617</v>
      </c>
      <c r="F676" s="16"/>
      <c r="G676" s="75" t="b">
        <f t="shared" si="0"/>
        <v>0</v>
      </c>
      <c r="H676" s="16" t="b">
        <v>0</v>
      </c>
      <c r="I676" s="16" t="s">
        <v>92</v>
      </c>
      <c r="J676" s="16" t="s">
        <v>30</v>
      </c>
      <c r="K676" s="16" t="s">
        <v>31</v>
      </c>
      <c r="L676" s="16" t="s">
        <v>21</v>
      </c>
      <c r="M676" s="16">
        <v>699</v>
      </c>
    </row>
    <row r="677" ht="15.75" customHeight="1" spans="1:13">
      <c r="A677" s="16" t="s">
        <v>1017</v>
      </c>
      <c r="B677" s="16" t="s">
        <v>23</v>
      </c>
      <c r="C677" s="16" t="s">
        <v>15</v>
      </c>
      <c r="D677" s="74"/>
      <c r="E677" s="16" t="s">
        <v>1018</v>
      </c>
      <c r="F677" s="16"/>
      <c r="G677" s="75" t="b">
        <f t="shared" si="0"/>
        <v>0</v>
      </c>
      <c r="H677" s="16" t="b">
        <v>0</v>
      </c>
      <c r="I677" s="16" t="s">
        <v>72</v>
      </c>
      <c r="J677" s="16" t="s">
        <v>63</v>
      </c>
      <c r="K677" s="16" t="s">
        <v>73</v>
      </c>
      <c r="L677" s="16" t="s">
        <v>21</v>
      </c>
      <c r="M677" s="16">
        <v>560</v>
      </c>
    </row>
    <row r="678" ht="15.75" customHeight="1" spans="1:13">
      <c r="A678" s="16" t="s">
        <v>875</v>
      </c>
      <c r="B678" s="16" t="s">
        <v>147</v>
      </c>
      <c r="C678" s="16" t="s">
        <v>183</v>
      </c>
      <c r="D678" s="74" t="s">
        <v>1019</v>
      </c>
      <c r="E678" s="16"/>
      <c r="F678" s="16"/>
      <c r="G678" s="75" t="b">
        <f t="shared" si="0"/>
        <v>0</v>
      </c>
      <c r="H678" s="16" t="b">
        <v>0</v>
      </c>
      <c r="I678" s="16" t="s">
        <v>186</v>
      </c>
      <c r="J678" s="16" t="s">
        <v>187</v>
      </c>
      <c r="K678" s="16" t="s">
        <v>514</v>
      </c>
      <c r="L678" s="16" t="s">
        <v>21</v>
      </c>
      <c r="M678" s="16">
        <v>487</v>
      </c>
    </row>
    <row r="679" ht="15.75" customHeight="1" spans="1:13">
      <c r="A679" s="16" t="s">
        <v>1020</v>
      </c>
      <c r="B679" s="16" t="s">
        <v>147</v>
      </c>
      <c r="C679" s="16"/>
      <c r="D679" s="74"/>
      <c r="E679" s="16"/>
      <c r="F679" s="16"/>
      <c r="G679" s="75" t="b">
        <f t="shared" si="0"/>
        <v>0</v>
      </c>
      <c r="H679" s="16" t="b">
        <v>0</v>
      </c>
      <c r="I679" s="16" t="s">
        <v>53</v>
      </c>
      <c r="J679" s="16" t="s">
        <v>54</v>
      </c>
      <c r="K679" s="16" t="s">
        <v>55</v>
      </c>
      <c r="L679" s="16" t="s">
        <v>21</v>
      </c>
      <c r="M679" s="16">
        <v>9</v>
      </c>
    </row>
    <row r="680" ht="15.75" customHeight="1" spans="1:13">
      <c r="A680" s="16" t="s">
        <v>1021</v>
      </c>
      <c r="B680" s="16" t="s">
        <v>147</v>
      </c>
      <c r="C680" s="16"/>
      <c r="D680" s="74"/>
      <c r="E680" s="16"/>
      <c r="F680" s="16"/>
      <c r="G680" s="75" t="b">
        <f t="shared" si="0"/>
        <v>0</v>
      </c>
      <c r="H680" s="16" t="b">
        <v>0</v>
      </c>
      <c r="I680" s="16" t="s">
        <v>207</v>
      </c>
      <c r="J680" s="16" t="s">
        <v>126</v>
      </c>
      <c r="K680" s="16" t="s">
        <v>142</v>
      </c>
      <c r="L680" s="16" t="s">
        <v>21</v>
      </c>
      <c r="M680" s="16">
        <v>1018</v>
      </c>
    </row>
    <row r="681" ht="15.75" customHeight="1" spans="1:13">
      <c r="A681" s="16" t="s">
        <v>1022</v>
      </c>
      <c r="B681" s="16" t="s">
        <v>147</v>
      </c>
      <c r="C681" s="16"/>
      <c r="D681" s="74"/>
      <c r="E681" s="16"/>
      <c r="F681" s="16"/>
      <c r="G681" s="75" t="b">
        <f t="shared" si="0"/>
        <v>0</v>
      </c>
      <c r="H681" s="16" t="b">
        <v>0</v>
      </c>
      <c r="I681" s="16" t="s">
        <v>25</v>
      </c>
      <c r="J681" s="16" t="s">
        <v>26</v>
      </c>
      <c r="K681" s="16" t="s">
        <v>399</v>
      </c>
      <c r="L681" s="16" t="s">
        <v>39</v>
      </c>
      <c r="M681" s="16">
        <v>756</v>
      </c>
    </row>
    <row r="682" ht="15.75" customHeight="1" spans="1:13">
      <c r="A682" s="16" t="s">
        <v>1023</v>
      </c>
      <c r="B682" s="16" t="s">
        <v>147</v>
      </c>
      <c r="C682" s="16" t="s">
        <v>15</v>
      </c>
      <c r="D682" s="74"/>
      <c r="E682" s="16"/>
      <c r="F682" s="16"/>
      <c r="G682" s="75" t="b">
        <f t="shared" si="0"/>
        <v>0</v>
      </c>
      <c r="H682" s="16" t="b">
        <v>0</v>
      </c>
      <c r="I682" s="16" t="s">
        <v>207</v>
      </c>
      <c r="J682" s="16" t="s">
        <v>126</v>
      </c>
      <c r="K682" s="16" t="s">
        <v>142</v>
      </c>
      <c r="L682" s="16" t="s">
        <v>21</v>
      </c>
      <c r="M682" s="16">
        <v>75</v>
      </c>
    </row>
    <row r="683" ht="15.75" customHeight="1" spans="1:13">
      <c r="A683" s="16" t="s">
        <v>1024</v>
      </c>
      <c r="B683" s="16" t="s">
        <v>147</v>
      </c>
      <c r="C683" s="16" t="s">
        <v>15</v>
      </c>
      <c r="D683" s="74"/>
      <c r="E683" s="16"/>
      <c r="F683" s="16"/>
      <c r="G683" s="75" t="b">
        <f t="shared" si="0"/>
        <v>0</v>
      </c>
      <c r="H683" s="16" t="b">
        <v>0</v>
      </c>
      <c r="I683" s="16" t="s">
        <v>141</v>
      </c>
      <c r="J683" s="16" t="s">
        <v>126</v>
      </c>
      <c r="K683" s="16" t="s">
        <v>142</v>
      </c>
      <c r="L683" s="16" t="s">
        <v>21</v>
      </c>
      <c r="M683" s="16">
        <v>413</v>
      </c>
    </row>
    <row r="684" ht="15.75" customHeight="1" spans="1:13">
      <c r="A684" s="16" t="s">
        <v>1025</v>
      </c>
      <c r="B684" s="16" t="s">
        <v>147</v>
      </c>
      <c r="C684" s="16"/>
      <c r="D684" s="74"/>
      <c r="E684" s="16"/>
      <c r="F684" s="16"/>
      <c r="G684" s="75" t="b">
        <f t="shared" si="0"/>
        <v>0</v>
      </c>
      <c r="H684" s="16" t="b">
        <v>0</v>
      </c>
      <c r="I684" s="16" t="s">
        <v>131</v>
      </c>
      <c r="J684" s="16" t="s">
        <v>132</v>
      </c>
      <c r="K684" s="16" t="s">
        <v>133</v>
      </c>
      <c r="L684" s="16" t="s">
        <v>21</v>
      </c>
      <c r="M684" s="16">
        <v>556</v>
      </c>
    </row>
    <row r="685" ht="15.75" customHeight="1" spans="1:13">
      <c r="A685" s="16" t="s">
        <v>1026</v>
      </c>
      <c r="B685" s="16" t="s">
        <v>147</v>
      </c>
      <c r="C685" s="16"/>
      <c r="D685" s="74"/>
      <c r="E685" s="16" t="s">
        <v>1027</v>
      </c>
      <c r="F685" s="16"/>
      <c r="G685" s="75" t="b">
        <f t="shared" si="0"/>
        <v>0</v>
      </c>
      <c r="H685" s="16" t="b">
        <v>0</v>
      </c>
      <c r="I685" s="16" t="s">
        <v>67</v>
      </c>
      <c r="J685" s="16" t="s">
        <v>58</v>
      </c>
      <c r="K685" s="16" t="s">
        <v>177</v>
      </c>
      <c r="L685" s="16" t="s">
        <v>39</v>
      </c>
      <c r="M685" s="16">
        <v>842</v>
      </c>
    </row>
    <row r="686" ht="15.75" customHeight="1" spans="1:13">
      <c r="A686" s="16" t="s">
        <v>1028</v>
      </c>
      <c r="B686" s="16" t="s">
        <v>147</v>
      </c>
      <c r="C686" s="16"/>
      <c r="D686" s="74"/>
      <c r="E686" s="16"/>
      <c r="F686" s="16"/>
      <c r="G686" s="75" t="b">
        <f t="shared" si="0"/>
        <v>0</v>
      </c>
      <c r="H686" s="16" t="b">
        <v>0</v>
      </c>
      <c r="I686" s="16" t="s">
        <v>57</v>
      </c>
      <c r="J686" s="16" t="s">
        <v>58</v>
      </c>
      <c r="K686" s="16" t="s">
        <v>177</v>
      </c>
      <c r="L686" s="16" t="s">
        <v>21</v>
      </c>
      <c r="M686" s="16">
        <v>528</v>
      </c>
    </row>
    <row r="687" ht="15.75" customHeight="1" spans="1:13">
      <c r="A687" s="16" t="s">
        <v>1029</v>
      </c>
      <c r="B687" s="16" t="s">
        <v>147</v>
      </c>
      <c r="C687" s="16" t="s">
        <v>15</v>
      </c>
      <c r="D687" s="74"/>
      <c r="E687" s="16"/>
      <c r="F687" s="16"/>
      <c r="G687" s="75" t="b">
        <f t="shared" si="0"/>
        <v>0</v>
      </c>
      <c r="H687" s="16" t="b">
        <v>0</v>
      </c>
      <c r="I687" s="16" t="s">
        <v>870</v>
      </c>
      <c r="J687" s="16" t="s">
        <v>211</v>
      </c>
      <c r="K687" s="16" t="s">
        <v>1005</v>
      </c>
      <c r="L687" s="16" t="s">
        <v>21</v>
      </c>
      <c r="M687" s="16">
        <v>837</v>
      </c>
    </row>
    <row r="688" ht="15.75" customHeight="1" spans="1:13">
      <c r="A688" s="16" t="s">
        <v>1030</v>
      </c>
      <c r="B688" s="16" t="s">
        <v>147</v>
      </c>
      <c r="C688" s="16" t="s">
        <v>183</v>
      </c>
      <c r="D688" s="74" t="s">
        <v>134</v>
      </c>
      <c r="E688" s="16"/>
      <c r="F688" s="16"/>
      <c r="G688" s="75" t="b">
        <f t="shared" si="0"/>
        <v>0</v>
      </c>
      <c r="H688" s="16" t="b">
        <v>0</v>
      </c>
      <c r="I688" s="16" t="s">
        <v>18</v>
      </c>
      <c r="J688" s="16" t="s">
        <v>19</v>
      </c>
      <c r="K688" s="16" t="s">
        <v>20</v>
      </c>
      <c r="L688" s="16" t="s">
        <v>21</v>
      </c>
      <c r="M688" s="16">
        <v>490</v>
      </c>
    </row>
    <row r="689" ht="15.75" customHeight="1" spans="1:13">
      <c r="A689" s="16" t="s">
        <v>1031</v>
      </c>
      <c r="B689" s="16" t="s">
        <v>147</v>
      </c>
      <c r="C689" s="16"/>
      <c r="D689" s="74"/>
      <c r="E689" s="16"/>
      <c r="F689" s="16"/>
      <c r="G689" s="75" t="b">
        <f t="shared" si="0"/>
        <v>0</v>
      </c>
      <c r="H689" s="16" t="b">
        <v>0</v>
      </c>
      <c r="I689" s="16" t="s">
        <v>53</v>
      </c>
      <c r="J689" s="16" t="s">
        <v>54</v>
      </c>
      <c r="K689" s="16" t="s">
        <v>75</v>
      </c>
      <c r="L689" s="16" t="s">
        <v>21</v>
      </c>
      <c r="M689" s="16">
        <v>117</v>
      </c>
    </row>
    <row r="690" ht="15.75" customHeight="1" spans="1:13">
      <c r="A690" s="16" t="s">
        <v>1032</v>
      </c>
      <c r="B690" s="16" t="s">
        <v>147</v>
      </c>
      <c r="C690" s="16"/>
      <c r="D690" s="74"/>
      <c r="E690" s="16"/>
      <c r="F690" s="16"/>
      <c r="G690" s="75" t="b">
        <f t="shared" si="0"/>
        <v>0</v>
      </c>
      <c r="H690" s="16" t="b">
        <v>0</v>
      </c>
      <c r="I690" s="16" t="s">
        <v>144</v>
      </c>
      <c r="J690" s="16" t="s">
        <v>54</v>
      </c>
      <c r="K690" s="16" t="s">
        <v>566</v>
      </c>
      <c r="L690" s="16" t="s">
        <v>21</v>
      </c>
      <c r="M690" s="16">
        <v>323</v>
      </c>
    </row>
    <row r="691" ht="15.75" customHeight="1" spans="1:13">
      <c r="A691" s="16" t="s">
        <v>1033</v>
      </c>
      <c r="B691" s="16" t="s">
        <v>147</v>
      </c>
      <c r="C691" s="16"/>
      <c r="D691" s="74"/>
      <c r="E691" s="16"/>
      <c r="F691" s="16"/>
      <c r="G691" s="75" t="b">
        <f t="shared" si="0"/>
        <v>0</v>
      </c>
      <c r="H691" s="16" t="b">
        <v>0</v>
      </c>
      <c r="I691" s="16" t="s">
        <v>25</v>
      </c>
      <c r="J691" s="16" t="s">
        <v>26</v>
      </c>
      <c r="K691" s="16" t="s">
        <v>77</v>
      </c>
      <c r="L691" s="16" t="s">
        <v>39</v>
      </c>
      <c r="M691" s="16">
        <v>436</v>
      </c>
    </row>
    <row r="692" ht="15.75" customHeight="1" spans="1:13">
      <c r="A692" s="16" t="s">
        <v>1034</v>
      </c>
      <c r="B692" s="16" t="s">
        <v>147</v>
      </c>
      <c r="C692" s="16"/>
      <c r="D692" s="74"/>
      <c r="E692" s="16"/>
      <c r="F692" s="16"/>
      <c r="G692" s="75" t="b">
        <f t="shared" si="0"/>
        <v>0</v>
      </c>
      <c r="H692" s="16" t="b">
        <v>0</v>
      </c>
      <c r="I692" s="16" t="s">
        <v>41</v>
      </c>
      <c r="J692" s="16" t="s">
        <v>132</v>
      </c>
      <c r="K692" s="16" t="s">
        <v>295</v>
      </c>
      <c r="L692" s="16" t="s">
        <v>21</v>
      </c>
      <c r="M692" s="16">
        <v>979</v>
      </c>
    </row>
    <row r="693" ht="15.75" customHeight="1" spans="1:13">
      <c r="A693" s="16" t="s">
        <v>1035</v>
      </c>
      <c r="B693" s="16" t="s">
        <v>147</v>
      </c>
      <c r="C693" s="16" t="s">
        <v>15</v>
      </c>
      <c r="D693" s="74"/>
      <c r="E693" s="16"/>
      <c r="F693" s="16"/>
      <c r="G693" s="75" t="b">
        <f t="shared" si="0"/>
        <v>0</v>
      </c>
      <c r="H693" s="16" t="b">
        <v>0</v>
      </c>
      <c r="I693" s="16" t="s">
        <v>67</v>
      </c>
      <c r="J693" s="16" t="s">
        <v>63</v>
      </c>
      <c r="K693" s="16" t="s">
        <v>169</v>
      </c>
      <c r="L693" s="16" t="s">
        <v>21</v>
      </c>
      <c r="M693" s="16">
        <v>840</v>
      </c>
    </row>
    <row r="694" ht="15.75" customHeight="1" spans="1:13">
      <c r="A694" s="16" t="s">
        <v>1036</v>
      </c>
      <c r="B694" s="16" t="s">
        <v>147</v>
      </c>
      <c r="C694" s="16" t="s">
        <v>15</v>
      </c>
      <c r="D694" s="74"/>
      <c r="E694" s="16" t="s">
        <v>893</v>
      </c>
      <c r="F694" s="16"/>
      <c r="G694" s="75" t="b">
        <f t="shared" si="0"/>
        <v>0</v>
      </c>
      <c r="H694" s="16" t="b">
        <v>0</v>
      </c>
      <c r="I694" s="16" t="s">
        <v>207</v>
      </c>
      <c r="J694" s="16" t="s">
        <v>211</v>
      </c>
      <c r="K694" s="16" t="s">
        <v>212</v>
      </c>
      <c r="L694" s="16" t="s">
        <v>21</v>
      </c>
      <c r="M694" s="16">
        <v>867</v>
      </c>
    </row>
    <row r="695" ht="15.75" customHeight="1" spans="1:13">
      <c r="A695" s="16" t="s">
        <v>1037</v>
      </c>
      <c r="B695" s="16" t="s">
        <v>147</v>
      </c>
      <c r="C695" s="16"/>
      <c r="D695" s="74"/>
      <c r="E695" s="16"/>
      <c r="F695" s="16"/>
      <c r="G695" s="75" t="b">
        <f t="shared" si="0"/>
        <v>0</v>
      </c>
      <c r="H695" s="16" t="b">
        <v>0</v>
      </c>
      <c r="I695" s="16" t="s">
        <v>109</v>
      </c>
      <c r="J695" s="16" t="s">
        <v>58</v>
      </c>
      <c r="K695" s="16" t="s">
        <v>59</v>
      </c>
      <c r="L695" s="16" t="s">
        <v>21</v>
      </c>
      <c r="M695" s="16">
        <v>812</v>
      </c>
    </row>
    <row r="696" ht="15.75" customHeight="1" spans="1:13">
      <c r="A696" s="16" t="s">
        <v>1038</v>
      </c>
      <c r="B696" s="16" t="s">
        <v>147</v>
      </c>
      <c r="C696" s="16" t="s">
        <v>15</v>
      </c>
      <c r="D696" s="74"/>
      <c r="E696" s="16" t="s">
        <v>1039</v>
      </c>
      <c r="F696" s="16"/>
      <c r="G696" s="75" t="b">
        <f t="shared" si="0"/>
        <v>0</v>
      </c>
      <c r="H696" s="16" t="b">
        <v>0</v>
      </c>
      <c r="I696" s="16" t="s">
        <v>207</v>
      </c>
      <c r="J696" s="16" t="s">
        <v>63</v>
      </c>
      <c r="K696" s="16" t="s">
        <v>169</v>
      </c>
      <c r="L696" s="16" t="s">
        <v>21</v>
      </c>
      <c r="M696" s="16">
        <v>121</v>
      </c>
    </row>
    <row r="697" ht="15.75" customHeight="1" spans="1:13">
      <c r="A697" s="16" t="s">
        <v>1040</v>
      </c>
      <c r="B697" s="16" t="s">
        <v>147</v>
      </c>
      <c r="C697" s="16"/>
      <c r="D697" s="74"/>
      <c r="E697" s="16"/>
      <c r="F697" s="16"/>
      <c r="G697" s="75" t="b">
        <f t="shared" si="0"/>
        <v>0</v>
      </c>
      <c r="H697" s="16" t="b">
        <v>0</v>
      </c>
      <c r="I697" s="16" t="s">
        <v>230</v>
      </c>
      <c r="J697" s="16" t="s">
        <v>26</v>
      </c>
      <c r="K697" s="16" t="s">
        <v>68</v>
      </c>
      <c r="L697" s="16" t="s">
        <v>39</v>
      </c>
      <c r="M697" s="16">
        <v>820</v>
      </c>
    </row>
    <row r="698" ht="15.75" customHeight="1" spans="1:13">
      <c r="A698" s="16" t="s">
        <v>1041</v>
      </c>
      <c r="B698" s="16" t="s">
        <v>147</v>
      </c>
      <c r="C698" s="16" t="s">
        <v>15</v>
      </c>
      <c r="D698" s="74"/>
      <c r="E698" s="16"/>
      <c r="F698" s="16"/>
      <c r="G698" s="75" t="b">
        <f t="shared" si="0"/>
        <v>0</v>
      </c>
      <c r="H698" s="16" t="b">
        <v>0</v>
      </c>
      <c r="I698" s="16" t="s">
        <v>53</v>
      </c>
      <c r="J698" s="16" t="s">
        <v>19</v>
      </c>
      <c r="K698" s="16" t="s">
        <v>589</v>
      </c>
      <c r="L698" s="16" t="s">
        <v>21</v>
      </c>
      <c r="M698" s="16">
        <v>1035</v>
      </c>
    </row>
    <row r="699" ht="15.75" customHeight="1" spans="1:13">
      <c r="A699" s="16" t="s">
        <v>1042</v>
      </c>
      <c r="B699" s="16" t="s">
        <v>147</v>
      </c>
      <c r="C699" s="16"/>
      <c r="D699" s="74"/>
      <c r="E699" s="16"/>
      <c r="F699" s="16"/>
      <c r="G699" s="75" t="b">
        <f t="shared" si="0"/>
        <v>0</v>
      </c>
      <c r="H699" s="16" t="b">
        <v>0</v>
      </c>
      <c r="I699" s="16" t="s">
        <v>732</v>
      </c>
      <c r="J699" s="16" t="s">
        <v>54</v>
      </c>
      <c r="K699" s="16" t="s">
        <v>733</v>
      </c>
      <c r="L699" s="16" t="s">
        <v>21</v>
      </c>
      <c r="M699" s="16">
        <v>1041</v>
      </c>
    </row>
    <row r="700" ht="15.75" customHeight="1" spans="1:13">
      <c r="A700" s="16" t="s">
        <v>1043</v>
      </c>
      <c r="B700" s="16" t="s">
        <v>147</v>
      </c>
      <c r="C700" s="16"/>
      <c r="D700" s="74"/>
      <c r="E700" s="16"/>
      <c r="F700" s="16"/>
      <c r="G700" s="75" t="b">
        <f t="shared" si="0"/>
        <v>0</v>
      </c>
      <c r="H700" s="16" t="b">
        <v>0</v>
      </c>
      <c r="I700" s="16" t="s">
        <v>25</v>
      </c>
      <c r="J700" s="16" t="s">
        <v>26</v>
      </c>
      <c r="K700" s="16" t="s">
        <v>159</v>
      </c>
      <c r="L700" s="16" t="s">
        <v>21</v>
      </c>
      <c r="M700" s="16">
        <v>625</v>
      </c>
    </row>
    <row r="701" ht="15.75" customHeight="1" spans="1:13">
      <c r="A701" s="16" t="s">
        <v>1044</v>
      </c>
      <c r="B701" s="16" t="s">
        <v>147</v>
      </c>
      <c r="C701" s="16" t="s">
        <v>15</v>
      </c>
      <c r="D701" s="74"/>
      <c r="E701" s="16"/>
      <c r="F701" s="16"/>
      <c r="G701" s="75" t="b">
        <f t="shared" si="0"/>
        <v>0</v>
      </c>
      <c r="H701" s="16" t="b">
        <v>0</v>
      </c>
      <c r="I701" s="16" t="s">
        <v>29</v>
      </c>
      <c r="J701" s="16" t="s">
        <v>30</v>
      </c>
      <c r="K701" s="16" t="s">
        <v>31</v>
      </c>
      <c r="L701" s="16" t="s">
        <v>21</v>
      </c>
      <c r="M701" s="16">
        <v>157</v>
      </c>
    </row>
    <row r="702" ht="15.75" customHeight="1" spans="1:13">
      <c r="A702" s="16" t="s">
        <v>1045</v>
      </c>
      <c r="B702" s="16" t="s">
        <v>147</v>
      </c>
      <c r="C702" s="16" t="s">
        <v>15</v>
      </c>
      <c r="D702" s="74"/>
      <c r="E702" s="16"/>
      <c r="F702" s="16"/>
      <c r="G702" s="75" t="b">
        <f t="shared" si="0"/>
        <v>0</v>
      </c>
      <c r="H702" s="16" t="b">
        <v>0</v>
      </c>
      <c r="I702" s="16" t="s">
        <v>92</v>
      </c>
      <c r="J702" s="16" t="s">
        <v>63</v>
      </c>
      <c r="K702" s="16" t="s">
        <v>93</v>
      </c>
      <c r="L702" s="16" t="s">
        <v>21</v>
      </c>
      <c r="M702" s="16">
        <v>930</v>
      </c>
    </row>
    <row r="703" ht="15.75" customHeight="1" spans="1:13">
      <c r="A703" s="16" t="s">
        <v>1046</v>
      </c>
      <c r="B703" s="16" t="s">
        <v>147</v>
      </c>
      <c r="C703" s="16"/>
      <c r="D703" s="74"/>
      <c r="E703" s="16"/>
      <c r="F703" s="16"/>
      <c r="G703" s="75" t="b">
        <f t="shared" si="0"/>
        <v>0</v>
      </c>
      <c r="H703" s="16" t="b">
        <v>0</v>
      </c>
      <c r="I703" s="16" t="s">
        <v>144</v>
      </c>
      <c r="J703" s="16" t="s">
        <v>54</v>
      </c>
      <c r="K703" s="16" t="s">
        <v>566</v>
      </c>
      <c r="L703" s="16" t="s">
        <v>21</v>
      </c>
      <c r="M703" s="16">
        <v>59</v>
      </c>
    </row>
    <row r="704" ht="15.75" customHeight="1" spans="1:13">
      <c r="A704" s="16" t="s">
        <v>1047</v>
      </c>
      <c r="B704" s="16" t="s">
        <v>147</v>
      </c>
      <c r="C704" s="16"/>
      <c r="D704" s="74"/>
      <c r="E704" s="16"/>
      <c r="F704" s="16"/>
      <c r="G704" s="75" t="b">
        <f t="shared" si="0"/>
        <v>0</v>
      </c>
      <c r="H704" s="16" t="b">
        <v>0</v>
      </c>
      <c r="I704" s="16" t="s">
        <v>392</v>
      </c>
      <c r="J704" s="16" t="s">
        <v>54</v>
      </c>
      <c r="K704" s="16" t="s">
        <v>198</v>
      </c>
      <c r="L704" s="16" t="s">
        <v>21</v>
      </c>
      <c r="M704" s="16">
        <v>1013</v>
      </c>
    </row>
    <row r="705" ht="15.75" customHeight="1" spans="1:13">
      <c r="A705" s="16" t="s">
        <v>1048</v>
      </c>
      <c r="B705" s="16" t="s">
        <v>147</v>
      </c>
      <c r="C705" s="16"/>
      <c r="D705" s="74"/>
      <c r="E705" s="16"/>
      <c r="F705" s="16"/>
      <c r="G705" s="75" t="b">
        <f t="shared" si="0"/>
        <v>0</v>
      </c>
      <c r="H705" s="16" t="b">
        <v>0</v>
      </c>
      <c r="I705" s="16" t="s">
        <v>67</v>
      </c>
      <c r="J705" s="16" t="s">
        <v>26</v>
      </c>
      <c r="K705" s="16" t="s">
        <v>68</v>
      </c>
      <c r="L705" s="16" t="s">
        <v>21</v>
      </c>
      <c r="M705" s="16">
        <v>814</v>
      </c>
    </row>
    <row r="706" ht="15.75" customHeight="1" spans="1:13">
      <c r="A706" s="16" t="s">
        <v>1049</v>
      </c>
      <c r="B706" s="16" t="s">
        <v>147</v>
      </c>
      <c r="C706" s="16" t="s">
        <v>15</v>
      </c>
      <c r="D706" s="74"/>
      <c r="E706" s="16"/>
      <c r="F706" s="16"/>
      <c r="G706" s="75" t="b">
        <f t="shared" si="0"/>
        <v>0</v>
      </c>
      <c r="H706" s="16" t="b">
        <v>0</v>
      </c>
      <c r="I706" s="16" t="s">
        <v>118</v>
      </c>
      <c r="J706" s="16" t="s">
        <v>19</v>
      </c>
      <c r="K706" s="16" t="s">
        <v>689</v>
      </c>
      <c r="L706" s="16" t="s">
        <v>21</v>
      </c>
      <c r="M706" s="16">
        <v>773</v>
      </c>
    </row>
    <row r="707" ht="15.75" customHeight="1" spans="1:13">
      <c r="A707" s="16" t="s">
        <v>1050</v>
      </c>
      <c r="B707" s="16" t="s">
        <v>23</v>
      </c>
      <c r="C707" s="16" t="s">
        <v>15</v>
      </c>
      <c r="D707" s="74"/>
      <c r="E707" s="16" t="s">
        <v>1051</v>
      </c>
      <c r="F707" s="16"/>
      <c r="G707" s="75" t="b">
        <f t="shared" si="0"/>
        <v>0</v>
      </c>
      <c r="H707" s="16" t="b">
        <v>0</v>
      </c>
      <c r="I707" s="16" t="s">
        <v>536</v>
      </c>
      <c r="J707" s="16" t="s">
        <v>63</v>
      </c>
      <c r="K707" s="16" t="s">
        <v>169</v>
      </c>
      <c r="L707" s="16" t="s">
        <v>21</v>
      </c>
      <c r="M707" s="16">
        <v>467</v>
      </c>
    </row>
    <row r="708" ht="15.75" customHeight="1" spans="1:13">
      <c r="A708" s="16" t="s">
        <v>1052</v>
      </c>
      <c r="B708" s="16" t="s">
        <v>147</v>
      </c>
      <c r="C708" s="16" t="s">
        <v>15</v>
      </c>
      <c r="D708" s="74"/>
      <c r="E708" s="16" t="s">
        <v>893</v>
      </c>
      <c r="F708" s="16"/>
      <c r="G708" s="75" t="b">
        <f t="shared" si="0"/>
        <v>0</v>
      </c>
      <c r="H708" s="16" t="b">
        <v>0</v>
      </c>
      <c r="I708" s="16" t="s">
        <v>92</v>
      </c>
      <c r="J708" s="16" t="s">
        <v>30</v>
      </c>
      <c r="K708" s="16" t="s">
        <v>31</v>
      </c>
      <c r="L708" s="16" t="s">
        <v>160</v>
      </c>
      <c r="M708" s="16">
        <v>331</v>
      </c>
    </row>
    <row r="709" ht="15.75" customHeight="1" spans="1:13">
      <c r="A709" s="16" t="s">
        <v>1053</v>
      </c>
      <c r="B709" s="16" t="s">
        <v>147</v>
      </c>
      <c r="C709" s="16" t="s">
        <v>15</v>
      </c>
      <c r="D709" s="74"/>
      <c r="E709" s="16"/>
      <c r="F709" s="16"/>
      <c r="G709" s="75" t="b">
        <f t="shared" si="0"/>
        <v>0</v>
      </c>
      <c r="H709" s="16" t="b">
        <v>0</v>
      </c>
      <c r="I709" s="16" t="s">
        <v>957</v>
      </c>
      <c r="J709" s="16" t="s">
        <v>30</v>
      </c>
      <c r="K709" s="16" t="s">
        <v>31</v>
      </c>
      <c r="L709" s="16" t="s">
        <v>160</v>
      </c>
      <c r="M709" s="16">
        <v>415</v>
      </c>
    </row>
    <row r="710" ht="15.75" customHeight="1" spans="1:13">
      <c r="A710" s="16" t="s">
        <v>1054</v>
      </c>
      <c r="B710" s="16" t="s">
        <v>147</v>
      </c>
      <c r="C710" s="16"/>
      <c r="D710" s="74"/>
      <c r="E710" s="16" t="s">
        <v>1055</v>
      </c>
      <c r="F710" s="16"/>
      <c r="G710" s="75" t="b">
        <f t="shared" si="0"/>
        <v>0</v>
      </c>
      <c r="H710" s="16" t="b">
        <v>0</v>
      </c>
      <c r="I710" s="16" t="s">
        <v>25</v>
      </c>
      <c r="J710" s="16" t="s">
        <v>26</v>
      </c>
      <c r="K710" s="16" t="s">
        <v>27</v>
      </c>
      <c r="L710" s="16" t="s">
        <v>39</v>
      </c>
      <c r="M710" s="16">
        <v>836</v>
      </c>
    </row>
    <row r="711" ht="15.75" customHeight="1" spans="1:13">
      <c r="A711" s="75" t="s">
        <v>1056</v>
      </c>
      <c r="B711" s="75" t="s">
        <v>147</v>
      </c>
      <c r="C711" s="75" t="s">
        <v>15</v>
      </c>
      <c r="D711" s="79"/>
      <c r="E711" s="75"/>
      <c r="F711" s="75"/>
      <c r="G711" s="75" t="b">
        <f t="shared" si="0"/>
        <v>0</v>
      </c>
      <c r="H711" s="16" t="b">
        <v>0</v>
      </c>
      <c r="I711" s="75" t="s">
        <v>41</v>
      </c>
      <c r="J711" s="75" t="s">
        <v>187</v>
      </c>
      <c r="K711" s="75" t="s">
        <v>227</v>
      </c>
      <c r="L711" s="75" t="s">
        <v>21</v>
      </c>
      <c r="M711" s="75">
        <v>301</v>
      </c>
    </row>
    <row r="712" ht="15.75" customHeight="1" spans="1:13">
      <c r="A712" s="16" t="s">
        <v>1057</v>
      </c>
      <c r="B712" s="16" t="s">
        <v>147</v>
      </c>
      <c r="C712" s="16" t="s">
        <v>15</v>
      </c>
      <c r="D712" s="74"/>
      <c r="E712" s="16" t="s">
        <v>1058</v>
      </c>
      <c r="F712" s="16"/>
      <c r="G712" s="75" t="b">
        <f t="shared" si="0"/>
        <v>0</v>
      </c>
      <c r="H712" s="16" t="b">
        <v>0</v>
      </c>
      <c r="I712" s="16" t="s">
        <v>57</v>
      </c>
      <c r="J712" s="16" t="s">
        <v>58</v>
      </c>
      <c r="K712" s="16" t="s">
        <v>164</v>
      </c>
      <c r="L712" s="16" t="s">
        <v>21</v>
      </c>
      <c r="M712" s="16">
        <v>444</v>
      </c>
    </row>
    <row r="713" ht="15.75" customHeight="1" spans="1:13">
      <c r="A713" s="16" t="s">
        <v>1059</v>
      </c>
      <c r="B713" s="16" t="s">
        <v>14</v>
      </c>
      <c r="C713" s="16"/>
      <c r="D713" s="74"/>
      <c r="E713" s="16" t="s">
        <v>1060</v>
      </c>
      <c r="F713" s="16"/>
      <c r="G713" s="75" t="b">
        <f t="shared" si="0"/>
        <v>0</v>
      </c>
      <c r="H713" s="16" t="b">
        <v>0</v>
      </c>
      <c r="I713" s="16" t="s">
        <v>18</v>
      </c>
      <c r="J713" s="16" t="s">
        <v>58</v>
      </c>
      <c r="K713" s="16" t="s">
        <v>59</v>
      </c>
      <c r="L713" s="16" t="s">
        <v>39</v>
      </c>
      <c r="M713" s="16">
        <v>958</v>
      </c>
    </row>
    <row r="714" ht="15.75" customHeight="1" spans="1:13">
      <c r="A714" s="16" t="s">
        <v>1061</v>
      </c>
      <c r="B714" s="16" t="s">
        <v>14</v>
      </c>
      <c r="C714" s="16" t="s">
        <v>15</v>
      </c>
      <c r="D714" s="74"/>
      <c r="E714" s="16" t="s">
        <v>1062</v>
      </c>
      <c r="F714" s="16"/>
      <c r="G714" s="75" t="b">
        <f t="shared" si="0"/>
        <v>0</v>
      </c>
      <c r="H714" s="16" t="b">
        <v>0</v>
      </c>
      <c r="I714" s="16" t="s">
        <v>870</v>
      </c>
      <c r="J714" s="16" t="s">
        <v>211</v>
      </c>
      <c r="K714" s="16" t="s">
        <v>871</v>
      </c>
      <c r="L714" s="16" t="s">
        <v>21</v>
      </c>
      <c r="M714" s="16">
        <v>390</v>
      </c>
    </row>
    <row r="715" ht="15.75" customHeight="1" spans="1:13">
      <c r="A715" s="16" t="s">
        <v>1063</v>
      </c>
      <c r="B715" s="16" t="s">
        <v>147</v>
      </c>
      <c r="C715" s="16" t="s">
        <v>15</v>
      </c>
      <c r="D715" s="74"/>
      <c r="E715" s="16" t="s">
        <v>893</v>
      </c>
      <c r="F715" s="16"/>
      <c r="G715" s="75" t="b">
        <f t="shared" si="0"/>
        <v>0</v>
      </c>
      <c r="H715" s="16" t="b">
        <v>0</v>
      </c>
      <c r="I715" s="16" t="s">
        <v>29</v>
      </c>
      <c r="J715" s="16" t="s">
        <v>30</v>
      </c>
      <c r="K715" s="16" t="s">
        <v>31</v>
      </c>
      <c r="L715" s="16" t="s">
        <v>21</v>
      </c>
      <c r="M715" s="16">
        <v>874</v>
      </c>
    </row>
    <row r="716" ht="15.75" customHeight="1" spans="1:13">
      <c r="A716" s="16" t="s">
        <v>1064</v>
      </c>
      <c r="B716" s="16" t="s">
        <v>147</v>
      </c>
      <c r="C716" s="16" t="s">
        <v>15</v>
      </c>
      <c r="D716" s="74"/>
      <c r="E716" s="16"/>
      <c r="F716" s="16"/>
      <c r="G716" s="75" t="b">
        <f t="shared" si="0"/>
        <v>0</v>
      </c>
      <c r="H716" s="16" t="b">
        <v>0</v>
      </c>
      <c r="I716" s="16" t="s">
        <v>358</v>
      </c>
      <c r="J716" s="16" t="s">
        <v>63</v>
      </c>
      <c r="K716" s="16" t="s">
        <v>93</v>
      </c>
      <c r="L716" s="16" t="s">
        <v>160</v>
      </c>
      <c r="M716" s="16">
        <v>718</v>
      </c>
    </row>
    <row r="717" ht="15.75" customHeight="1" spans="1:13">
      <c r="A717" s="16" t="s">
        <v>1065</v>
      </c>
      <c r="B717" s="16" t="s">
        <v>147</v>
      </c>
      <c r="C717" s="16" t="s">
        <v>15</v>
      </c>
      <c r="D717" s="74"/>
      <c r="E717" s="16"/>
      <c r="F717" s="16"/>
      <c r="G717" s="75" t="b">
        <f t="shared" si="0"/>
        <v>0</v>
      </c>
      <c r="H717" s="16" t="b">
        <v>0</v>
      </c>
      <c r="I717" s="16" t="s">
        <v>303</v>
      </c>
      <c r="J717" s="16" t="s">
        <v>19</v>
      </c>
      <c r="K717" s="16" t="s">
        <v>20</v>
      </c>
      <c r="L717" s="16" t="s">
        <v>21</v>
      </c>
      <c r="M717" s="16">
        <v>464</v>
      </c>
    </row>
    <row r="718" ht="15.75" customHeight="1" spans="1:13">
      <c r="A718" s="16" t="s">
        <v>1066</v>
      </c>
      <c r="B718" s="16" t="s">
        <v>147</v>
      </c>
      <c r="C718" s="16" t="s">
        <v>15</v>
      </c>
      <c r="D718" s="74"/>
      <c r="E718" s="16"/>
      <c r="F718" s="16"/>
      <c r="G718" s="75" t="b">
        <f t="shared" si="0"/>
        <v>0</v>
      </c>
      <c r="H718" s="16" t="b">
        <v>0</v>
      </c>
      <c r="I718" s="16" t="s">
        <v>358</v>
      </c>
      <c r="J718" s="16" t="s">
        <v>63</v>
      </c>
      <c r="K718" s="16" t="s">
        <v>169</v>
      </c>
      <c r="L718" s="16" t="s">
        <v>21</v>
      </c>
      <c r="M718" s="16">
        <v>62</v>
      </c>
    </row>
    <row r="719" ht="15.75" customHeight="1" spans="1:13">
      <c r="A719" s="16" t="s">
        <v>1067</v>
      </c>
      <c r="B719" s="16" t="s">
        <v>147</v>
      </c>
      <c r="C719" s="16"/>
      <c r="D719" s="74"/>
      <c r="E719" s="16"/>
      <c r="F719" s="16"/>
      <c r="G719" s="75" t="b">
        <f t="shared" si="0"/>
        <v>0</v>
      </c>
      <c r="H719" s="16" t="b">
        <v>0</v>
      </c>
      <c r="I719" s="16" t="s">
        <v>57</v>
      </c>
      <c r="J719" s="16" t="s">
        <v>58</v>
      </c>
      <c r="K719" s="16" t="s">
        <v>59</v>
      </c>
      <c r="L719" s="16" t="s">
        <v>21</v>
      </c>
      <c r="M719" s="16">
        <v>406</v>
      </c>
    </row>
    <row r="720" ht="15.75" customHeight="1" spans="1:13">
      <c r="A720" s="16" t="s">
        <v>1068</v>
      </c>
      <c r="B720" s="16" t="s">
        <v>147</v>
      </c>
      <c r="C720" s="16" t="s">
        <v>15</v>
      </c>
      <c r="D720" s="74"/>
      <c r="E720" s="16"/>
      <c r="F720" s="16"/>
      <c r="G720" s="75" t="b">
        <f t="shared" si="0"/>
        <v>0</v>
      </c>
      <c r="H720" s="16" t="b">
        <v>0</v>
      </c>
      <c r="I720" s="16" t="s">
        <v>207</v>
      </c>
      <c r="J720" s="16" t="s">
        <v>30</v>
      </c>
      <c r="K720" s="16" t="s">
        <v>50</v>
      </c>
      <c r="L720" s="16" t="s">
        <v>21</v>
      </c>
      <c r="M720" s="16">
        <v>81</v>
      </c>
    </row>
    <row r="721" ht="15.75" customHeight="1" spans="1:13">
      <c r="A721" s="16" t="s">
        <v>1069</v>
      </c>
      <c r="B721" s="16" t="s">
        <v>14</v>
      </c>
      <c r="C721" s="16" t="s">
        <v>15</v>
      </c>
      <c r="D721" s="74"/>
      <c r="E721" s="16" t="s">
        <v>1070</v>
      </c>
      <c r="F721" s="16"/>
      <c r="G721" s="75" t="b">
        <f t="shared" si="0"/>
        <v>0</v>
      </c>
      <c r="H721" s="16" t="b">
        <v>0</v>
      </c>
      <c r="I721" s="16" t="s">
        <v>312</v>
      </c>
      <c r="J721" s="16" t="s">
        <v>19</v>
      </c>
      <c r="K721" s="16" t="s">
        <v>20</v>
      </c>
      <c r="L721" s="16" t="s">
        <v>21</v>
      </c>
      <c r="M721" s="16">
        <v>346</v>
      </c>
    </row>
    <row r="722" ht="15.75" customHeight="1" spans="1:13">
      <c r="A722" s="16" t="s">
        <v>1071</v>
      </c>
      <c r="B722" s="16" t="s">
        <v>147</v>
      </c>
      <c r="C722" s="16"/>
      <c r="D722" s="74"/>
      <c r="E722" s="16"/>
      <c r="F722" s="16"/>
      <c r="G722" s="75" t="b">
        <f t="shared" si="0"/>
        <v>0</v>
      </c>
      <c r="H722" s="16" t="b">
        <v>0</v>
      </c>
      <c r="I722" s="16" t="s">
        <v>131</v>
      </c>
      <c r="J722" s="16" t="s">
        <v>132</v>
      </c>
      <c r="K722" s="16" t="s">
        <v>270</v>
      </c>
      <c r="L722" s="16" t="s">
        <v>21</v>
      </c>
      <c r="M722" s="16">
        <v>811</v>
      </c>
    </row>
    <row r="723" ht="15.75" customHeight="1" spans="1:13">
      <c r="A723" s="16" t="s">
        <v>1072</v>
      </c>
      <c r="B723" s="16" t="s">
        <v>147</v>
      </c>
      <c r="C723" s="16"/>
      <c r="D723" s="74"/>
      <c r="E723" s="16"/>
      <c r="F723" s="16"/>
      <c r="G723" s="75" t="b">
        <f t="shared" si="0"/>
        <v>0</v>
      </c>
      <c r="H723" s="16" t="b">
        <v>0</v>
      </c>
      <c r="I723" s="16" t="s">
        <v>53</v>
      </c>
      <c r="J723" s="16" t="s">
        <v>54</v>
      </c>
      <c r="K723" s="16" t="s">
        <v>124</v>
      </c>
      <c r="L723" s="16" t="s">
        <v>21</v>
      </c>
      <c r="M723" s="16">
        <v>34</v>
      </c>
    </row>
    <row r="724" ht="15.75" customHeight="1" spans="1:13">
      <c r="A724" s="16" t="s">
        <v>1073</v>
      </c>
      <c r="B724" s="16" t="s">
        <v>147</v>
      </c>
      <c r="C724" s="16"/>
      <c r="D724" s="74"/>
      <c r="E724" s="16"/>
      <c r="F724" s="16"/>
      <c r="G724" s="75" t="b">
        <f t="shared" si="0"/>
        <v>0</v>
      </c>
      <c r="H724" s="16" t="b">
        <v>0</v>
      </c>
      <c r="I724" s="16" t="s">
        <v>131</v>
      </c>
      <c r="J724" s="16" t="s">
        <v>132</v>
      </c>
      <c r="K724" s="16" t="s">
        <v>295</v>
      </c>
      <c r="L724" s="16" t="s">
        <v>21</v>
      </c>
      <c r="M724" s="16">
        <v>1057</v>
      </c>
    </row>
    <row r="725" ht="15.75" customHeight="1" spans="1:13">
      <c r="A725" s="16" t="s">
        <v>1074</v>
      </c>
      <c r="B725" s="16" t="s">
        <v>147</v>
      </c>
      <c r="C725" s="16" t="s">
        <v>15</v>
      </c>
      <c r="D725" s="74"/>
      <c r="E725" s="16"/>
      <c r="F725" s="16"/>
      <c r="G725" s="75" t="b">
        <f t="shared" si="0"/>
        <v>0</v>
      </c>
      <c r="H725" s="16" t="b">
        <v>0</v>
      </c>
      <c r="I725" s="16" t="s">
        <v>67</v>
      </c>
      <c r="J725" s="16" t="s">
        <v>19</v>
      </c>
      <c r="K725" s="16" t="s">
        <v>20</v>
      </c>
      <c r="L725" s="16" t="s">
        <v>39</v>
      </c>
      <c r="M725" s="16">
        <v>428</v>
      </c>
    </row>
    <row r="726" ht="15.75" customHeight="1" spans="1:13">
      <c r="A726" s="16" t="s">
        <v>1075</v>
      </c>
      <c r="B726" s="16" t="s">
        <v>147</v>
      </c>
      <c r="C726" s="16" t="s">
        <v>15</v>
      </c>
      <c r="D726" s="74"/>
      <c r="E726" s="16" t="s">
        <v>1076</v>
      </c>
      <c r="F726" s="16"/>
      <c r="G726" s="75" t="b">
        <f t="shared" si="0"/>
        <v>0</v>
      </c>
      <c r="H726" s="16" t="b">
        <v>0</v>
      </c>
      <c r="I726" s="16" t="s">
        <v>1014</v>
      </c>
      <c r="J726" s="16" t="s">
        <v>83</v>
      </c>
      <c r="K726" s="16" t="s">
        <v>1015</v>
      </c>
      <c r="L726" s="16" t="s">
        <v>21</v>
      </c>
      <c r="M726" s="16">
        <v>332</v>
      </c>
    </row>
    <row r="727" ht="15.75" customHeight="1" spans="1:13">
      <c r="A727" s="16" t="s">
        <v>1077</v>
      </c>
      <c r="B727" s="16" t="s">
        <v>147</v>
      </c>
      <c r="C727" s="16"/>
      <c r="D727" s="74"/>
      <c r="E727" s="16"/>
      <c r="F727" s="16"/>
      <c r="G727" s="75" t="b">
        <f t="shared" si="0"/>
        <v>0</v>
      </c>
      <c r="H727" s="16" t="b">
        <v>0</v>
      </c>
      <c r="I727" s="16" t="s">
        <v>144</v>
      </c>
      <c r="J727" s="16" t="s">
        <v>54</v>
      </c>
      <c r="K727" s="16" t="s">
        <v>566</v>
      </c>
      <c r="L727" s="16" t="s">
        <v>21</v>
      </c>
      <c r="M727" s="16">
        <v>291</v>
      </c>
    </row>
    <row r="728" ht="15.75" customHeight="1" spans="1:13">
      <c r="A728" s="16" t="s">
        <v>1078</v>
      </c>
      <c r="B728" s="16" t="s">
        <v>147</v>
      </c>
      <c r="C728" s="16" t="s">
        <v>15</v>
      </c>
      <c r="D728" s="74"/>
      <c r="E728" s="16"/>
      <c r="F728" s="16"/>
      <c r="G728" s="75" t="b">
        <f t="shared" si="0"/>
        <v>0</v>
      </c>
      <c r="H728" s="16" t="b">
        <v>0</v>
      </c>
      <c r="I728" s="16" t="s">
        <v>319</v>
      </c>
      <c r="J728" s="16" t="s">
        <v>63</v>
      </c>
      <c r="K728" s="16" t="s">
        <v>288</v>
      </c>
      <c r="L728" s="16" t="s">
        <v>21</v>
      </c>
      <c r="M728" s="16">
        <v>254</v>
      </c>
    </row>
    <row r="729" ht="15.75" customHeight="1" spans="1:13">
      <c r="A729" s="16" t="s">
        <v>1079</v>
      </c>
      <c r="B729" s="16" t="s">
        <v>147</v>
      </c>
      <c r="C729" s="16" t="s">
        <v>15</v>
      </c>
      <c r="D729" s="74"/>
      <c r="E729" s="16"/>
      <c r="F729" s="16"/>
      <c r="G729" s="75" t="b">
        <f t="shared" si="0"/>
        <v>0</v>
      </c>
      <c r="H729" s="16" t="b">
        <v>0</v>
      </c>
      <c r="I729" s="16" t="s">
        <v>144</v>
      </c>
      <c r="J729" s="16" t="s">
        <v>30</v>
      </c>
      <c r="K729" s="16" t="s">
        <v>31</v>
      </c>
      <c r="L729" s="16" t="s">
        <v>21</v>
      </c>
      <c r="M729" s="16">
        <v>1024</v>
      </c>
    </row>
    <row r="730" ht="15.75" customHeight="1" spans="1:13">
      <c r="A730" s="16" t="s">
        <v>1080</v>
      </c>
      <c r="B730" s="16" t="s">
        <v>147</v>
      </c>
      <c r="C730" s="16"/>
      <c r="D730" s="74"/>
      <c r="E730" s="16"/>
      <c r="F730" s="16"/>
      <c r="G730" s="75" t="b">
        <f t="shared" si="0"/>
        <v>0</v>
      </c>
      <c r="H730" s="16" t="b">
        <v>0</v>
      </c>
      <c r="I730" s="16" t="s">
        <v>131</v>
      </c>
      <c r="J730" s="16" t="s">
        <v>132</v>
      </c>
      <c r="K730" s="16" t="s">
        <v>544</v>
      </c>
      <c r="L730" s="16" t="s">
        <v>21</v>
      </c>
      <c r="M730" s="16">
        <v>52</v>
      </c>
    </row>
    <row r="731" ht="15.75" customHeight="1" spans="1:13">
      <c r="A731" s="16" t="s">
        <v>1081</v>
      </c>
      <c r="B731" s="16" t="s">
        <v>147</v>
      </c>
      <c r="C731" s="16" t="s">
        <v>15</v>
      </c>
      <c r="D731" s="74"/>
      <c r="E731" s="16"/>
      <c r="F731" s="16"/>
      <c r="G731" s="75" t="b">
        <f t="shared" si="0"/>
        <v>0</v>
      </c>
      <c r="H731" s="16" t="b">
        <v>0</v>
      </c>
      <c r="I731" s="16" t="s">
        <v>72</v>
      </c>
      <c r="J731" s="16" t="s">
        <v>63</v>
      </c>
      <c r="K731" s="16" t="s">
        <v>73</v>
      </c>
      <c r="L731" s="16" t="s">
        <v>21</v>
      </c>
      <c r="M731" s="16">
        <v>358</v>
      </c>
    </row>
    <row r="732" ht="15.75" customHeight="1" spans="1:13">
      <c r="A732" s="16" t="s">
        <v>1082</v>
      </c>
      <c r="B732" s="16" t="s">
        <v>23</v>
      </c>
      <c r="C732" s="16"/>
      <c r="D732" s="74"/>
      <c r="E732" s="16" t="s">
        <v>803</v>
      </c>
      <c r="F732" s="16"/>
      <c r="G732" s="75" t="b">
        <f t="shared" si="0"/>
        <v>0</v>
      </c>
      <c r="H732" s="16" t="b">
        <v>0</v>
      </c>
      <c r="I732" s="16" t="s">
        <v>53</v>
      </c>
      <c r="J732" s="16" t="s">
        <v>54</v>
      </c>
      <c r="K732" s="16" t="s">
        <v>198</v>
      </c>
      <c r="L732" s="16" t="s">
        <v>21</v>
      </c>
      <c r="M732" s="16">
        <v>236</v>
      </c>
    </row>
    <row r="733" ht="15.75" customHeight="1" spans="1:13">
      <c r="A733" s="16" t="s">
        <v>1083</v>
      </c>
      <c r="B733" s="16" t="s">
        <v>147</v>
      </c>
      <c r="C733" s="16"/>
      <c r="D733" s="74"/>
      <c r="E733" s="16"/>
      <c r="F733" s="16"/>
      <c r="G733" s="75" t="b">
        <f t="shared" si="0"/>
        <v>0</v>
      </c>
      <c r="H733" s="16" t="b">
        <v>0</v>
      </c>
      <c r="I733" s="16" t="s">
        <v>109</v>
      </c>
      <c r="J733" s="16" t="s">
        <v>58</v>
      </c>
      <c r="K733" s="16" t="s">
        <v>59</v>
      </c>
      <c r="L733" s="16" t="s">
        <v>21</v>
      </c>
      <c r="M733" s="16">
        <v>418</v>
      </c>
    </row>
    <row r="734" ht="15.75" customHeight="1" spans="1:13">
      <c r="A734" s="16" t="s">
        <v>1084</v>
      </c>
      <c r="B734" s="16" t="s">
        <v>147</v>
      </c>
      <c r="C734" s="16"/>
      <c r="D734" s="74"/>
      <c r="E734" s="16"/>
      <c r="F734" s="16"/>
      <c r="G734" s="75" t="b">
        <f t="shared" si="0"/>
        <v>0</v>
      </c>
      <c r="H734" s="16" t="b">
        <v>0</v>
      </c>
      <c r="I734" s="16" t="s">
        <v>67</v>
      </c>
      <c r="J734" s="16" t="s">
        <v>26</v>
      </c>
      <c r="K734" s="16" t="s">
        <v>68</v>
      </c>
      <c r="L734" s="16" t="s">
        <v>21</v>
      </c>
      <c r="M734" s="16">
        <v>40</v>
      </c>
    </row>
    <row r="735" ht="15.75" customHeight="1" spans="1:13">
      <c r="A735" s="16" t="s">
        <v>1085</v>
      </c>
      <c r="B735" s="16" t="s">
        <v>147</v>
      </c>
      <c r="C735" s="16"/>
      <c r="D735" s="74"/>
      <c r="E735" s="16"/>
      <c r="F735" s="16"/>
      <c r="G735" s="75" t="b">
        <f t="shared" si="0"/>
        <v>0</v>
      </c>
      <c r="H735" s="16" t="b">
        <v>0</v>
      </c>
      <c r="I735" s="16" t="s">
        <v>53</v>
      </c>
      <c r="J735" s="16" t="s">
        <v>54</v>
      </c>
      <c r="K735" s="16" t="s">
        <v>55</v>
      </c>
      <c r="L735" s="16" t="s">
        <v>21</v>
      </c>
      <c r="M735" s="16">
        <v>551</v>
      </c>
    </row>
    <row r="736" ht="15.75" customHeight="1" spans="1:13">
      <c r="A736" s="16" t="s">
        <v>1086</v>
      </c>
      <c r="B736" s="16" t="s">
        <v>147</v>
      </c>
      <c r="C736" s="16"/>
      <c r="D736" s="74"/>
      <c r="E736" s="16"/>
      <c r="F736" s="16"/>
      <c r="G736" s="75" t="b">
        <f t="shared" si="0"/>
        <v>0</v>
      </c>
      <c r="H736" s="16" t="b">
        <v>0</v>
      </c>
      <c r="I736" s="16" t="s">
        <v>144</v>
      </c>
      <c r="J736" s="16" t="s">
        <v>54</v>
      </c>
      <c r="K736" s="16" t="s">
        <v>566</v>
      </c>
      <c r="L736" s="16" t="s">
        <v>21</v>
      </c>
      <c r="M736" s="16">
        <v>18</v>
      </c>
    </row>
    <row r="737" ht="15.75" customHeight="1" spans="1:13">
      <c r="A737" s="16" t="s">
        <v>1087</v>
      </c>
      <c r="B737" s="16" t="s">
        <v>147</v>
      </c>
      <c r="C737" s="16" t="s">
        <v>15</v>
      </c>
      <c r="D737" s="74"/>
      <c r="E737" s="16"/>
      <c r="F737" s="16"/>
      <c r="G737" s="75" t="b">
        <f t="shared" si="0"/>
        <v>0</v>
      </c>
      <c r="H737" s="16" t="b">
        <v>0</v>
      </c>
      <c r="I737" s="16" t="s">
        <v>225</v>
      </c>
      <c r="J737" s="16" t="s">
        <v>211</v>
      </c>
      <c r="K737" s="16" t="s">
        <v>212</v>
      </c>
      <c r="L737" s="16" t="s">
        <v>21</v>
      </c>
      <c r="M737" s="16">
        <v>417</v>
      </c>
    </row>
    <row r="738" ht="15.75" customHeight="1" spans="1:13">
      <c r="A738" s="16" t="s">
        <v>1088</v>
      </c>
      <c r="B738" s="16" t="s">
        <v>147</v>
      </c>
      <c r="C738" s="16" t="s">
        <v>15</v>
      </c>
      <c r="D738" s="74"/>
      <c r="E738" s="16" t="s">
        <v>893</v>
      </c>
      <c r="F738" s="16"/>
      <c r="G738" s="75" t="b">
        <f t="shared" si="0"/>
        <v>0</v>
      </c>
      <c r="H738" s="16" t="b">
        <v>0</v>
      </c>
      <c r="I738" s="16" t="s">
        <v>225</v>
      </c>
      <c r="J738" s="16" t="s">
        <v>211</v>
      </c>
      <c r="K738" s="16" t="s">
        <v>573</v>
      </c>
      <c r="L738" s="16" t="s">
        <v>21</v>
      </c>
      <c r="M738" s="16">
        <v>365</v>
      </c>
    </row>
    <row r="739" ht="15.75" customHeight="1" spans="1:13">
      <c r="A739" s="16" t="s">
        <v>1089</v>
      </c>
      <c r="B739" s="16" t="s">
        <v>147</v>
      </c>
      <c r="C739" s="16" t="s">
        <v>15</v>
      </c>
      <c r="D739" s="74"/>
      <c r="E739" s="16"/>
      <c r="F739" s="16"/>
      <c r="G739" s="75" t="b">
        <f t="shared" si="0"/>
        <v>0</v>
      </c>
      <c r="H739" s="16" t="b">
        <v>0</v>
      </c>
      <c r="I739" s="16" t="s">
        <v>141</v>
      </c>
      <c r="J739" s="16" t="s">
        <v>126</v>
      </c>
      <c r="K739" s="16" t="s">
        <v>142</v>
      </c>
      <c r="L739" s="16" t="s">
        <v>21</v>
      </c>
      <c r="M739" s="16">
        <v>281</v>
      </c>
    </row>
    <row r="740" ht="15.75" customHeight="1" spans="1:13">
      <c r="A740" s="16" t="s">
        <v>1090</v>
      </c>
      <c r="B740" s="16" t="s">
        <v>14</v>
      </c>
      <c r="C740" s="16" t="s">
        <v>15</v>
      </c>
      <c r="D740" s="74" t="s">
        <v>1091</v>
      </c>
      <c r="E740" s="16" t="s">
        <v>1092</v>
      </c>
      <c r="F740" s="16"/>
      <c r="G740" s="75" t="b">
        <f t="shared" si="0"/>
        <v>0</v>
      </c>
      <c r="H740" s="16" t="b">
        <v>0</v>
      </c>
      <c r="I740" s="16" t="s">
        <v>1014</v>
      </c>
      <c r="J740" s="16" t="s">
        <v>83</v>
      </c>
      <c r="K740" s="16" t="s">
        <v>1015</v>
      </c>
      <c r="L740" s="16" t="s">
        <v>21</v>
      </c>
      <c r="M740" s="16">
        <v>539</v>
      </c>
    </row>
    <row r="741" ht="15.75" customHeight="1" spans="1:13">
      <c r="A741" s="16" t="s">
        <v>1093</v>
      </c>
      <c r="B741" s="16" t="s">
        <v>147</v>
      </c>
      <c r="C741" s="16"/>
      <c r="D741" s="74"/>
      <c r="E741" s="16"/>
      <c r="F741" s="16"/>
      <c r="G741" s="75" t="b">
        <f t="shared" si="0"/>
        <v>0</v>
      </c>
      <c r="H741" s="16" t="b">
        <v>0</v>
      </c>
      <c r="I741" s="16" t="s">
        <v>92</v>
      </c>
      <c r="J741" s="16" t="s">
        <v>54</v>
      </c>
      <c r="K741" s="16" t="s">
        <v>75</v>
      </c>
      <c r="L741" s="16" t="s">
        <v>160</v>
      </c>
      <c r="M741" s="16">
        <v>945</v>
      </c>
    </row>
    <row r="742" ht="15.75" customHeight="1" spans="1:13">
      <c r="A742" s="16" t="s">
        <v>1094</v>
      </c>
      <c r="B742" s="16" t="s">
        <v>147</v>
      </c>
      <c r="C742" s="16"/>
      <c r="D742" s="74"/>
      <c r="E742" s="16"/>
      <c r="F742" s="16"/>
      <c r="G742" s="75" t="b">
        <f t="shared" si="0"/>
        <v>0</v>
      </c>
      <c r="H742" s="16" t="b">
        <v>0</v>
      </c>
      <c r="I742" s="16" t="s">
        <v>25</v>
      </c>
      <c r="J742" s="16" t="s">
        <v>26</v>
      </c>
      <c r="K742" s="16" t="s">
        <v>159</v>
      </c>
      <c r="L742" s="16" t="s">
        <v>39</v>
      </c>
      <c r="M742" s="16">
        <v>642</v>
      </c>
    </row>
    <row r="743" ht="15.75" customHeight="1" spans="1:13">
      <c r="A743" s="16" t="s">
        <v>1095</v>
      </c>
      <c r="B743" s="16" t="s">
        <v>147</v>
      </c>
      <c r="C743" s="16"/>
      <c r="D743" s="74"/>
      <c r="E743" s="16"/>
      <c r="F743" s="16"/>
      <c r="G743" s="75" t="b">
        <f t="shared" si="0"/>
        <v>0</v>
      </c>
      <c r="H743" s="16" t="b">
        <v>0</v>
      </c>
      <c r="I743" s="16" t="s">
        <v>144</v>
      </c>
      <c r="J743" s="16" t="s">
        <v>54</v>
      </c>
      <c r="K743" s="16" t="s">
        <v>895</v>
      </c>
      <c r="L743" s="16" t="s">
        <v>21</v>
      </c>
      <c r="M743" s="16">
        <v>292</v>
      </c>
    </row>
    <row r="744" ht="15.75" customHeight="1" spans="1:13">
      <c r="A744" s="16" t="s">
        <v>1096</v>
      </c>
      <c r="B744" s="16" t="s">
        <v>147</v>
      </c>
      <c r="C744" s="16"/>
      <c r="D744" s="74"/>
      <c r="E744" s="16"/>
      <c r="F744" s="16"/>
      <c r="G744" s="75" t="b">
        <f t="shared" si="0"/>
        <v>0</v>
      </c>
      <c r="H744" s="16" t="b">
        <v>0</v>
      </c>
      <c r="I744" s="16" t="s">
        <v>25</v>
      </c>
      <c r="J744" s="16" t="s">
        <v>26</v>
      </c>
      <c r="K744" s="16" t="s">
        <v>77</v>
      </c>
      <c r="L744" s="16" t="s">
        <v>21</v>
      </c>
      <c r="M744" s="16">
        <v>635</v>
      </c>
    </row>
    <row r="745" ht="15.75" customHeight="1" spans="1:13">
      <c r="A745" s="16" t="s">
        <v>1097</v>
      </c>
      <c r="B745" s="16" t="s">
        <v>147</v>
      </c>
      <c r="C745" s="16" t="s">
        <v>183</v>
      </c>
      <c r="D745" s="74" t="s">
        <v>992</v>
      </c>
      <c r="E745" s="16" t="s">
        <v>1098</v>
      </c>
      <c r="F745" s="16"/>
      <c r="G745" s="75" t="b">
        <f t="shared" si="0"/>
        <v>0</v>
      </c>
      <c r="H745" s="16" t="b">
        <v>0</v>
      </c>
      <c r="I745" s="16" t="s">
        <v>303</v>
      </c>
      <c r="J745" s="16" t="s">
        <v>19</v>
      </c>
      <c r="K745" s="16" t="s">
        <v>20</v>
      </c>
      <c r="L745" s="16" t="s">
        <v>21</v>
      </c>
      <c r="M745" s="16">
        <v>853</v>
      </c>
    </row>
    <row r="746" ht="15.75" customHeight="1" spans="1:13">
      <c r="A746" s="16" t="s">
        <v>1099</v>
      </c>
      <c r="B746" s="16" t="s">
        <v>147</v>
      </c>
      <c r="C746" s="16"/>
      <c r="D746" s="74"/>
      <c r="E746" s="16"/>
      <c r="F746" s="16"/>
      <c r="G746" s="75" t="b">
        <f t="shared" si="0"/>
        <v>0</v>
      </c>
      <c r="H746" s="16" t="b">
        <v>0</v>
      </c>
      <c r="I746" s="16" t="s">
        <v>67</v>
      </c>
      <c r="J746" s="16" t="s">
        <v>26</v>
      </c>
      <c r="K746" s="16" t="s">
        <v>68</v>
      </c>
      <c r="L746" s="16" t="s">
        <v>21</v>
      </c>
      <c r="M746" s="16">
        <v>667</v>
      </c>
    </row>
    <row r="747" ht="15.75" customHeight="1" spans="1:13">
      <c r="A747" s="16" t="s">
        <v>1100</v>
      </c>
      <c r="B747" s="16" t="s">
        <v>147</v>
      </c>
      <c r="C747" s="16" t="s">
        <v>15</v>
      </c>
      <c r="D747" s="74"/>
      <c r="E747" s="16" t="s">
        <v>1101</v>
      </c>
      <c r="F747" s="16"/>
      <c r="G747" s="75" t="b">
        <f t="shared" si="0"/>
        <v>0</v>
      </c>
      <c r="H747" s="16" t="b">
        <v>0</v>
      </c>
      <c r="I747" s="16" t="s">
        <v>312</v>
      </c>
      <c r="J747" s="16" t="s">
        <v>63</v>
      </c>
      <c r="K747" s="16" t="s">
        <v>169</v>
      </c>
      <c r="L747" s="16" t="s">
        <v>21</v>
      </c>
      <c r="M747" s="16">
        <v>1055</v>
      </c>
    </row>
    <row r="748" ht="15.75" customHeight="1" spans="1:13">
      <c r="A748" s="16" t="s">
        <v>1102</v>
      </c>
      <c r="B748" s="16" t="s">
        <v>147</v>
      </c>
      <c r="C748" s="16" t="s">
        <v>15</v>
      </c>
      <c r="D748" s="74"/>
      <c r="E748" s="16"/>
      <c r="F748" s="16"/>
      <c r="G748" s="75" t="b">
        <f t="shared" si="0"/>
        <v>0</v>
      </c>
      <c r="H748" s="16" t="b">
        <v>0</v>
      </c>
      <c r="I748" s="16" t="s">
        <v>870</v>
      </c>
      <c r="J748" s="16" t="s">
        <v>211</v>
      </c>
      <c r="K748" s="16" t="s">
        <v>871</v>
      </c>
      <c r="L748" s="16" t="s">
        <v>21</v>
      </c>
      <c r="M748" s="16">
        <v>969</v>
      </c>
    </row>
    <row r="749" ht="15.75" customHeight="1" spans="1:13">
      <c r="A749" s="16" t="s">
        <v>1103</v>
      </c>
      <c r="B749" s="16" t="s">
        <v>147</v>
      </c>
      <c r="C749" s="16" t="s">
        <v>15</v>
      </c>
      <c r="D749" s="74"/>
      <c r="E749" s="16"/>
      <c r="F749" s="16"/>
      <c r="G749" s="75" t="b">
        <f t="shared" si="0"/>
        <v>0</v>
      </c>
      <c r="H749" s="16" t="b">
        <v>0</v>
      </c>
      <c r="I749" s="16" t="s">
        <v>207</v>
      </c>
      <c r="J749" s="16" t="s">
        <v>30</v>
      </c>
      <c r="K749" s="16" t="s">
        <v>30</v>
      </c>
      <c r="L749" s="16" t="s">
        <v>21</v>
      </c>
      <c r="M749" s="16">
        <v>686</v>
      </c>
    </row>
    <row r="750" ht="15.75" customHeight="1" spans="1:13">
      <c r="A750" s="16" t="s">
        <v>1104</v>
      </c>
      <c r="B750" s="16" t="s">
        <v>147</v>
      </c>
      <c r="C750" s="16"/>
      <c r="D750" s="74"/>
      <c r="E750" s="16"/>
      <c r="F750" s="16"/>
      <c r="G750" s="75" t="b">
        <f t="shared" si="0"/>
        <v>0</v>
      </c>
      <c r="H750" s="16" t="b">
        <v>0</v>
      </c>
      <c r="I750" s="16" t="s">
        <v>25</v>
      </c>
      <c r="J750" s="16" t="s">
        <v>26</v>
      </c>
      <c r="K750" s="16" t="s">
        <v>399</v>
      </c>
      <c r="L750" s="16" t="s">
        <v>39</v>
      </c>
      <c r="M750" s="16">
        <v>754</v>
      </c>
    </row>
    <row r="751" ht="15.75" customHeight="1" spans="1:13">
      <c r="A751" s="16" t="s">
        <v>1105</v>
      </c>
      <c r="B751" s="16" t="s">
        <v>147</v>
      </c>
      <c r="C751" s="16" t="s">
        <v>15</v>
      </c>
      <c r="D751" s="74"/>
      <c r="E751" s="16"/>
      <c r="F751" s="16"/>
      <c r="G751" s="75" t="b">
        <f t="shared" si="0"/>
        <v>0</v>
      </c>
      <c r="H751" s="16" t="b">
        <v>0</v>
      </c>
      <c r="I751" s="16" t="s">
        <v>29</v>
      </c>
      <c r="J751" s="16" t="s">
        <v>30</v>
      </c>
      <c r="K751" s="16" t="s">
        <v>50</v>
      </c>
      <c r="L751" s="16" t="s">
        <v>21</v>
      </c>
      <c r="M751" s="16">
        <v>22</v>
      </c>
    </row>
    <row r="752" ht="15.75" customHeight="1" spans="1:13">
      <c r="A752" s="16" t="s">
        <v>1106</v>
      </c>
      <c r="B752" s="16" t="s">
        <v>147</v>
      </c>
      <c r="C752" s="16" t="s">
        <v>15</v>
      </c>
      <c r="D752" s="74"/>
      <c r="E752" s="16" t="s">
        <v>1107</v>
      </c>
      <c r="F752" s="16"/>
      <c r="G752" s="75" t="b">
        <f t="shared" si="0"/>
        <v>0</v>
      </c>
      <c r="H752" s="16" t="b">
        <v>0</v>
      </c>
      <c r="I752" s="16" t="s">
        <v>82</v>
      </c>
      <c r="J752" s="16" t="s">
        <v>83</v>
      </c>
      <c r="K752" s="16" t="s">
        <v>84</v>
      </c>
      <c r="L752" s="16" t="s">
        <v>21</v>
      </c>
      <c r="M752" s="16">
        <v>376</v>
      </c>
    </row>
    <row r="753" ht="15.75" customHeight="1" spans="1:13">
      <c r="A753" s="16" t="s">
        <v>1108</v>
      </c>
      <c r="B753" s="16" t="s">
        <v>147</v>
      </c>
      <c r="C753" s="16"/>
      <c r="D753" s="74"/>
      <c r="E753" s="16"/>
      <c r="F753" s="16"/>
      <c r="G753" s="75" t="b">
        <f t="shared" si="0"/>
        <v>0</v>
      </c>
      <c r="H753" s="16" t="b">
        <v>0</v>
      </c>
      <c r="I753" s="16" t="s">
        <v>25</v>
      </c>
      <c r="J753" s="16" t="s">
        <v>26</v>
      </c>
      <c r="K753" s="16" t="s">
        <v>159</v>
      </c>
      <c r="L753" s="16" t="s">
        <v>160</v>
      </c>
      <c r="M753" s="16">
        <v>626</v>
      </c>
    </row>
    <row r="754" ht="15.75" customHeight="1" spans="1:13">
      <c r="A754" s="16" t="s">
        <v>1109</v>
      </c>
      <c r="B754" s="16" t="s">
        <v>147</v>
      </c>
      <c r="C754" s="16" t="s">
        <v>190</v>
      </c>
      <c r="D754" s="74"/>
      <c r="E754" s="16" t="s">
        <v>526</v>
      </c>
      <c r="F754" s="16"/>
      <c r="G754" s="75" t="b">
        <f t="shared" si="0"/>
        <v>0</v>
      </c>
      <c r="H754" s="16" t="b">
        <v>0</v>
      </c>
      <c r="I754" s="16" t="s">
        <v>207</v>
      </c>
      <c r="J754" s="16" t="s">
        <v>30</v>
      </c>
      <c r="K754" s="16" t="s">
        <v>31</v>
      </c>
      <c r="L754" s="16" t="s">
        <v>21</v>
      </c>
      <c r="M754" s="16">
        <v>689</v>
      </c>
    </row>
    <row r="755" ht="15.75" customHeight="1" spans="1:13">
      <c r="A755" s="16" t="s">
        <v>1110</v>
      </c>
      <c r="B755" s="16" t="s">
        <v>147</v>
      </c>
      <c r="C755" s="16"/>
      <c r="D755" s="74"/>
      <c r="E755" s="16"/>
      <c r="F755" s="16"/>
      <c r="G755" s="75" t="b">
        <f t="shared" si="0"/>
        <v>0</v>
      </c>
      <c r="H755" s="16" t="b">
        <v>0</v>
      </c>
      <c r="I755" s="16" t="s">
        <v>144</v>
      </c>
      <c r="J755" s="16" t="s">
        <v>26</v>
      </c>
      <c r="K755" s="16" t="s">
        <v>77</v>
      </c>
      <c r="L755" s="16" t="s">
        <v>21</v>
      </c>
      <c r="M755" s="16">
        <v>232</v>
      </c>
    </row>
    <row r="756" ht="15.75" customHeight="1" spans="1:13">
      <c r="A756" s="16" t="s">
        <v>1111</v>
      </c>
      <c r="B756" s="16" t="s">
        <v>147</v>
      </c>
      <c r="C756" s="16"/>
      <c r="D756" s="74"/>
      <c r="E756" s="16"/>
      <c r="F756" s="16"/>
      <c r="G756" s="75" t="b">
        <f t="shared" si="0"/>
        <v>0</v>
      </c>
      <c r="H756" s="16" t="b">
        <v>0</v>
      </c>
      <c r="I756" s="16" t="s">
        <v>186</v>
      </c>
      <c r="J756" s="16" t="s">
        <v>132</v>
      </c>
      <c r="K756" s="16" t="s">
        <v>371</v>
      </c>
      <c r="L756" s="16" t="s">
        <v>21</v>
      </c>
      <c r="M756" s="16">
        <v>3</v>
      </c>
    </row>
    <row r="757" ht="15.75" customHeight="1" spans="1:13">
      <c r="A757" s="16" t="s">
        <v>1112</v>
      </c>
      <c r="B757" s="16" t="s">
        <v>147</v>
      </c>
      <c r="C757" s="16" t="s">
        <v>15</v>
      </c>
      <c r="D757" s="74"/>
      <c r="E757" s="16"/>
      <c r="F757" s="16"/>
      <c r="G757" s="75" t="b">
        <f t="shared" si="0"/>
        <v>0</v>
      </c>
      <c r="H757" s="16" t="b">
        <v>0</v>
      </c>
      <c r="I757" s="16" t="s">
        <v>319</v>
      </c>
      <c r="J757" s="16" t="s">
        <v>126</v>
      </c>
      <c r="K757" s="16" t="s">
        <v>127</v>
      </c>
      <c r="L757" s="16" t="s">
        <v>21</v>
      </c>
      <c r="M757" s="16">
        <v>859</v>
      </c>
    </row>
    <row r="758" ht="15.75" customHeight="1" spans="1:13">
      <c r="A758" s="16" t="s">
        <v>1113</v>
      </c>
      <c r="B758" s="16" t="s">
        <v>147</v>
      </c>
      <c r="C758" s="16"/>
      <c r="D758" s="74"/>
      <c r="E758" s="16"/>
      <c r="F758" s="16"/>
      <c r="G758" s="75" t="b">
        <f t="shared" si="0"/>
        <v>0</v>
      </c>
      <c r="H758" s="16" t="b">
        <v>0</v>
      </c>
      <c r="I758" s="16" t="s">
        <v>41</v>
      </c>
      <c r="J758" s="16" t="s">
        <v>132</v>
      </c>
      <c r="K758" s="16" t="s">
        <v>295</v>
      </c>
      <c r="L758" s="16" t="s">
        <v>21</v>
      </c>
      <c r="M758" s="16">
        <v>298</v>
      </c>
    </row>
    <row r="759" ht="15.75" customHeight="1" spans="1:13">
      <c r="A759" s="16" t="s">
        <v>1114</v>
      </c>
      <c r="B759" s="16" t="s">
        <v>147</v>
      </c>
      <c r="C759" s="16" t="s">
        <v>15</v>
      </c>
      <c r="D759" s="74"/>
      <c r="E759" s="16"/>
      <c r="F759" s="16"/>
      <c r="G759" s="75" t="b">
        <f t="shared" si="0"/>
        <v>0</v>
      </c>
      <c r="H759" s="16" t="b">
        <v>0</v>
      </c>
      <c r="I759" s="16" t="s">
        <v>141</v>
      </c>
      <c r="J759" s="16" t="s">
        <v>126</v>
      </c>
      <c r="K759" s="16" t="s">
        <v>142</v>
      </c>
      <c r="L759" s="16" t="s">
        <v>21</v>
      </c>
      <c r="M759" s="16">
        <v>140</v>
      </c>
    </row>
    <row r="760" ht="15.75" customHeight="1" spans="1:13">
      <c r="A760" s="16" t="s">
        <v>1115</v>
      </c>
      <c r="B760" s="16" t="s">
        <v>147</v>
      </c>
      <c r="C760" s="16" t="s">
        <v>15</v>
      </c>
      <c r="D760" s="74"/>
      <c r="E760" s="16"/>
      <c r="F760" s="16"/>
      <c r="G760" s="75" t="b">
        <f t="shared" si="0"/>
        <v>0</v>
      </c>
      <c r="H760" s="16" t="b">
        <v>0</v>
      </c>
      <c r="I760" s="16" t="s">
        <v>141</v>
      </c>
      <c r="J760" s="16" t="s">
        <v>126</v>
      </c>
      <c r="K760" s="16" t="s">
        <v>142</v>
      </c>
      <c r="L760" s="16" t="s">
        <v>21</v>
      </c>
      <c r="M760" s="16">
        <v>279</v>
      </c>
    </row>
    <row r="761" ht="15.75" customHeight="1" spans="1:13">
      <c r="A761" s="16" t="s">
        <v>1116</v>
      </c>
      <c r="B761" s="16" t="s">
        <v>147</v>
      </c>
      <c r="C761" s="16"/>
      <c r="D761" s="74"/>
      <c r="E761" s="16"/>
      <c r="F761" s="16"/>
      <c r="G761" s="75" t="b">
        <f t="shared" si="0"/>
        <v>0</v>
      </c>
      <c r="H761" s="16" t="b">
        <v>0</v>
      </c>
      <c r="I761" s="16" t="s">
        <v>53</v>
      </c>
      <c r="J761" s="16" t="s">
        <v>54</v>
      </c>
      <c r="K761" s="16" t="s">
        <v>55</v>
      </c>
      <c r="L761" s="16" t="s">
        <v>21</v>
      </c>
      <c r="M761" s="16">
        <v>548</v>
      </c>
    </row>
    <row r="762" ht="15.75" customHeight="1" spans="1:13">
      <c r="A762" s="16" t="s">
        <v>1117</v>
      </c>
      <c r="B762" s="16" t="s">
        <v>147</v>
      </c>
      <c r="C762" s="16" t="s">
        <v>15</v>
      </c>
      <c r="D762" s="74"/>
      <c r="E762" s="16"/>
      <c r="F762" s="16"/>
      <c r="G762" s="75" t="b">
        <f t="shared" si="0"/>
        <v>0</v>
      </c>
      <c r="H762" s="16" t="b">
        <v>0</v>
      </c>
      <c r="I762" s="16" t="s">
        <v>575</v>
      </c>
      <c r="J762" s="16" t="s">
        <v>63</v>
      </c>
      <c r="K762" s="16" t="s">
        <v>93</v>
      </c>
      <c r="L762" s="16" t="s">
        <v>21</v>
      </c>
      <c r="M762" s="16">
        <v>277</v>
      </c>
    </row>
    <row r="763" ht="15.75" customHeight="1" spans="1:13">
      <c r="A763" s="16" t="s">
        <v>1118</v>
      </c>
      <c r="B763" s="16" t="s">
        <v>14</v>
      </c>
      <c r="C763" s="16" t="s">
        <v>15</v>
      </c>
      <c r="D763" s="74" t="s">
        <v>1119</v>
      </c>
      <c r="E763" s="16" t="s">
        <v>1120</v>
      </c>
      <c r="F763" s="16"/>
      <c r="G763" s="75" t="b">
        <f t="shared" si="0"/>
        <v>0</v>
      </c>
      <c r="H763" s="16" t="b">
        <v>0</v>
      </c>
      <c r="I763" s="16" t="s">
        <v>870</v>
      </c>
      <c r="J763" s="16" t="s">
        <v>211</v>
      </c>
      <c r="K763" s="16" t="s">
        <v>212</v>
      </c>
      <c r="L763" s="16" t="s">
        <v>21</v>
      </c>
      <c r="M763" s="16">
        <v>505</v>
      </c>
    </row>
    <row r="764" ht="15.75" customHeight="1" spans="1:13">
      <c r="A764" s="16" t="s">
        <v>1121</v>
      </c>
      <c r="B764" s="16" t="s">
        <v>14</v>
      </c>
      <c r="C764" s="16" t="s">
        <v>190</v>
      </c>
      <c r="D764" s="74" t="s">
        <v>1122</v>
      </c>
      <c r="E764" s="16" t="s">
        <v>572</v>
      </c>
      <c r="F764" s="16"/>
      <c r="G764" s="75" t="b">
        <f t="shared" si="0"/>
        <v>0</v>
      </c>
      <c r="H764" s="16" t="b">
        <v>0</v>
      </c>
      <c r="I764" s="16" t="s">
        <v>225</v>
      </c>
      <c r="J764" s="16" t="s">
        <v>211</v>
      </c>
      <c r="K764" s="16" t="s">
        <v>573</v>
      </c>
      <c r="L764" s="16" t="s">
        <v>39</v>
      </c>
      <c r="M764" s="16">
        <v>347</v>
      </c>
    </row>
    <row r="765" ht="15.75" customHeight="1" spans="1:13">
      <c r="A765" s="16" t="s">
        <v>1123</v>
      </c>
      <c r="B765" s="16" t="s">
        <v>147</v>
      </c>
      <c r="C765" s="16" t="s">
        <v>15</v>
      </c>
      <c r="D765" s="74"/>
      <c r="E765" s="16"/>
      <c r="F765" s="16"/>
      <c r="G765" s="75" t="b">
        <f t="shared" si="0"/>
        <v>0</v>
      </c>
      <c r="H765" s="16" t="b">
        <v>0</v>
      </c>
      <c r="I765" s="16" t="s">
        <v>144</v>
      </c>
      <c r="J765" s="16" t="s">
        <v>30</v>
      </c>
      <c r="K765" s="16" t="s">
        <v>31</v>
      </c>
      <c r="L765" s="16" t="s">
        <v>21</v>
      </c>
      <c r="M765" s="16">
        <v>704</v>
      </c>
    </row>
    <row r="766" ht="15.75" customHeight="1" spans="1:13">
      <c r="A766" s="16" t="s">
        <v>1124</v>
      </c>
      <c r="B766" s="16" t="s">
        <v>147</v>
      </c>
      <c r="C766" s="16"/>
      <c r="D766" s="74"/>
      <c r="E766" s="16"/>
      <c r="F766" s="16"/>
      <c r="G766" s="75" t="b">
        <f t="shared" si="0"/>
        <v>0</v>
      </c>
      <c r="H766" s="16" t="b">
        <v>0</v>
      </c>
      <c r="I766" s="16" t="s">
        <v>131</v>
      </c>
      <c r="J766" s="16" t="s">
        <v>132</v>
      </c>
      <c r="K766" s="16" t="s">
        <v>309</v>
      </c>
      <c r="L766" s="16" t="s">
        <v>21</v>
      </c>
      <c r="M766" s="16">
        <v>48</v>
      </c>
    </row>
    <row r="767" ht="15.75" customHeight="1" spans="1:13">
      <c r="A767" s="75" t="s">
        <v>1125</v>
      </c>
      <c r="B767" s="75" t="s">
        <v>147</v>
      </c>
      <c r="C767" s="75" t="s">
        <v>15</v>
      </c>
      <c r="D767" s="79"/>
      <c r="E767" s="75"/>
      <c r="F767" s="75" t="s">
        <v>1125</v>
      </c>
      <c r="G767" s="75" t="b">
        <f t="shared" si="0"/>
        <v>1</v>
      </c>
      <c r="H767" s="16" t="b">
        <v>0</v>
      </c>
      <c r="I767" s="75" t="s">
        <v>186</v>
      </c>
      <c r="J767" s="75" t="s">
        <v>187</v>
      </c>
      <c r="K767" s="75" t="s">
        <v>227</v>
      </c>
      <c r="L767" s="75" t="s">
        <v>21</v>
      </c>
      <c r="M767" s="75">
        <v>69</v>
      </c>
    </row>
    <row r="768" ht="15.75" customHeight="1" spans="1:13">
      <c r="A768" s="16" t="s">
        <v>1126</v>
      </c>
      <c r="B768" s="16" t="s">
        <v>147</v>
      </c>
      <c r="C768" s="16" t="s">
        <v>15</v>
      </c>
      <c r="D768" s="74"/>
      <c r="E768" s="16"/>
      <c r="F768" s="16"/>
      <c r="G768" s="75" t="b">
        <f t="shared" si="0"/>
        <v>0</v>
      </c>
      <c r="H768" s="16" t="b">
        <v>0</v>
      </c>
      <c r="I768" s="16" t="s">
        <v>627</v>
      </c>
      <c r="J768" s="16" t="s">
        <v>19</v>
      </c>
      <c r="K768" s="16" t="s">
        <v>119</v>
      </c>
      <c r="L768" s="16" t="s">
        <v>21</v>
      </c>
      <c r="M768" s="16">
        <v>849</v>
      </c>
    </row>
    <row r="769" ht="15.75" customHeight="1" spans="1:13">
      <c r="A769" s="16" t="s">
        <v>1127</v>
      </c>
      <c r="B769" s="16" t="s">
        <v>147</v>
      </c>
      <c r="C769" s="16" t="s">
        <v>15</v>
      </c>
      <c r="D769" s="74"/>
      <c r="E769" s="16"/>
      <c r="F769" s="16"/>
      <c r="G769" s="75" t="b">
        <f t="shared" si="0"/>
        <v>0</v>
      </c>
      <c r="H769" s="16" t="b">
        <v>0</v>
      </c>
      <c r="I769" s="16" t="s">
        <v>312</v>
      </c>
      <c r="J769" s="16" t="s">
        <v>63</v>
      </c>
      <c r="K769" s="16" t="s">
        <v>169</v>
      </c>
      <c r="L769" s="16" t="s">
        <v>21</v>
      </c>
      <c r="M769" s="16">
        <v>1053</v>
      </c>
    </row>
    <row r="770" ht="15.75" customHeight="1" spans="1:13">
      <c r="A770" s="16" t="s">
        <v>1128</v>
      </c>
      <c r="B770" s="16" t="s">
        <v>147</v>
      </c>
      <c r="C770" s="16" t="s">
        <v>15</v>
      </c>
      <c r="D770" s="74"/>
      <c r="E770" s="16"/>
      <c r="F770" s="16"/>
      <c r="G770" s="75" t="b">
        <f t="shared" si="0"/>
        <v>0</v>
      </c>
      <c r="H770" s="16" t="b">
        <v>0</v>
      </c>
      <c r="I770" s="16" t="s">
        <v>141</v>
      </c>
      <c r="J770" s="16" t="s">
        <v>126</v>
      </c>
      <c r="K770" s="16" t="s">
        <v>142</v>
      </c>
      <c r="L770" s="16" t="s">
        <v>21</v>
      </c>
      <c r="M770" s="16">
        <v>195</v>
      </c>
    </row>
    <row r="771" ht="15.75" customHeight="1" spans="1:13">
      <c r="A771" s="16" t="s">
        <v>1129</v>
      </c>
      <c r="B771" s="16" t="s">
        <v>147</v>
      </c>
      <c r="C771" s="16"/>
      <c r="D771" s="74"/>
      <c r="E771" s="16"/>
      <c r="F771" s="16"/>
      <c r="G771" s="75" t="b">
        <f t="shared" si="0"/>
        <v>0</v>
      </c>
      <c r="H771" s="16" t="b">
        <v>0</v>
      </c>
      <c r="I771" s="16" t="s">
        <v>41</v>
      </c>
      <c r="J771" s="16" t="s">
        <v>132</v>
      </c>
      <c r="K771" s="16" t="s">
        <v>295</v>
      </c>
      <c r="L771" s="16" t="s">
        <v>21</v>
      </c>
      <c r="M771" s="16">
        <v>976</v>
      </c>
    </row>
    <row r="772" ht="15.75" customHeight="1" spans="1:13">
      <c r="A772" s="16" t="s">
        <v>1130</v>
      </c>
      <c r="B772" s="16" t="s">
        <v>147</v>
      </c>
      <c r="C772" s="16"/>
      <c r="D772" s="74"/>
      <c r="E772" s="16"/>
      <c r="F772" s="16"/>
      <c r="G772" s="75" t="b">
        <f t="shared" si="0"/>
        <v>0</v>
      </c>
      <c r="H772" s="16" t="b">
        <v>0</v>
      </c>
      <c r="I772" s="16" t="s">
        <v>25</v>
      </c>
      <c r="J772" s="16" t="s">
        <v>26</v>
      </c>
      <c r="K772" s="16" t="s">
        <v>43</v>
      </c>
      <c r="L772" s="16" t="s">
        <v>39</v>
      </c>
      <c r="M772" s="16">
        <v>659</v>
      </c>
    </row>
    <row r="773" ht="15.75" customHeight="1" spans="1:13">
      <c r="A773" s="16" t="s">
        <v>1131</v>
      </c>
      <c r="B773" s="16" t="s">
        <v>147</v>
      </c>
      <c r="C773" s="16"/>
      <c r="D773" s="74"/>
      <c r="E773" s="16"/>
      <c r="F773" s="16"/>
      <c r="G773" s="75" t="b">
        <f t="shared" si="0"/>
        <v>0</v>
      </c>
      <c r="H773" s="16" t="b">
        <v>0</v>
      </c>
      <c r="I773" s="16" t="s">
        <v>207</v>
      </c>
      <c r="J773" s="16" t="s">
        <v>26</v>
      </c>
      <c r="K773" s="16" t="s">
        <v>77</v>
      </c>
      <c r="L773" s="16" t="s">
        <v>21</v>
      </c>
      <c r="M773" s="16">
        <v>961</v>
      </c>
    </row>
    <row r="774" ht="15.75" customHeight="1" spans="1:13">
      <c r="A774" s="16" t="s">
        <v>1132</v>
      </c>
      <c r="B774" s="16" t="s">
        <v>147</v>
      </c>
      <c r="C774" s="16" t="s">
        <v>15</v>
      </c>
      <c r="D774" s="74"/>
      <c r="E774" s="16"/>
      <c r="F774" s="16"/>
      <c r="G774" s="75" t="b">
        <f t="shared" si="0"/>
        <v>0</v>
      </c>
      <c r="H774" s="16" t="b">
        <v>0</v>
      </c>
      <c r="I774" s="16" t="s">
        <v>141</v>
      </c>
      <c r="J774" s="16" t="s">
        <v>126</v>
      </c>
      <c r="K774" s="16" t="s">
        <v>553</v>
      </c>
      <c r="L774" s="16" t="s">
        <v>21</v>
      </c>
      <c r="M774" s="16">
        <v>471</v>
      </c>
    </row>
    <row r="775" ht="15.75" customHeight="1" spans="1:13">
      <c r="A775" s="16" t="s">
        <v>1133</v>
      </c>
      <c r="B775" s="16" t="s">
        <v>147</v>
      </c>
      <c r="C775" s="16" t="s">
        <v>15</v>
      </c>
      <c r="D775" s="74"/>
      <c r="E775" s="16"/>
      <c r="F775" s="16"/>
      <c r="G775" s="75" t="b">
        <f t="shared" si="0"/>
        <v>0</v>
      </c>
      <c r="H775" s="16" t="b">
        <v>0</v>
      </c>
      <c r="I775" s="16" t="s">
        <v>144</v>
      </c>
      <c r="J775" s="16" t="s">
        <v>30</v>
      </c>
      <c r="K775" s="16" t="s">
        <v>31</v>
      </c>
      <c r="L775" s="16" t="s">
        <v>21</v>
      </c>
      <c r="M775" s="16">
        <v>868</v>
      </c>
    </row>
    <row r="776" ht="15.75" customHeight="1" spans="1:13">
      <c r="A776" s="16" t="s">
        <v>1134</v>
      </c>
      <c r="B776" s="16" t="s">
        <v>147</v>
      </c>
      <c r="C776" s="16" t="s">
        <v>190</v>
      </c>
      <c r="D776" s="74"/>
      <c r="E776" s="16" t="s">
        <v>1135</v>
      </c>
      <c r="F776" s="16"/>
      <c r="G776" s="75" t="b">
        <f t="shared" si="0"/>
        <v>0</v>
      </c>
      <c r="H776" s="16" t="b">
        <v>0</v>
      </c>
      <c r="I776" s="16" t="s">
        <v>29</v>
      </c>
      <c r="J776" s="16" t="s">
        <v>30</v>
      </c>
      <c r="K776" s="16" t="s">
        <v>31</v>
      </c>
      <c r="L776" s="16" t="s">
        <v>21</v>
      </c>
      <c r="M776" s="16">
        <v>882</v>
      </c>
    </row>
    <row r="777" ht="15.75" customHeight="1" spans="1:13">
      <c r="A777" s="16" t="s">
        <v>1136</v>
      </c>
      <c r="B777" s="16" t="s">
        <v>147</v>
      </c>
      <c r="C777" s="16"/>
      <c r="D777" s="74"/>
      <c r="E777" s="16"/>
      <c r="F777" s="16"/>
      <c r="G777" s="75" t="b">
        <f t="shared" si="0"/>
        <v>0</v>
      </c>
      <c r="H777" s="16" t="b">
        <v>0</v>
      </c>
      <c r="I777" s="16" t="s">
        <v>144</v>
      </c>
      <c r="J777" s="16" t="s">
        <v>54</v>
      </c>
      <c r="K777" s="16" t="s">
        <v>566</v>
      </c>
      <c r="L777" s="16" t="s">
        <v>21</v>
      </c>
      <c r="M777" s="16">
        <v>229</v>
      </c>
    </row>
    <row r="778" ht="15.75" customHeight="1" spans="1:13">
      <c r="A778" s="16" t="s">
        <v>1137</v>
      </c>
      <c r="B778" s="16" t="s">
        <v>147</v>
      </c>
      <c r="C778" s="16"/>
      <c r="D778" s="74"/>
      <c r="E778" s="16"/>
      <c r="F778" s="16"/>
      <c r="G778" s="75" t="b">
        <f t="shared" si="0"/>
        <v>0</v>
      </c>
      <c r="H778" s="16" t="b">
        <v>0</v>
      </c>
      <c r="I778" s="16" t="s">
        <v>57</v>
      </c>
      <c r="J778" s="16" t="s">
        <v>58</v>
      </c>
      <c r="K778" s="16" t="s">
        <v>177</v>
      </c>
      <c r="L778" s="16" t="s">
        <v>21</v>
      </c>
      <c r="M778" s="16">
        <v>925</v>
      </c>
    </row>
    <row r="779" ht="15.75" customHeight="1" spans="1:13">
      <c r="A779" s="16" t="s">
        <v>1138</v>
      </c>
      <c r="B779" s="16" t="s">
        <v>147</v>
      </c>
      <c r="C779" s="16" t="s">
        <v>15</v>
      </c>
      <c r="D779" s="74"/>
      <c r="E779" s="16"/>
      <c r="F779" s="16"/>
      <c r="G779" s="75" t="b">
        <f t="shared" si="0"/>
        <v>0</v>
      </c>
      <c r="H779" s="16" t="b">
        <v>0</v>
      </c>
      <c r="I779" s="16" t="s">
        <v>358</v>
      </c>
      <c r="J779" s="16" t="s">
        <v>63</v>
      </c>
      <c r="K779" s="16" t="s">
        <v>169</v>
      </c>
      <c r="L779" s="16" t="s">
        <v>21</v>
      </c>
      <c r="M779" s="16">
        <v>883</v>
      </c>
    </row>
    <row r="780" ht="15.75" customHeight="1" spans="1:13">
      <c r="A780" s="16" t="s">
        <v>1139</v>
      </c>
      <c r="B780" s="16" t="s">
        <v>14</v>
      </c>
      <c r="C780" s="16"/>
      <c r="D780" s="74" t="s">
        <v>1140</v>
      </c>
      <c r="E780" s="16"/>
      <c r="F780" s="16"/>
      <c r="G780" s="75" t="b">
        <f t="shared" si="0"/>
        <v>0</v>
      </c>
      <c r="H780" s="16" t="b">
        <v>0</v>
      </c>
      <c r="I780" s="16" t="s">
        <v>25</v>
      </c>
      <c r="J780" s="16" t="s">
        <v>26</v>
      </c>
      <c r="K780" s="16" t="s">
        <v>77</v>
      </c>
      <c r="L780" s="16" t="s">
        <v>39</v>
      </c>
      <c r="M780" s="16">
        <v>937</v>
      </c>
    </row>
    <row r="781" ht="15.75" customHeight="1" spans="1:13">
      <c r="A781" s="16" t="s">
        <v>1141</v>
      </c>
      <c r="B781" s="16" t="s">
        <v>14</v>
      </c>
      <c r="C781" s="16" t="s">
        <v>15</v>
      </c>
      <c r="D781" s="74" t="s">
        <v>1142</v>
      </c>
      <c r="E781" s="16" t="s">
        <v>1143</v>
      </c>
      <c r="F781" s="16"/>
      <c r="G781" s="75" t="b">
        <f t="shared" si="0"/>
        <v>0</v>
      </c>
      <c r="H781" s="16" t="b">
        <v>0</v>
      </c>
      <c r="I781" s="16" t="s">
        <v>258</v>
      </c>
      <c r="J781" s="16" t="s">
        <v>1144</v>
      </c>
      <c r="K781" s="16" t="s">
        <v>1145</v>
      </c>
      <c r="L781" s="16" t="s">
        <v>21</v>
      </c>
      <c r="M781" s="16">
        <v>506</v>
      </c>
    </row>
    <row r="782" ht="15.75" customHeight="1" spans="1:13">
      <c r="A782" s="16" t="s">
        <v>1146</v>
      </c>
      <c r="B782" s="16" t="s">
        <v>14</v>
      </c>
      <c r="C782" s="16" t="s">
        <v>190</v>
      </c>
      <c r="D782" s="74" t="s">
        <v>1147</v>
      </c>
      <c r="E782" s="16" t="s">
        <v>1148</v>
      </c>
      <c r="F782" s="16"/>
      <c r="G782" s="75" t="b">
        <f t="shared" si="0"/>
        <v>0</v>
      </c>
      <c r="H782" s="16" t="b">
        <v>0</v>
      </c>
      <c r="I782" s="16" t="s">
        <v>870</v>
      </c>
      <c r="J782" s="16" t="s">
        <v>211</v>
      </c>
      <c r="K782" s="16" t="s">
        <v>871</v>
      </c>
      <c r="L782" s="16" t="s">
        <v>160</v>
      </c>
      <c r="M782" s="16">
        <v>207</v>
      </c>
    </row>
    <row r="783" ht="15.75" customHeight="1" spans="1:13">
      <c r="A783" s="16" t="s">
        <v>1149</v>
      </c>
      <c r="B783" s="16" t="s">
        <v>14</v>
      </c>
      <c r="C783" s="16"/>
      <c r="D783" s="74" t="s">
        <v>1067</v>
      </c>
      <c r="E783" s="16" t="s">
        <v>388</v>
      </c>
      <c r="F783" s="16"/>
      <c r="G783" s="75" t="b">
        <f t="shared" si="0"/>
        <v>0</v>
      </c>
      <c r="H783" s="16" t="b">
        <v>0</v>
      </c>
      <c r="I783" s="16" t="s">
        <v>57</v>
      </c>
      <c r="J783" s="16" t="s">
        <v>26</v>
      </c>
      <c r="K783" s="16" t="s">
        <v>77</v>
      </c>
      <c r="L783" s="16" t="s">
        <v>21</v>
      </c>
      <c r="M783" s="16">
        <v>431</v>
      </c>
    </row>
    <row r="784" ht="15.75" customHeight="1" spans="1:13">
      <c r="A784" s="16" t="s">
        <v>1150</v>
      </c>
      <c r="B784" s="16" t="s">
        <v>147</v>
      </c>
      <c r="C784" s="16" t="s">
        <v>15</v>
      </c>
      <c r="D784" s="74"/>
      <c r="E784" s="16"/>
      <c r="F784" s="16"/>
      <c r="G784" s="75" t="b">
        <f t="shared" si="0"/>
        <v>0</v>
      </c>
      <c r="H784" s="16" t="b">
        <v>0</v>
      </c>
      <c r="I784" s="16" t="s">
        <v>225</v>
      </c>
      <c r="J784" s="16" t="s">
        <v>211</v>
      </c>
      <c r="K784" s="16" t="s">
        <v>212</v>
      </c>
      <c r="L784" s="16" t="s">
        <v>21</v>
      </c>
      <c r="M784" s="16">
        <v>542</v>
      </c>
    </row>
    <row r="785" ht="15.75" customHeight="1" spans="1:13">
      <c r="A785" s="16" t="s">
        <v>1151</v>
      </c>
      <c r="B785" s="16" t="s">
        <v>147</v>
      </c>
      <c r="C785" s="16" t="s">
        <v>15</v>
      </c>
      <c r="D785" s="74"/>
      <c r="E785" s="16"/>
      <c r="F785" s="16"/>
      <c r="G785" s="75" t="b">
        <f t="shared" si="0"/>
        <v>0</v>
      </c>
      <c r="H785" s="16" t="b">
        <v>0</v>
      </c>
      <c r="I785" s="16" t="s">
        <v>141</v>
      </c>
      <c r="J785" s="16" t="s">
        <v>126</v>
      </c>
      <c r="K785" s="16" t="s">
        <v>127</v>
      </c>
      <c r="L785" s="16" t="s">
        <v>21</v>
      </c>
      <c r="M785" s="16">
        <v>388</v>
      </c>
    </row>
    <row r="786" ht="15.75" customHeight="1" spans="1:13">
      <c r="A786" s="16" t="s">
        <v>1152</v>
      </c>
      <c r="B786" s="16" t="s">
        <v>147</v>
      </c>
      <c r="C786" s="16"/>
      <c r="D786" s="74"/>
      <c r="E786" s="16"/>
      <c r="F786" s="16"/>
      <c r="G786" s="75" t="b">
        <f t="shared" si="0"/>
        <v>0</v>
      </c>
      <c r="H786" s="16" t="b">
        <v>0</v>
      </c>
      <c r="I786" s="16" t="s">
        <v>173</v>
      </c>
      <c r="J786" s="16" t="s">
        <v>421</v>
      </c>
      <c r="K786" s="16" t="s">
        <v>468</v>
      </c>
      <c r="L786" s="16" t="s">
        <v>21</v>
      </c>
      <c r="M786" s="16">
        <v>23</v>
      </c>
    </row>
    <row r="787" ht="15.75" customHeight="1" spans="1:13">
      <c r="A787" s="16" t="s">
        <v>1153</v>
      </c>
      <c r="B787" s="16" t="s">
        <v>147</v>
      </c>
      <c r="C787" s="16" t="s">
        <v>15</v>
      </c>
      <c r="D787" s="74"/>
      <c r="E787" s="16"/>
      <c r="F787" s="16"/>
      <c r="G787" s="75" t="b">
        <f t="shared" si="0"/>
        <v>0</v>
      </c>
      <c r="H787" s="16" t="b">
        <v>0</v>
      </c>
      <c r="I787" s="16" t="s">
        <v>144</v>
      </c>
      <c r="J787" s="16" t="s">
        <v>30</v>
      </c>
      <c r="K787" s="16" t="s">
        <v>31</v>
      </c>
      <c r="L787" s="16" t="s">
        <v>21</v>
      </c>
      <c r="M787" s="16">
        <v>191</v>
      </c>
    </row>
    <row r="788" ht="15.75" customHeight="1" spans="1:13">
      <c r="A788" s="16" t="s">
        <v>1154</v>
      </c>
      <c r="B788" s="16" t="s">
        <v>147</v>
      </c>
      <c r="C788" s="16"/>
      <c r="D788" s="74"/>
      <c r="E788" s="16"/>
      <c r="F788" s="16"/>
      <c r="G788" s="75" t="b">
        <f t="shared" si="0"/>
        <v>0</v>
      </c>
      <c r="H788" s="16" t="b">
        <v>0</v>
      </c>
      <c r="I788" s="16" t="s">
        <v>131</v>
      </c>
      <c r="J788" s="16" t="s">
        <v>132</v>
      </c>
      <c r="K788" s="16" t="s">
        <v>295</v>
      </c>
      <c r="L788" s="16" t="s">
        <v>21</v>
      </c>
      <c r="M788" s="16">
        <v>104</v>
      </c>
    </row>
    <row r="789" ht="15.75" customHeight="1" spans="1:13">
      <c r="A789" s="16" t="s">
        <v>1155</v>
      </c>
      <c r="B789" s="16" t="s">
        <v>147</v>
      </c>
      <c r="C789" s="16"/>
      <c r="D789" s="74"/>
      <c r="E789" s="16"/>
      <c r="F789" s="16"/>
      <c r="G789" s="75" t="b">
        <f t="shared" si="0"/>
        <v>0</v>
      </c>
      <c r="H789" s="16" t="b">
        <v>0</v>
      </c>
      <c r="I789" s="16" t="s">
        <v>41</v>
      </c>
      <c r="J789" s="16" t="s">
        <v>132</v>
      </c>
      <c r="K789" s="16" t="s">
        <v>295</v>
      </c>
      <c r="L789" s="16" t="s">
        <v>21</v>
      </c>
      <c r="M789" s="16">
        <v>297</v>
      </c>
    </row>
    <row r="790" ht="15.75" customHeight="1" spans="1:13">
      <c r="A790" s="16" t="s">
        <v>1156</v>
      </c>
      <c r="B790" s="16" t="s">
        <v>147</v>
      </c>
      <c r="C790" s="16" t="s">
        <v>15</v>
      </c>
      <c r="D790" s="74"/>
      <c r="E790" s="16"/>
      <c r="F790" s="16"/>
      <c r="G790" s="75" t="b">
        <f t="shared" si="0"/>
        <v>0</v>
      </c>
      <c r="H790" s="16" t="b">
        <v>0</v>
      </c>
      <c r="I790" s="16" t="s">
        <v>335</v>
      </c>
      <c r="J790" s="16" t="s">
        <v>63</v>
      </c>
      <c r="K790" s="16" t="s">
        <v>1157</v>
      </c>
      <c r="L790" s="16" t="s">
        <v>21</v>
      </c>
      <c r="M790" s="16">
        <v>246</v>
      </c>
    </row>
    <row r="791" ht="15.75" customHeight="1" spans="1:13">
      <c r="A791" s="16" t="s">
        <v>1158</v>
      </c>
      <c r="B791" s="16" t="s">
        <v>147</v>
      </c>
      <c r="C791" s="16" t="s">
        <v>15</v>
      </c>
      <c r="D791" s="74"/>
      <c r="E791" s="16" t="s">
        <v>1159</v>
      </c>
      <c r="F791" s="16"/>
      <c r="G791" s="75" t="b">
        <f t="shared" si="0"/>
        <v>0</v>
      </c>
      <c r="H791" s="16" t="b">
        <v>0</v>
      </c>
      <c r="I791" s="16" t="s">
        <v>207</v>
      </c>
      <c r="J791" s="16" t="s">
        <v>211</v>
      </c>
      <c r="K791" s="16" t="s">
        <v>212</v>
      </c>
      <c r="L791" s="16" t="s">
        <v>21</v>
      </c>
      <c r="M791" s="16">
        <v>829</v>
      </c>
    </row>
    <row r="792" ht="15.75" customHeight="1" spans="1:13">
      <c r="A792" s="16" t="s">
        <v>1160</v>
      </c>
      <c r="B792" s="16" t="s">
        <v>23</v>
      </c>
      <c r="C792" s="16" t="s">
        <v>15</v>
      </c>
      <c r="D792" s="74"/>
      <c r="E792" s="16" t="s">
        <v>1161</v>
      </c>
      <c r="F792" s="16"/>
      <c r="G792" s="75" t="b">
        <f t="shared" si="0"/>
        <v>0</v>
      </c>
      <c r="H792" s="16" t="b">
        <v>0</v>
      </c>
      <c r="I792" s="16" t="s">
        <v>207</v>
      </c>
      <c r="J792" s="16" t="s">
        <v>63</v>
      </c>
      <c r="K792" s="16" t="s">
        <v>169</v>
      </c>
      <c r="L792" s="16" t="s">
        <v>21</v>
      </c>
      <c r="M792" s="16">
        <v>175</v>
      </c>
    </row>
    <row r="793" ht="15.75" customHeight="1" spans="1:13">
      <c r="A793" s="16" t="s">
        <v>1162</v>
      </c>
      <c r="B793" s="16" t="s">
        <v>147</v>
      </c>
      <c r="C793" s="16"/>
      <c r="D793" s="74"/>
      <c r="E793" s="16"/>
      <c r="F793" s="16"/>
      <c r="G793" s="75" t="b">
        <f t="shared" si="0"/>
        <v>0</v>
      </c>
      <c r="H793" s="16" t="b">
        <v>0</v>
      </c>
      <c r="I793" s="16" t="s">
        <v>41</v>
      </c>
      <c r="J793" s="16" t="s">
        <v>132</v>
      </c>
      <c r="K793" s="16" t="s">
        <v>295</v>
      </c>
      <c r="L793" s="16" t="s">
        <v>21</v>
      </c>
      <c r="M793" s="16">
        <v>296</v>
      </c>
    </row>
    <row r="794" ht="15.75" customHeight="1" spans="1:13">
      <c r="A794" s="16" t="s">
        <v>1163</v>
      </c>
      <c r="B794" s="16" t="s">
        <v>147</v>
      </c>
      <c r="C794" s="16"/>
      <c r="D794" s="74"/>
      <c r="E794" s="16"/>
      <c r="F794" s="16"/>
      <c r="G794" s="75" t="b">
        <f t="shared" si="0"/>
        <v>0</v>
      </c>
      <c r="H794" s="16" t="b">
        <v>0</v>
      </c>
      <c r="I794" s="16" t="s">
        <v>53</v>
      </c>
      <c r="J794" s="16" t="s">
        <v>54</v>
      </c>
      <c r="K794" s="16" t="s">
        <v>198</v>
      </c>
      <c r="L794" s="16" t="s">
        <v>21</v>
      </c>
      <c r="M794" s="16">
        <v>1047</v>
      </c>
    </row>
    <row r="795" ht="15.75" customHeight="1" spans="1:13">
      <c r="A795" s="16" t="s">
        <v>1164</v>
      </c>
      <c r="B795" s="16" t="s">
        <v>147</v>
      </c>
      <c r="C795" s="16" t="s">
        <v>15</v>
      </c>
      <c r="D795" s="74"/>
      <c r="E795" s="16"/>
      <c r="F795" s="16"/>
      <c r="G795" s="75" t="b">
        <f t="shared" si="0"/>
        <v>0</v>
      </c>
      <c r="H795" s="16" t="b">
        <v>0</v>
      </c>
      <c r="I795" s="16" t="s">
        <v>82</v>
      </c>
      <c r="J795" s="16" t="s">
        <v>83</v>
      </c>
      <c r="K795" s="16" t="s">
        <v>786</v>
      </c>
      <c r="L795" s="16" t="s">
        <v>21</v>
      </c>
      <c r="M795" s="16">
        <v>370</v>
      </c>
    </row>
    <row r="796" ht="15.75" customHeight="1" spans="1:13">
      <c r="A796" s="16" t="s">
        <v>1165</v>
      </c>
      <c r="B796" s="16" t="s">
        <v>147</v>
      </c>
      <c r="C796" s="16" t="s">
        <v>15</v>
      </c>
      <c r="D796" s="74"/>
      <c r="E796" s="16"/>
      <c r="F796" s="16"/>
      <c r="G796" s="75" t="b">
        <f t="shared" si="0"/>
        <v>0</v>
      </c>
      <c r="H796" s="16" t="b">
        <v>0</v>
      </c>
      <c r="I796" s="16" t="s">
        <v>536</v>
      </c>
      <c r="J796" s="16" t="s">
        <v>19</v>
      </c>
      <c r="K796" s="16" t="s">
        <v>20</v>
      </c>
      <c r="L796" s="16" t="s">
        <v>21</v>
      </c>
      <c r="M796" s="16">
        <v>494</v>
      </c>
    </row>
    <row r="797" ht="15.75" customHeight="1" spans="1:13">
      <c r="A797" s="16" t="s">
        <v>1166</v>
      </c>
      <c r="B797" s="16" t="s">
        <v>147</v>
      </c>
      <c r="C797" s="16" t="s">
        <v>15</v>
      </c>
      <c r="D797" s="74"/>
      <c r="E797" s="16"/>
      <c r="F797" s="16"/>
      <c r="G797" s="75" t="b">
        <f t="shared" si="0"/>
        <v>0</v>
      </c>
      <c r="H797" s="16" t="b">
        <v>0</v>
      </c>
      <c r="I797" s="16" t="s">
        <v>207</v>
      </c>
      <c r="J797" s="16" t="s">
        <v>63</v>
      </c>
      <c r="K797" s="16" t="s">
        <v>93</v>
      </c>
      <c r="L797" s="16" t="s">
        <v>21</v>
      </c>
      <c r="M797" s="16">
        <v>173</v>
      </c>
    </row>
    <row r="798" ht="15.75" customHeight="1" spans="1:13">
      <c r="A798" s="16" t="s">
        <v>1167</v>
      </c>
      <c r="B798" s="16" t="s">
        <v>14</v>
      </c>
      <c r="C798" s="16" t="s">
        <v>15</v>
      </c>
      <c r="D798" s="74" t="s">
        <v>1168</v>
      </c>
      <c r="E798" s="16" t="s">
        <v>1148</v>
      </c>
      <c r="F798" s="16"/>
      <c r="G798" s="75" t="b">
        <f t="shared" si="0"/>
        <v>0</v>
      </c>
      <c r="H798" s="16" t="b">
        <v>0</v>
      </c>
      <c r="I798" s="16" t="s">
        <v>870</v>
      </c>
      <c r="J798" s="16" t="s">
        <v>211</v>
      </c>
      <c r="K798" s="16" t="s">
        <v>871</v>
      </c>
      <c r="L798" s="16" t="s">
        <v>160</v>
      </c>
      <c r="M798" s="16">
        <v>153</v>
      </c>
    </row>
    <row r="799" ht="15.75" customHeight="1" spans="1:13">
      <c r="A799" s="16" t="s">
        <v>1169</v>
      </c>
      <c r="B799" s="16" t="s">
        <v>147</v>
      </c>
      <c r="C799" s="16"/>
      <c r="D799" s="74"/>
      <c r="E799" s="16"/>
      <c r="F799" s="16"/>
      <c r="G799" s="75" t="b">
        <f t="shared" si="0"/>
        <v>0</v>
      </c>
      <c r="H799" s="16" t="b">
        <v>0</v>
      </c>
      <c r="I799" s="16" t="s">
        <v>67</v>
      </c>
      <c r="J799" s="16" t="s">
        <v>26</v>
      </c>
      <c r="K799" s="16" t="s">
        <v>68</v>
      </c>
      <c r="L799" s="16" t="s">
        <v>21</v>
      </c>
      <c r="M799" s="16">
        <v>672</v>
      </c>
    </row>
    <row r="800" ht="15.75" customHeight="1" spans="1:13">
      <c r="A800" s="16" t="s">
        <v>1170</v>
      </c>
      <c r="B800" s="16" t="s">
        <v>147</v>
      </c>
      <c r="C800" s="16" t="s">
        <v>15</v>
      </c>
      <c r="D800" s="74"/>
      <c r="E800" s="16"/>
      <c r="F800" s="16"/>
      <c r="G800" s="75" t="b">
        <f t="shared" si="0"/>
        <v>0</v>
      </c>
      <c r="H800" s="16" t="b">
        <v>0</v>
      </c>
      <c r="I800" s="16" t="s">
        <v>144</v>
      </c>
      <c r="J800" s="16" t="s">
        <v>30</v>
      </c>
      <c r="K800" s="16" t="s">
        <v>31</v>
      </c>
      <c r="L800" s="16" t="s">
        <v>21</v>
      </c>
      <c r="M800" s="16">
        <v>60</v>
      </c>
    </row>
    <row r="801" ht="15.75" customHeight="1" spans="1:13">
      <c r="A801" s="16" t="s">
        <v>1171</v>
      </c>
      <c r="B801" s="16" t="s">
        <v>147</v>
      </c>
      <c r="C801" s="16" t="s">
        <v>15</v>
      </c>
      <c r="D801" s="74"/>
      <c r="E801" s="16"/>
      <c r="F801" s="16"/>
      <c r="G801" s="75" t="b">
        <f t="shared" si="0"/>
        <v>0</v>
      </c>
      <c r="H801" s="16" t="b">
        <v>0</v>
      </c>
      <c r="I801" s="16" t="s">
        <v>358</v>
      </c>
      <c r="J801" s="16" t="s">
        <v>63</v>
      </c>
      <c r="K801" s="16" t="s">
        <v>93</v>
      </c>
      <c r="L801" s="16" t="s">
        <v>21</v>
      </c>
      <c r="M801" s="16">
        <v>841</v>
      </c>
    </row>
    <row r="802" ht="15.75" customHeight="1" spans="1:13">
      <c r="A802" s="16" t="s">
        <v>1172</v>
      </c>
      <c r="B802" s="16" t="s">
        <v>147</v>
      </c>
      <c r="C802" s="16" t="s">
        <v>15</v>
      </c>
      <c r="D802" s="74"/>
      <c r="E802" s="16"/>
      <c r="F802" s="16"/>
      <c r="G802" s="75" t="b">
        <f t="shared" si="0"/>
        <v>0</v>
      </c>
      <c r="H802" s="16" t="b">
        <v>0</v>
      </c>
      <c r="I802" s="16" t="s">
        <v>144</v>
      </c>
      <c r="J802" s="16" t="s">
        <v>30</v>
      </c>
      <c r="K802" s="16" t="s">
        <v>31</v>
      </c>
      <c r="L802" s="16" t="s">
        <v>21</v>
      </c>
      <c r="M802" s="16">
        <v>327</v>
      </c>
    </row>
    <row r="803" ht="15.75" customHeight="1" spans="1:13">
      <c r="A803" s="16" t="s">
        <v>1173</v>
      </c>
      <c r="B803" s="16" t="s">
        <v>147</v>
      </c>
      <c r="C803" s="16" t="s">
        <v>183</v>
      </c>
      <c r="D803" s="74" t="s">
        <v>472</v>
      </c>
      <c r="E803" s="16"/>
      <c r="F803" s="16"/>
      <c r="G803" s="75" t="b">
        <f t="shared" si="0"/>
        <v>0</v>
      </c>
      <c r="H803" s="16" t="b">
        <v>0</v>
      </c>
      <c r="I803" s="16" t="s">
        <v>186</v>
      </c>
      <c r="J803" s="16" t="s">
        <v>187</v>
      </c>
      <c r="K803" s="16" t="s">
        <v>188</v>
      </c>
      <c r="L803" s="16" t="s">
        <v>21</v>
      </c>
      <c r="M803" s="16">
        <v>239</v>
      </c>
    </row>
    <row r="804" ht="15.75" customHeight="1" spans="1:13">
      <c r="A804" s="16" t="s">
        <v>1174</v>
      </c>
      <c r="B804" s="16" t="s">
        <v>147</v>
      </c>
      <c r="C804" s="16" t="s">
        <v>190</v>
      </c>
      <c r="D804" s="74"/>
      <c r="E804" s="16"/>
      <c r="F804" s="16"/>
      <c r="G804" s="75" t="b">
        <f t="shared" si="0"/>
        <v>0</v>
      </c>
      <c r="H804" s="16" t="b">
        <v>0</v>
      </c>
      <c r="I804" s="16" t="s">
        <v>1175</v>
      </c>
      <c r="J804" s="16" t="s">
        <v>63</v>
      </c>
      <c r="K804" s="16" t="s">
        <v>93</v>
      </c>
      <c r="L804" s="16" t="s">
        <v>21</v>
      </c>
      <c r="M804" s="16">
        <v>721</v>
      </c>
    </row>
    <row r="805" ht="15.75" customHeight="1" spans="1:13">
      <c r="A805" s="16" t="s">
        <v>1176</v>
      </c>
      <c r="B805" s="16" t="s">
        <v>147</v>
      </c>
      <c r="C805" s="16" t="s">
        <v>15</v>
      </c>
      <c r="D805" s="74"/>
      <c r="E805" s="16"/>
      <c r="F805" s="16"/>
      <c r="G805" s="75" t="b">
        <f t="shared" si="0"/>
        <v>0</v>
      </c>
      <c r="H805" s="16" t="b">
        <v>0</v>
      </c>
      <c r="I805" s="16" t="s">
        <v>92</v>
      </c>
      <c r="J805" s="16" t="s">
        <v>63</v>
      </c>
      <c r="K805" s="16" t="s">
        <v>93</v>
      </c>
      <c r="L805" s="16" t="s">
        <v>21</v>
      </c>
      <c r="M805" s="16">
        <v>995</v>
      </c>
    </row>
    <row r="806" ht="15.75" customHeight="1" spans="1:13">
      <c r="A806" s="16" t="s">
        <v>1177</v>
      </c>
      <c r="B806" s="16" t="s">
        <v>147</v>
      </c>
      <c r="C806" s="16" t="s">
        <v>190</v>
      </c>
      <c r="D806" s="74"/>
      <c r="E806" s="16" t="s">
        <v>1178</v>
      </c>
      <c r="F806" s="16"/>
      <c r="G806" s="75" t="b">
        <f t="shared" si="0"/>
        <v>0</v>
      </c>
      <c r="H806" s="16" t="b">
        <v>0</v>
      </c>
      <c r="I806" s="16" t="s">
        <v>144</v>
      </c>
      <c r="J806" s="16" t="s">
        <v>30</v>
      </c>
      <c r="K806" s="16" t="s">
        <v>31</v>
      </c>
      <c r="L806" s="16" t="s">
        <v>21</v>
      </c>
      <c r="M806" s="16">
        <v>227</v>
      </c>
    </row>
    <row r="807" ht="15.75" customHeight="1" spans="1:13">
      <c r="A807" s="16" t="s">
        <v>1179</v>
      </c>
      <c r="B807" s="16" t="s">
        <v>147</v>
      </c>
      <c r="C807" s="16"/>
      <c r="D807" s="74"/>
      <c r="E807" s="16"/>
      <c r="F807" s="16"/>
      <c r="G807" s="75" t="b">
        <f t="shared" si="0"/>
        <v>0</v>
      </c>
      <c r="H807" s="16" t="b">
        <v>0</v>
      </c>
      <c r="I807" s="16" t="s">
        <v>173</v>
      </c>
      <c r="J807" s="16" t="s">
        <v>54</v>
      </c>
      <c r="K807" s="16" t="s">
        <v>75</v>
      </c>
      <c r="L807" s="16" t="s">
        <v>160</v>
      </c>
      <c r="M807" s="16">
        <v>960</v>
      </c>
    </row>
    <row r="808" ht="15.75" customHeight="1" spans="1:13">
      <c r="A808" s="16" t="s">
        <v>1180</v>
      </c>
      <c r="B808" s="16" t="s">
        <v>23</v>
      </c>
      <c r="C808" s="16" t="s">
        <v>15</v>
      </c>
      <c r="D808" s="74" t="s">
        <v>1181</v>
      </c>
      <c r="E808" s="16" t="s">
        <v>1182</v>
      </c>
      <c r="F808" s="16"/>
      <c r="G808" s="75" t="b">
        <f t="shared" si="0"/>
        <v>0</v>
      </c>
      <c r="H808" s="16" t="b">
        <v>0</v>
      </c>
      <c r="I808" s="16" t="s">
        <v>1183</v>
      </c>
      <c r="J808" s="16" t="s">
        <v>19</v>
      </c>
      <c r="K808" s="16" t="s">
        <v>20</v>
      </c>
      <c r="L808" s="16" t="s">
        <v>21</v>
      </c>
      <c r="M808" s="16">
        <v>366</v>
      </c>
    </row>
    <row r="809" ht="15.75" customHeight="1" spans="1:13">
      <c r="A809" s="16" t="s">
        <v>1184</v>
      </c>
      <c r="B809" s="16" t="s">
        <v>147</v>
      </c>
      <c r="C809" s="16" t="s">
        <v>15</v>
      </c>
      <c r="D809" s="74"/>
      <c r="E809" s="16"/>
      <c r="F809" s="16"/>
      <c r="G809" s="75" t="b">
        <f t="shared" si="0"/>
        <v>0</v>
      </c>
      <c r="H809" s="16" t="b">
        <v>0</v>
      </c>
      <c r="I809" s="16" t="s">
        <v>118</v>
      </c>
      <c r="J809" s="16" t="s">
        <v>19</v>
      </c>
      <c r="K809" s="16" t="s">
        <v>119</v>
      </c>
      <c r="L809" s="16" t="s">
        <v>39</v>
      </c>
      <c r="M809" s="16">
        <v>816</v>
      </c>
    </row>
    <row r="810" ht="15.75" customHeight="1" spans="1:13">
      <c r="A810" s="16" t="s">
        <v>1185</v>
      </c>
      <c r="B810" s="16" t="s">
        <v>23</v>
      </c>
      <c r="C810" s="16" t="s">
        <v>15</v>
      </c>
      <c r="D810" s="74" t="s">
        <v>1186</v>
      </c>
      <c r="E810" s="16" t="s">
        <v>1187</v>
      </c>
      <c r="F810" s="16"/>
      <c r="G810" s="75" t="b">
        <f t="shared" si="0"/>
        <v>0</v>
      </c>
      <c r="H810" s="16" t="b">
        <v>0</v>
      </c>
      <c r="I810" s="16" t="s">
        <v>207</v>
      </c>
      <c r="J810" s="16" t="s">
        <v>63</v>
      </c>
      <c r="K810" s="16" t="s">
        <v>93</v>
      </c>
      <c r="L810" s="16" t="s">
        <v>160</v>
      </c>
      <c r="M810" s="16">
        <v>177</v>
      </c>
    </row>
    <row r="811" ht="15.75" customHeight="1" spans="1:13">
      <c r="A811" s="16" t="s">
        <v>1188</v>
      </c>
      <c r="B811" s="16" t="s">
        <v>147</v>
      </c>
      <c r="C811" s="16" t="s">
        <v>15</v>
      </c>
      <c r="D811" s="74"/>
      <c r="E811" s="16"/>
      <c r="F811" s="16"/>
      <c r="G811" s="75" t="b">
        <f t="shared" si="0"/>
        <v>0</v>
      </c>
      <c r="H811" s="16" t="b">
        <v>0</v>
      </c>
      <c r="I811" s="16" t="s">
        <v>319</v>
      </c>
      <c r="J811" s="16" t="s">
        <v>126</v>
      </c>
      <c r="K811" s="16" t="s">
        <v>127</v>
      </c>
      <c r="L811" s="16" t="s">
        <v>21</v>
      </c>
      <c r="M811" s="16">
        <v>858</v>
      </c>
    </row>
    <row r="812" ht="15.75" customHeight="1" spans="1:13">
      <c r="A812" s="16" t="s">
        <v>1189</v>
      </c>
      <c r="B812" s="16" t="s">
        <v>147</v>
      </c>
      <c r="C812" s="16"/>
      <c r="D812" s="74"/>
      <c r="E812" s="16"/>
      <c r="F812" s="16"/>
      <c r="G812" s="75" t="b">
        <f t="shared" si="0"/>
        <v>0</v>
      </c>
      <c r="H812" s="16" t="b">
        <v>0</v>
      </c>
      <c r="I812" s="16" t="s">
        <v>131</v>
      </c>
      <c r="J812" s="16" t="s">
        <v>132</v>
      </c>
      <c r="K812" s="16" t="s">
        <v>133</v>
      </c>
      <c r="L812" s="16" t="s">
        <v>21</v>
      </c>
      <c r="M812" s="16">
        <v>49</v>
      </c>
    </row>
    <row r="813" ht="15.75" customHeight="1" spans="1:13">
      <c r="A813" s="16" t="s">
        <v>1190</v>
      </c>
      <c r="B813" s="16" t="s">
        <v>147</v>
      </c>
      <c r="C813" s="16"/>
      <c r="D813" s="74"/>
      <c r="E813" s="16"/>
      <c r="F813" s="16"/>
      <c r="G813" s="75" t="b">
        <f t="shared" si="0"/>
        <v>0</v>
      </c>
      <c r="H813" s="16" t="b">
        <v>0</v>
      </c>
      <c r="I813" s="16" t="s">
        <v>207</v>
      </c>
      <c r="J813" s="16" t="s">
        <v>126</v>
      </c>
      <c r="K813" s="16" t="s">
        <v>142</v>
      </c>
      <c r="L813" s="16" t="s">
        <v>21</v>
      </c>
      <c r="M813" s="16">
        <v>674</v>
      </c>
    </row>
    <row r="814" ht="15.75" customHeight="1" spans="1:13">
      <c r="A814" s="16" t="s">
        <v>1191</v>
      </c>
      <c r="B814" s="16" t="s">
        <v>147</v>
      </c>
      <c r="C814" s="16"/>
      <c r="D814" s="74"/>
      <c r="E814" s="16"/>
      <c r="F814" s="16"/>
      <c r="G814" s="75" t="b">
        <f t="shared" si="0"/>
        <v>0</v>
      </c>
      <c r="H814" s="16" t="b">
        <v>0</v>
      </c>
      <c r="I814" s="16" t="s">
        <v>207</v>
      </c>
      <c r="J814" s="16" t="s">
        <v>30</v>
      </c>
      <c r="K814" s="16" t="s">
        <v>50</v>
      </c>
      <c r="L814" s="16" t="s">
        <v>21</v>
      </c>
      <c r="M814" s="16">
        <v>137</v>
      </c>
    </row>
    <row r="815" ht="15.75" customHeight="1" spans="1:13">
      <c r="A815" s="16" t="s">
        <v>1192</v>
      </c>
      <c r="B815" s="16" t="s">
        <v>147</v>
      </c>
      <c r="C815" s="16"/>
      <c r="D815" s="74"/>
      <c r="E815" s="16"/>
      <c r="F815" s="16"/>
      <c r="G815" s="75" t="b">
        <f t="shared" si="0"/>
        <v>0</v>
      </c>
      <c r="H815" s="16" t="b">
        <v>0</v>
      </c>
      <c r="I815" s="16" t="s">
        <v>109</v>
      </c>
      <c r="J815" s="16" t="s">
        <v>58</v>
      </c>
      <c r="K815" s="16" t="s">
        <v>177</v>
      </c>
      <c r="L815" s="16" t="s">
        <v>21</v>
      </c>
      <c r="M815" s="16">
        <v>533</v>
      </c>
    </row>
    <row r="816" ht="15.75" customHeight="1" spans="1:13">
      <c r="A816" s="16" t="s">
        <v>1193</v>
      </c>
      <c r="B816" s="16" t="s">
        <v>147</v>
      </c>
      <c r="C816" s="16" t="s">
        <v>15</v>
      </c>
      <c r="D816" s="74"/>
      <c r="E816" s="16"/>
      <c r="F816" s="16"/>
      <c r="G816" s="75" t="b">
        <f t="shared" si="0"/>
        <v>0</v>
      </c>
      <c r="H816" s="16" t="b">
        <v>0</v>
      </c>
      <c r="I816" s="16" t="s">
        <v>72</v>
      </c>
      <c r="J816" s="16" t="s">
        <v>63</v>
      </c>
      <c r="K816" s="16" t="s">
        <v>169</v>
      </c>
      <c r="L816" s="16" t="s">
        <v>21</v>
      </c>
      <c r="M816" s="16">
        <v>982</v>
      </c>
    </row>
    <row r="817" ht="15.75" customHeight="1" spans="1:13">
      <c r="A817" s="16" t="s">
        <v>1194</v>
      </c>
      <c r="B817" s="16" t="s">
        <v>147</v>
      </c>
      <c r="C817" s="16"/>
      <c r="D817" s="74"/>
      <c r="E817" s="16"/>
      <c r="F817" s="16"/>
      <c r="G817" s="75" t="b">
        <f t="shared" si="0"/>
        <v>0</v>
      </c>
      <c r="H817" s="16" t="b">
        <v>0</v>
      </c>
      <c r="I817" s="16" t="s">
        <v>109</v>
      </c>
      <c r="J817" s="16" t="s">
        <v>58</v>
      </c>
      <c r="K817" s="16" t="s">
        <v>59</v>
      </c>
      <c r="L817" s="16" t="s">
        <v>21</v>
      </c>
      <c r="M817" s="16">
        <v>1029</v>
      </c>
    </row>
    <row r="818" ht="15.75" customHeight="1" spans="1:13">
      <c r="A818" s="16" t="s">
        <v>1195</v>
      </c>
      <c r="B818" s="16" t="s">
        <v>147</v>
      </c>
      <c r="C818" s="16"/>
      <c r="D818" s="74"/>
      <c r="E818" s="16"/>
      <c r="F818" s="16"/>
      <c r="G818" s="75" t="b">
        <f t="shared" si="0"/>
        <v>0</v>
      </c>
      <c r="H818" s="16" t="b">
        <v>0</v>
      </c>
      <c r="I818" s="16" t="s">
        <v>25</v>
      </c>
      <c r="J818" s="16" t="s">
        <v>26</v>
      </c>
      <c r="K818" s="16" t="s">
        <v>77</v>
      </c>
      <c r="L818" s="16" t="s">
        <v>21</v>
      </c>
      <c r="M818" s="16">
        <v>634</v>
      </c>
    </row>
    <row r="819" ht="15.75" customHeight="1" spans="1:13">
      <c r="A819" s="16" t="s">
        <v>1196</v>
      </c>
      <c r="B819" s="16" t="s">
        <v>147</v>
      </c>
      <c r="C819" s="16"/>
      <c r="D819" s="74"/>
      <c r="E819" s="16"/>
      <c r="F819" s="16"/>
      <c r="G819" s="75" t="b">
        <f t="shared" si="0"/>
        <v>0</v>
      </c>
      <c r="H819" s="16" t="b">
        <v>0</v>
      </c>
      <c r="I819" s="16" t="s">
        <v>392</v>
      </c>
      <c r="J819" s="16" t="s">
        <v>54</v>
      </c>
      <c r="K819" s="16" t="s">
        <v>198</v>
      </c>
      <c r="L819" s="16" t="s">
        <v>21</v>
      </c>
      <c r="M819" s="16">
        <v>1015</v>
      </c>
    </row>
    <row r="820" ht="15.75" customHeight="1" spans="1:13">
      <c r="A820" s="16" t="s">
        <v>1197</v>
      </c>
      <c r="B820" s="16" t="s">
        <v>147</v>
      </c>
      <c r="C820" s="16" t="s">
        <v>15</v>
      </c>
      <c r="D820" s="74"/>
      <c r="E820" s="16"/>
      <c r="F820" s="16"/>
      <c r="G820" s="75" t="b">
        <f t="shared" si="0"/>
        <v>0</v>
      </c>
      <c r="H820" s="16" t="b">
        <v>0</v>
      </c>
      <c r="I820" s="16" t="s">
        <v>588</v>
      </c>
      <c r="J820" s="16" t="s">
        <v>19</v>
      </c>
      <c r="K820" s="16" t="s">
        <v>20</v>
      </c>
      <c r="L820" s="16" t="s">
        <v>21</v>
      </c>
      <c r="M820" s="16">
        <v>12</v>
      </c>
    </row>
    <row r="821" ht="15.75" customHeight="1" spans="1:13">
      <c r="A821" s="16" t="s">
        <v>1198</v>
      </c>
      <c r="B821" s="16" t="s">
        <v>147</v>
      </c>
      <c r="C821" s="16"/>
      <c r="D821" s="74"/>
      <c r="E821" s="16"/>
      <c r="F821" s="16"/>
      <c r="G821" s="75" t="b">
        <f t="shared" si="0"/>
        <v>0</v>
      </c>
      <c r="H821" s="16" t="b">
        <v>0</v>
      </c>
      <c r="I821" s="16" t="s">
        <v>67</v>
      </c>
      <c r="J821" s="16" t="s">
        <v>26</v>
      </c>
      <c r="K821" s="16" t="s">
        <v>68</v>
      </c>
      <c r="L821" s="16" t="s">
        <v>21</v>
      </c>
      <c r="M821" s="16">
        <v>205</v>
      </c>
    </row>
    <row r="822" ht="15.75" customHeight="1" spans="1:13">
      <c r="A822" s="16" t="s">
        <v>1199</v>
      </c>
      <c r="B822" s="16" t="s">
        <v>147</v>
      </c>
      <c r="C822" s="16"/>
      <c r="D822" s="74"/>
      <c r="E822" s="16"/>
      <c r="F822" s="16"/>
      <c r="G822" s="75" t="b">
        <f t="shared" si="0"/>
        <v>0</v>
      </c>
      <c r="H822" s="16" t="b">
        <v>0</v>
      </c>
      <c r="I822" s="16" t="s">
        <v>230</v>
      </c>
      <c r="J822" s="16" t="s">
        <v>54</v>
      </c>
      <c r="K822" s="16" t="s">
        <v>1200</v>
      </c>
      <c r="L822" s="16" t="s">
        <v>21</v>
      </c>
      <c r="M822" s="16">
        <v>715</v>
      </c>
    </row>
    <row r="823" ht="15.75" customHeight="1" spans="1:13">
      <c r="A823" s="16" t="s">
        <v>1201</v>
      </c>
      <c r="B823" s="16" t="s">
        <v>23</v>
      </c>
      <c r="C823" s="16" t="s">
        <v>15</v>
      </c>
      <c r="D823" s="74" t="s">
        <v>1202</v>
      </c>
      <c r="E823" s="16" t="s">
        <v>241</v>
      </c>
      <c r="F823" s="16"/>
      <c r="G823" s="75" t="b">
        <f t="shared" si="0"/>
        <v>0</v>
      </c>
      <c r="H823" s="16" t="b">
        <v>0</v>
      </c>
      <c r="I823" s="16" t="s">
        <v>67</v>
      </c>
      <c r="J823" s="16" t="s">
        <v>211</v>
      </c>
      <c r="K823" s="16" t="s">
        <v>212</v>
      </c>
      <c r="L823" s="16" t="s">
        <v>21</v>
      </c>
      <c r="M823" s="16">
        <v>209</v>
      </c>
    </row>
    <row r="824" ht="15.75" customHeight="1" spans="1:13">
      <c r="A824" s="16" t="s">
        <v>1203</v>
      </c>
      <c r="B824" s="16" t="s">
        <v>147</v>
      </c>
      <c r="C824" s="16" t="s">
        <v>15</v>
      </c>
      <c r="D824" s="74"/>
      <c r="E824" s="16"/>
      <c r="F824" s="16"/>
      <c r="G824" s="75" t="b">
        <f t="shared" si="0"/>
        <v>0</v>
      </c>
      <c r="H824" s="16" t="b">
        <v>0</v>
      </c>
      <c r="I824" s="16" t="s">
        <v>258</v>
      </c>
      <c r="J824" s="16" t="s">
        <v>19</v>
      </c>
      <c r="K824" s="16" t="s">
        <v>119</v>
      </c>
      <c r="L824" s="16" t="s">
        <v>21</v>
      </c>
      <c r="M824" s="16">
        <v>159</v>
      </c>
    </row>
    <row r="825" ht="15.75" customHeight="1" spans="1:13">
      <c r="A825" s="16" t="s">
        <v>1204</v>
      </c>
      <c r="B825" s="16" t="s">
        <v>147</v>
      </c>
      <c r="C825" s="16" t="s">
        <v>15</v>
      </c>
      <c r="D825" s="74"/>
      <c r="E825" s="16"/>
      <c r="F825" s="16"/>
      <c r="G825" s="75" t="b">
        <f t="shared" si="0"/>
        <v>0</v>
      </c>
      <c r="H825" s="16" t="b">
        <v>0</v>
      </c>
      <c r="I825" s="16" t="s">
        <v>319</v>
      </c>
      <c r="J825" s="16" t="s">
        <v>126</v>
      </c>
      <c r="K825" s="16" t="s">
        <v>127</v>
      </c>
      <c r="L825" s="16" t="s">
        <v>21</v>
      </c>
      <c r="M825" s="16">
        <v>250</v>
      </c>
    </row>
    <row r="826" ht="15.75" customHeight="1" spans="1:13">
      <c r="A826" s="16" t="s">
        <v>1205</v>
      </c>
      <c r="B826" s="16" t="s">
        <v>147</v>
      </c>
      <c r="C826" s="16" t="s">
        <v>15</v>
      </c>
      <c r="D826" s="74"/>
      <c r="E826" s="16"/>
      <c r="F826" s="16"/>
      <c r="G826" s="75" t="b">
        <f t="shared" si="0"/>
        <v>0</v>
      </c>
      <c r="H826" s="16" t="b">
        <v>0</v>
      </c>
      <c r="I826" s="16" t="s">
        <v>92</v>
      </c>
      <c r="J826" s="16" t="s">
        <v>63</v>
      </c>
      <c r="K826" s="16" t="s">
        <v>73</v>
      </c>
      <c r="L826" s="16" t="s">
        <v>39</v>
      </c>
      <c r="M826" s="16">
        <v>957</v>
      </c>
    </row>
    <row r="827" ht="15.75" customHeight="1" spans="1:13">
      <c r="A827" s="16" t="s">
        <v>1206</v>
      </c>
      <c r="B827" s="16" t="s">
        <v>147</v>
      </c>
      <c r="C827" s="16" t="s">
        <v>183</v>
      </c>
      <c r="D827" s="74" t="s">
        <v>1204</v>
      </c>
      <c r="E827" s="16"/>
      <c r="F827" s="16"/>
      <c r="G827" s="75" t="b">
        <f t="shared" si="0"/>
        <v>0</v>
      </c>
      <c r="H827" s="16" t="b">
        <v>0</v>
      </c>
      <c r="I827" s="16" t="s">
        <v>319</v>
      </c>
      <c r="J827" s="16" t="s">
        <v>126</v>
      </c>
      <c r="K827" s="16" t="s">
        <v>127</v>
      </c>
      <c r="L827" s="16" t="s">
        <v>21</v>
      </c>
      <c r="M827" s="16">
        <v>282</v>
      </c>
    </row>
    <row r="828" ht="15.75" customHeight="1" spans="1:13">
      <c r="A828" s="16" t="s">
        <v>1207</v>
      </c>
      <c r="B828" s="16" t="s">
        <v>147</v>
      </c>
      <c r="C828" s="16" t="s">
        <v>15</v>
      </c>
      <c r="D828" s="74"/>
      <c r="E828" s="16" t="s">
        <v>1208</v>
      </c>
      <c r="F828" s="16"/>
      <c r="G828" s="75" t="b">
        <f t="shared" si="0"/>
        <v>0</v>
      </c>
      <c r="H828" s="16" t="b">
        <v>0</v>
      </c>
      <c r="I828" s="16" t="s">
        <v>207</v>
      </c>
      <c r="J828" s="16" t="s">
        <v>30</v>
      </c>
      <c r="K828" s="16" t="s">
        <v>31</v>
      </c>
      <c r="L828" s="16" t="s">
        <v>21</v>
      </c>
      <c r="M828" s="16">
        <v>558</v>
      </c>
    </row>
    <row r="829" ht="15.75" customHeight="1" spans="1:13">
      <c r="A829" s="16" t="s">
        <v>1209</v>
      </c>
      <c r="B829" s="16" t="s">
        <v>14</v>
      </c>
      <c r="C829" s="16" t="s">
        <v>15</v>
      </c>
      <c r="D829" s="74"/>
      <c r="E829" s="16" t="s">
        <v>1210</v>
      </c>
      <c r="F829" s="16"/>
      <c r="G829" s="75" t="b">
        <f t="shared" si="0"/>
        <v>0</v>
      </c>
      <c r="H829" s="16" t="b">
        <v>0</v>
      </c>
      <c r="I829" s="16" t="s">
        <v>92</v>
      </c>
      <c r="J829" s="16" t="s">
        <v>63</v>
      </c>
      <c r="K829" s="16" t="s">
        <v>93</v>
      </c>
      <c r="L829" s="16" t="s">
        <v>160</v>
      </c>
      <c r="M829" s="16">
        <v>446</v>
      </c>
    </row>
    <row r="830" ht="15.75" customHeight="1" spans="1:13">
      <c r="A830" s="16" t="s">
        <v>1211</v>
      </c>
      <c r="B830" s="16" t="s">
        <v>147</v>
      </c>
      <c r="C830" s="16"/>
      <c r="D830" s="74"/>
      <c r="E830" s="16"/>
      <c r="F830" s="16"/>
      <c r="G830" s="75" t="b">
        <f t="shared" si="0"/>
        <v>0</v>
      </c>
      <c r="H830" s="16" t="b">
        <v>0</v>
      </c>
      <c r="I830" s="16" t="s">
        <v>82</v>
      </c>
      <c r="J830" s="16" t="s">
        <v>374</v>
      </c>
      <c r="K830" s="16" t="s">
        <v>375</v>
      </c>
      <c r="L830" s="16" t="s">
        <v>21</v>
      </c>
      <c r="M830" s="16">
        <v>796</v>
      </c>
    </row>
    <row r="831" ht="15.75" customHeight="1" spans="1:13">
      <c r="A831" s="16" t="s">
        <v>1212</v>
      </c>
      <c r="B831" s="16" t="s">
        <v>147</v>
      </c>
      <c r="C831" s="16" t="s">
        <v>15</v>
      </c>
      <c r="D831" s="74"/>
      <c r="E831" s="16" t="s">
        <v>1213</v>
      </c>
      <c r="F831" s="16"/>
      <c r="G831" s="75" t="b">
        <f t="shared" si="0"/>
        <v>0</v>
      </c>
      <c r="H831" s="16" t="b">
        <v>0</v>
      </c>
      <c r="I831" s="16" t="s">
        <v>338</v>
      </c>
      <c r="J831" s="16" t="s">
        <v>211</v>
      </c>
      <c r="K831" s="16" t="s">
        <v>991</v>
      </c>
      <c r="L831" s="16" t="s">
        <v>21</v>
      </c>
      <c r="M831" s="16">
        <v>38</v>
      </c>
    </row>
    <row r="832" ht="15.75" customHeight="1" spans="1:13">
      <c r="A832" s="16" t="s">
        <v>1214</v>
      </c>
      <c r="B832" s="16" t="s">
        <v>147</v>
      </c>
      <c r="C832" s="16" t="s">
        <v>15</v>
      </c>
      <c r="D832" s="74"/>
      <c r="E832" s="16"/>
      <c r="F832" s="16"/>
      <c r="G832" s="75" t="b">
        <f t="shared" si="0"/>
        <v>0</v>
      </c>
      <c r="H832" s="16" t="b">
        <v>0</v>
      </c>
      <c r="I832" s="16" t="s">
        <v>118</v>
      </c>
      <c r="J832" s="16" t="s">
        <v>19</v>
      </c>
      <c r="K832" s="16" t="s">
        <v>119</v>
      </c>
      <c r="L832" s="16" t="s">
        <v>39</v>
      </c>
      <c r="M832" s="16">
        <v>815</v>
      </c>
    </row>
    <row r="833" ht="15.75" customHeight="1" spans="1:13">
      <c r="A833" s="16" t="s">
        <v>1215</v>
      </c>
      <c r="B833" s="16" t="s">
        <v>147</v>
      </c>
      <c r="C833" s="16" t="s">
        <v>15</v>
      </c>
      <c r="D833" s="74"/>
      <c r="E833" s="16"/>
      <c r="F833" s="16"/>
      <c r="G833" s="75" t="b">
        <f t="shared" si="0"/>
        <v>0</v>
      </c>
      <c r="H833" s="16" t="b">
        <v>0</v>
      </c>
      <c r="I833" s="16" t="s">
        <v>72</v>
      </c>
      <c r="J833" s="16" t="s">
        <v>126</v>
      </c>
      <c r="K833" s="16" t="s">
        <v>553</v>
      </c>
      <c r="L833" s="16" t="s">
        <v>21</v>
      </c>
      <c r="M833" s="16">
        <v>983</v>
      </c>
    </row>
    <row r="834" ht="15.75" customHeight="1" spans="1:13">
      <c r="A834" s="16" t="s">
        <v>1216</v>
      </c>
      <c r="B834" s="16" t="s">
        <v>147</v>
      </c>
      <c r="C834" s="16" t="s">
        <v>15</v>
      </c>
      <c r="D834" s="74"/>
      <c r="E834" s="16"/>
      <c r="F834" s="16"/>
      <c r="G834" s="75" t="b">
        <f t="shared" si="0"/>
        <v>0</v>
      </c>
      <c r="H834" s="16" t="b">
        <v>0</v>
      </c>
      <c r="I834" s="16" t="s">
        <v>92</v>
      </c>
      <c r="J834" s="16" t="s">
        <v>63</v>
      </c>
      <c r="K834" s="16" t="s">
        <v>93</v>
      </c>
      <c r="L834" s="16" t="s">
        <v>160</v>
      </c>
      <c r="M834" s="16">
        <v>911</v>
      </c>
    </row>
    <row r="835" ht="15.75" customHeight="1" spans="1:13">
      <c r="A835" s="16" t="s">
        <v>1217</v>
      </c>
      <c r="B835" s="16" t="s">
        <v>147</v>
      </c>
      <c r="C835" s="16" t="s">
        <v>15</v>
      </c>
      <c r="D835" s="74"/>
      <c r="E835" s="16"/>
      <c r="F835" s="16"/>
      <c r="G835" s="75" t="b">
        <f t="shared" si="0"/>
        <v>0</v>
      </c>
      <c r="H835" s="16" t="b">
        <v>0</v>
      </c>
      <c r="I835" s="16" t="s">
        <v>207</v>
      </c>
      <c r="J835" s="16" t="s">
        <v>30</v>
      </c>
      <c r="K835" s="16" t="s">
        <v>31</v>
      </c>
      <c r="L835" s="16" t="s">
        <v>21</v>
      </c>
      <c r="M835" s="16">
        <v>146</v>
      </c>
    </row>
    <row r="836" ht="15.75" customHeight="1" spans="1:13">
      <c r="A836" s="16" t="s">
        <v>1218</v>
      </c>
      <c r="B836" s="16" t="s">
        <v>147</v>
      </c>
      <c r="C836" s="16"/>
      <c r="D836" s="74"/>
      <c r="E836" s="16"/>
      <c r="F836" s="16"/>
      <c r="G836" s="75" t="b">
        <f t="shared" si="0"/>
        <v>0</v>
      </c>
      <c r="H836" s="16" t="b">
        <v>0</v>
      </c>
      <c r="I836" s="16" t="s">
        <v>207</v>
      </c>
      <c r="J836" s="16" t="s">
        <v>126</v>
      </c>
      <c r="K836" s="16" t="s">
        <v>142</v>
      </c>
      <c r="L836" s="16" t="s">
        <v>21</v>
      </c>
      <c r="M836" s="16">
        <v>684</v>
      </c>
    </row>
    <row r="837" ht="15.75" customHeight="1" spans="1:13">
      <c r="A837" s="16" t="s">
        <v>1219</v>
      </c>
      <c r="B837" s="16" t="s">
        <v>147</v>
      </c>
      <c r="C837" s="16"/>
      <c r="D837" s="74"/>
      <c r="E837" s="16"/>
      <c r="F837" s="16"/>
      <c r="G837" s="75" t="b">
        <f t="shared" si="0"/>
        <v>0</v>
      </c>
      <c r="H837" s="16" t="b">
        <v>0</v>
      </c>
      <c r="I837" s="16" t="s">
        <v>67</v>
      </c>
      <c r="J837" s="16" t="s">
        <v>26</v>
      </c>
      <c r="K837" s="16" t="s">
        <v>68</v>
      </c>
      <c r="L837" s="16" t="s">
        <v>21</v>
      </c>
      <c r="M837" s="16">
        <v>1007</v>
      </c>
    </row>
    <row r="838" ht="15.75" customHeight="1" spans="1:13">
      <c r="A838" s="16" t="s">
        <v>1220</v>
      </c>
      <c r="B838" s="16" t="s">
        <v>147</v>
      </c>
      <c r="C838" s="16" t="s">
        <v>15</v>
      </c>
      <c r="D838" s="74"/>
      <c r="E838" s="16"/>
      <c r="F838" s="16"/>
      <c r="G838" s="75" t="b">
        <f t="shared" si="0"/>
        <v>0</v>
      </c>
      <c r="H838" s="16" t="b">
        <v>0</v>
      </c>
      <c r="I838" s="16" t="s">
        <v>144</v>
      </c>
      <c r="J838" s="16" t="s">
        <v>30</v>
      </c>
      <c r="K838" s="16" t="s">
        <v>31</v>
      </c>
      <c r="L838" s="16" t="s">
        <v>21</v>
      </c>
      <c r="M838" s="16">
        <v>15</v>
      </c>
    </row>
    <row r="839" ht="15.75" customHeight="1" spans="1:13">
      <c r="A839" s="16" t="s">
        <v>1221</v>
      </c>
      <c r="B839" s="16" t="s">
        <v>147</v>
      </c>
      <c r="C839" s="16"/>
      <c r="D839" s="74"/>
      <c r="E839" s="16"/>
      <c r="F839" s="16"/>
      <c r="G839" s="75" t="b">
        <f t="shared" si="0"/>
        <v>0</v>
      </c>
      <c r="H839" s="16" t="b">
        <v>0</v>
      </c>
      <c r="I839" s="16" t="s">
        <v>41</v>
      </c>
      <c r="J839" s="16" t="s">
        <v>132</v>
      </c>
      <c r="K839" s="16" t="s">
        <v>295</v>
      </c>
      <c r="L839" s="16" t="s">
        <v>21</v>
      </c>
      <c r="M839" s="16">
        <v>1046</v>
      </c>
    </row>
    <row r="840" ht="15.75" customHeight="1" spans="1:13">
      <c r="A840" s="16" t="s">
        <v>1222</v>
      </c>
      <c r="B840" s="16" t="s">
        <v>147</v>
      </c>
      <c r="C840" s="16"/>
      <c r="D840" s="74"/>
      <c r="E840" s="16"/>
      <c r="F840" s="16"/>
      <c r="G840" s="75" t="b">
        <f t="shared" si="0"/>
        <v>0</v>
      </c>
      <c r="H840" s="16" t="b">
        <v>0</v>
      </c>
      <c r="I840" s="16" t="s">
        <v>57</v>
      </c>
      <c r="J840" s="16" t="s">
        <v>58</v>
      </c>
      <c r="K840" s="16" t="s">
        <v>177</v>
      </c>
      <c r="L840" s="16" t="s">
        <v>21</v>
      </c>
      <c r="M840" s="16">
        <v>997</v>
      </c>
    </row>
    <row r="841" ht="15.75" customHeight="1" spans="1:13">
      <c r="A841" s="16" t="s">
        <v>1223</v>
      </c>
      <c r="B841" s="16" t="s">
        <v>147</v>
      </c>
      <c r="C841" s="16"/>
      <c r="D841" s="74"/>
      <c r="E841" s="16"/>
      <c r="F841" s="16"/>
      <c r="G841" s="75" t="b">
        <f t="shared" si="0"/>
        <v>0</v>
      </c>
      <c r="H841" s="16" t="b">
        <v>0</v>
      </c>
      <c r="I841" s="16" t="s">
        <v>25</v>
      </c>
      <c r="J841" s="16" t="s">
        <v>26</v>
      </c>
      <c r="K841" s="16" t="s">
        <v>399</v>
      </c>
      <c r="L841" s="16" t="s">
        <v>39</v>
      </c>
      <c r="M841" s="16">
        <v>757</v>
      </c>
    </row>
    <row r="842" ht="15.75" customHeight="1" spans="1:13">
      <c r="A842" s="16" t="s">
        <v>1224</v>
      </c>
      <c r="B842" s="16" t="s">
        <v>147</v>
      </c>
      <c r="C842" s="16" t="s">
        <v>15</v>
      </c>
      <c r="D842" s="74"/>
      <c r="E842" s="16"/>
      <c r="F842" s="16"/>
      <c r="G842" s="75" t="b">
        <f t="shared" si="0"/>
        <v>0</v>
      </c>
      <c r="H842" s="16" t="b">
        <v>0</v>
      </c>
      <c r="I842" s="16" t="s">
        <v>141</v>
      </c>
      <c r="J842" s="16" t="s">
        <v>126</v>
      </c>
      <c r="K842" s="16" t="s">
        <v>142</v>
      </c>
      <c r="L842" s="16" t="s">
        <v>21</v>
      </c>
      <c r="M842" s="16">
        <v>260</v>
      </c>
    </row>
    <row r="843" ht="15.75" customHeight="1" spans="1:13">
      <c r="A843" s="16" t="s">
        <v>1225</v>
      </c>
      <c r="B843" s="16" t="s">
        <v>147</v>
      </c>
      <c r="C843" s="16" t="s">
        <v>15</v>
      </c>
      <c r="D843" s="74"/>
      <c r="E843" s="16"/>
      <c r="F843" s="16"/>
      <c r="G843" s="75" t="b">
        <f t="shared" si="0"/>
        <v>0</v>
      </c>
      <c r="H843" s="16" t="b">
        <v>0</v>
      </c>
      <c r="I843" s="16" t="s">
        <v>92</v>
      </c>
      <c r="J843" s="16" t="s">
        <v>30</v>
      </c>
      <c r="K843" s="16" t="s">
        <v>31</v>
      </c>
      <c r="L843" s="16" t="s">
        <v>21</v>
      </c>
      <c r="M843" s="16">
        <v>701</v>
      </c>
    </row>
    <row r="844" ht="15.75" customHeight="1" spans="1:13">
      <c r="A844" s="16" t="s">
        <v>1226</v>
      </c>
      <c r="B844" s="16" t="s">
        <v>147</v>
      </c>
      <c r="C844" s="16"/>
      <c r="D844" s="74"/>
      <c r="E844" s="16" t="s">
        <v>1227</v>
      </c>
      <c r="F844" s="16"/>
      <c r="G844" s="75" t="b">
        <f t="shared" si="0"/>
        <v>0</v>
      </c>
      <c r="H844" s="16" t="b">
        <v>0</v>
      </c>
      <c r="I844" s="16" t="s">
        <v>53</v>
      </c>
      <c r="J844" s="16" t="s">
        <v>54</v>
      </c>
      <c r="K844" s="16" t="s">
        <v>566</v>
      </c>
      <c r="L844" s="16" t="s">
        <v>21</v>
      </c>
      <c r="M844" s="16">
        <v>241</v>
      </c>
    </row>
    <row r="845" ht="15.75" customHeight="1" spans="1:13">
      <c r="A845" s="80" t="s">
        <v>1228</v>
      </c>
      <c r="B845" s="16" t="s">
        <v>14</v>
      </c>
      <c r="C845" s="16" t="s">
        <v>15</v>
      </c>
      <c r="D845" s="74"/>
      <c r="E845" s="16" t="s">
        <v>1229</v>
      </c>
      <c r="F845" s="16"/>
      <c r="G845" s="75" t="b">
        <f t="shared" si="0"/>
        <v>0</v>
      </c>
      <c r="H845" s="16" t="b">
        <v>0</v>
      </c>
      <c r="I845" s="16" t="s">
        <v>207</v>
      </c>
      <c r="J845" s="16" t="s">
        <v>63</v>
      </c>
      <c r="K845" s="16" t="s">
        <v>93</v>
      </c>
      <c r="L845" s="16" t="s">
        <v>21</v>
      </c>
      <c r="M845" s="16">
        <v>830</v>
      </c>
    </row>
    <row r="846" ht="15.75" customHeight="1" spans="1:13">
      <c r="A846" s="16" t="s">
        <v>1230</v>
      </c>
      <c r="B846" s="16" t="s">
        <v>147</v>
      </c>
      <c r="C846" s="16"/>
      <c r="D846" s="74"/>
      <c r="E846" s="16" t="s">
        <v>1231</v>
      </c>
      <c r="F846" s="16"/>
      <c r="G846" s="75" t="b">
        <f t="shared" si="0"/>
        <v>0</v>
      </c>
      <c r="H846" s="16" t="b">
        <v>0</v>
      </c>
      <c r="I846" s="16" t="s">
        <v>144</v>
      </c>
      <c r="J846" s="16" t="s">
        <v>54</v>
      </c>
      <c r="K846" s="16" t="s">
        <v>566</v>
      </c>
      <c r="L846" s="16" t="s">
        <v>21</v>
      </c>
      <c r="M846" s="16">
        <v>84</v>
      </c>
    </row>
    <row r="847" ht="15.75" customHeight="1" spans="1:13">
      <c r="A847" s="16" t="s">
        <v>1232</v>
      </c>
      <c r="B847" s="16" t="s">
        <v>23</v>
      </c>
      <c r="C847" s="16" t="s">
        <v>15</v>
      </c>
      <c r="D847" s="74" t="s">
        <v>1233</v>
      </c>
      <c r="E847" s="16" t="s">
        <v>1234</v>
      </c>
      <c r="F847" s="16"/>
      <c r="G847" s="75" t="b">
        <f t="shared" si="0"/>
        <v>0</v>
      </c>
      <c r="H847" s="16" t="b">
        <v>0</v>
      </c>
      <c r="I847" s="16" t="s">
        <v>141</v>
      </c>
      <c r="J847" s="16" t="s">
        <v>30</v>
      </c>
      <c r="K847" s="16" t="s">
        <v>50</v>
      </c>
      <c r="L847" s="16" t="s">
        <v>21</v>
      </c>
      <c r="M847" s="16">
        <v>214</v>
      </c>
    </row>
    <row r="848" ht="15.75" customHeight="1" spans="1:13">
      <c r="A848" s="16" t="s">
        <v>1235</v>
      </c>
      <c r="B848" s="16" t="s">
        <v>147</v>
      </c>
      <c r="C848" s="16"/>
      <c r="D848" s="74"/>
      <c r="E848" s="16" t="s">
        <v>1236</v>
      </c>
      <c r="F848" s="16"/>
      <c r="G848" s="75" t="b">
        <f t="shared" si="0"/>
        <v>0</v>
      </c>
      <c r="H848" s="16" t="b">
        <v>0</v>
      </c>
      <c r="I848" s="16" t="s">
        <v>53</v>
      </c>
      <c r="J848" s="16" t="s">
        <v>54</v>
      </c>
      <c r="K848" s="16" t="s">
        <v>906</v>
      </c>
      <c r="L848" s="16" t="s">
        <v>21</v>
      </c>
      <c r="M848" s="16">
        <v>119</v>
      </c>
    </row>
    <row r="849" ht="15.75" customHeight="1" spans="1:13">
      <c r="A849" s="16" t="s">
        <v>1237</v>
      </c>
      <c r="B849" s="16" t="s">
        <v>147</v>
      </c>
      <c r="C849" s="16" t="s">
        <v>15</v>
      </c>
      <c r="D849" s="74"/>
      <c r="E849" s="16"/>
      <c r="F849" s="16"/>
      <c r="G849" s="75" t="b">
        <f t="shared" si="0"/>
        <v>0</v>
      </c>
      <c r="H849" s="16" t="b">
        <v>0</v>
      </c>
      <c r="I849" s="16" t="s">
        <v>358</v>
      </c>
      <c r="J849" s="16" t="s">
        <v>63</v>
      </c>
      <c r="K849" s="16" t="s">
        <v>169</v>
      </c>
      <c r="L849" s="16" t="s">
        <v>21</v>
      </c>
      <c r="M849" s="16">
        <v>834</v>
      </c>
    </row>
    <row r="850" ht="15.75" customHeight="1" spans="1:13">
      <c r="A850" s="16" t="s">
        <v>1238</v>
      </c>
      <c r="B850" s="16" t="s">
        <v>14</v>
      </c>
      <c r="C850" s="16" t="s">
        <v>15</v>
      </c>
      <c r="D850" s="74"/>
      <c r="E850" s="16" t="s">
        <v>1239</v>
      </c>
      <c r="F850" s="16"/>
      <c r="G850" s="75" t="b">
        <f t="shared" si="0"/>
        <v>0</v>
      </c>
      <c r="H850" s="16" t="b">
        <v>0</v>
      </c>
      <c r="I850" s="16" t="s">
        <v>319</v>
      </c>
      <c r="J850" s="16" t="s">
        <v>126</v>
      </c>
      <c r="K850" s="16" t="s">
        <v>127</v>
      </c>
      <c r="L850" s="16" t="s">
        <v>21</v>
      </c>
      <c r="M850" s="16">
        <v>4</v>
      </c>
    </row>
    <row r="851" ht="15.75" customHeight="1" spans="1:13">
      <c r="A851" s="16" t="s">
        <v>1240</v>
      </c>
      <c r="B851" s="16" t="s">
        <v>14</v>
      </c>
      <c r="C851" s="16" t="s">
        <v>15</v>
      </c>
      <c r="D851" s="74"/>
      <c r="E851" s="16" t="s">
        <v>224</v>
      </c>
      <c r="F851" s="16"/>
      <c r="G851" s="75" t="b">
        <f t="shared" si="0"/>
        <v>0</v>
      </c>
      <c r="H851" s="16" t="b">
        <v>0</v>
      </c>
      <c r="I851" s="16" t="s">
        <v>67</v>
      </c>
      <c r="J851" s="16" t="s">
        <v>19</v>
      </c>
      <c r="K851" s="16" t="s">
        <v>306</v>
      </c>
      <c r="L851" s="16" t="s">
        <v>39</v>
      </c>
      <c r="M851" s="16">
        <v>843</v>
      </c>
    </row>
    <row r="852" ht="15.75" customHeight="1" spans="1:13">
      <c r="A852" s="16" t="s">
        <v>1241</v>
      </c>
      <c r="B852" s="16" t="s">
        <v>147</v>
      </c>
      <c r="C852" s="16" t="s">
        <v>15</v>
      </c>
      <c r="D852" s="74"/>
      <c r="E852" s="16"/>
      <c r="F852" s="16"/>
      <c r="G852" s="75" t="b">
        <f t="shared" si="0"/>
        <v>0</v>
      </c>
      <c r="H852" s="16" t="b">
        <v>0</v>
      </c>
      <c r="I852" s="16" t="s">
        <v>144</v>
      </c>
      <c r="J852" s="16" t="s">
        <v>30</v>
      </c>
      <c r="K852" s="16" t="s">
        <v>31</v>
      </c>
      <c r="L852" s="16" t="s">
        <v>21</v>
      </c>
      <c r="M852" s="16">
        <v>85</v>
      </c>
    </row>
    <row r="853" ht="15.75" customHeight="1" spans="1:13">
      <c r="A853" s="16" t="s">
        <v>1242</v>
      </c>
      <c r="B853" s="16" t="s">
        <v>147</v>
      </c>
      <c r="C853" s="16" t="s">
        <v>15</v>
      </c>
      <c r="D853" s="74"/>
      <c r="E853" s="16"/>
      <c r="F853" s="16"/>
      <c r="G853" s="75" t="b">
        <f t="shared" si="0"/>
        <v>0</v>
      </c>
      <c r="H853" s="16" t="b">
        <v>0</v>
      </c>
      <c r="I853" s="16" t="s">
        <v>82</v>
      </c>
      <c r="J853" s="16" t="s">
        <v>83</v>
      </c>
      <c r="K853" s="16" t="s">
        <v>84</v>
      </c>
      <c r="L853" s="16" t="s">
        <v>21</v>
      </c>
      <c r="M853" s="16">
        <v>371</v>
      </c>
    </row>
    <row r="854" ht="15.75" customHeight="1" spans="1:13">
      <c r="A854" s="16" t="s">
        <v>1243</v>
      </c>
      <c r="B854" s="16" t="s">
        <v>147</v>
      </c>
      <c r="C854" s="16"/>
      <c r="D854" s="74"/>
      <c r="E854" s="16"/>
      <c r="F854" s="16"/>
      <c r="G854" s="75" t="b">
        <f t="shared" si="0"/>
        <v>0</v>
      </c>
      <c r="H854" s="16" t="b">
        <v>0</v>
      </c>
      <c r="I854" s="16" t="s">
        <v>109</v>
      </c>
      <c r="J854" s="16" t="s">
        <v>58</v>
      </c>
      <c r="K854" s="16" t="s">
        <v>59</v>
      </c>
      <c r="L854" s="16" t="s">
        <v>21</v>
      </c>
      <c r="M854" s="16">
        <v>948</v>
      </c>
    </row>
    <row r="855" ht="15.75" customHeight="1" spans="1:13">
      <c r="A855" s="16" t="s">
        <v>1244</v>
      </c>
      <c r="B855" s="16" t="s">
        <v>147</v>
      </c>
      <c r="C855" s="16" t="s">
        <v>190</v>
      </c>
      <c r="D855" s="74" t="s">
        <v>976</v>
      </c>
      <c r="E855" s="16"/>
      <c r="F855" s="16"/>
      <c r="G855" s="75" t="b">
        <f t="shared" si="0"/>
        <v>0</v>
      </c>
      <c r="H855" s="16" t="b">
        <v>0</v>
      </c>
      <c r="I855" s="16" t="s">
        <v>312</v>
      </c>
      <c r="J855" s="16" t="s">
        <v>63</v>
      </c>
      <c r="K855" s="16" t="s">
        <v>93</v>
      </c>
      <c r="L855" s="16" t="s">
        <v>21</v>
      </c>
      <c r="M855" s="16">
        <v>1059</v>
      </c>
    </row>
    <row r="856" ht="15.75" customHeight="1" spans="1:13">
      <c r="A856" s="16" t="s">
        <v>1019</v>
      </c>
      <c r="B856" s="16" t="s">
        <v>14</v>
      </c>
      <c r="C856" s="16" t="s">
        <v>15</v>
      </c>
      <c r="D856" s="74"/>
      <c r="E856" s="16" t="s">
        <v>1245</v>
      </c>
      <c r="F856" s="16"/>
      <c r="G856" s="75" t="b">
        <f t="shared" si="0"/>
        <v>0</v>
      </c>
      <c r="H856" s="16" t="b">
        <v>0</v>
      </c>
      <c r="I856" s="16" t="s">
        <v>186</v>
      </c>
      <c r="J856" s="16" t="s">
        <v>187</v>
      </c>
      <c r="K856" s="16" t="s">
        <v>514</v>
      </c>
      <c r="L856" s="16" t="s">
        <v>21</v>
      </c>
      <c r="M856" s="16">
        <v>386</v>
      </c>
    </row>
    <row r="857" ht="15.75" customHeight="1" spans="1:13">
      <c r="A857" s="16" t="s">
        <v>1246</v>
      </c>
      <c r="B857" s="16" t="s">
        <v>147</v>
      </c>
      <c r="C857" s="16"/>
      <c r="D857" s="74"/>
      <c r="E857" s="16" t="s">
        <v>113</v>
      </c>
      <c r="F857" s="16"/>
      <c r="G857" s="75" t="b">
        <f t="shared" si="0"/>
        <v>0</v>
      </c>
      <c r="H857" s="16" t="b">
        <v>0</v>
      </c>
      <c r="I857" s="16" t="s">
        <v>53</v>
      </c>
      <c r="J857" s="16" t="s">
        <v>54</v>
      </c>
      <c r="K857" s="16" t="s">
        <v>566</v>
      </c>
      <c r="L857" s="16" t="s">
        <v>21</v>
      </c>
      <c r="M857" s="16">
        <v>32</v>
      </c>
    </row>
    <row r="858" ht="15.75" customHeight="1" spans="1:13">
      <c r="A858" s="16" t="s">
        <v>1247</v>
      </c>
      <c r="B858" s="16" t="s">
        <v>14</v>
      </c>
      <c r="C858" s="16" t="s">
        <v>15</v>
      </c>
      <c r="D858" s="74"/>
      <c r="E858" s="16" t="s">
        <v>1248</v>
      </c>
      <c r="F858" s="16"/>
      <c r="G858" s="75" t="b">
        <f t="shared" si="0"/>
        <v>0</v>
      </c>
      <c r="H858" s="16" t="b">
        <v>0</v>
      </c>
      <c r="I858" s="16" t="s">
        <v>358</v>
      </c>
      <c r="J858" s="16" t="s">
        <v>63</v>
      </c>
      <c r="K858" s="16" t="s">
        <v>169</v>
      </c>
      <c r="L858" s="16" t="s">
        <v>21</v>
      </c>
      <c r="M858" s="16">
        <v>546</v>
      </c>
    </row>
    <row r="859" ht="15.75" customHeight="1" spans="1:13">
      <c r="A859" s="16" t="s">
        <v>1249</v>
      </c>
      <c r="B859" s="16" t="s">
        <v>147</v>
      </c>
      <c r="C859" s="16"/>
      <c r="D859" s="74"/>
      <c r="E859" s="16" t="s">
        <v>1227</v>
      </c>
      <c r="F859" s="16"/>
      <c r="G859" s="75" t="b">
        <f t="shared" si="0"/>
        <v>0</v>
      </c>
      <c r="H859" s="16" t="b">
        <v>0</v>
      </c>
      <c r="I859" s="16" t="s">
        <v>109</v>
      </c>
      <c r="J859" s="16" t="s">
        <v>58</v>
      </c>
      <c r="K859" s="16" t="s">
        <v>177</v>
      </c>
      <c r="L859" s="16" t="s">
        <v>21</v>
      </c>
      <c r="M859" s="16">
        <v>397</v>
      </c>
    </row>
    <row r="860" ht="15.75" customHeight="1" spans="1:13">
      <c r="A860" s="16" t="s">
        <v>1250</v>
      </c>
      <c r="B860" s="16" t="s">
        <v>147</v>
      </c>
      <c r="C860" s="16" t="s">
        <v>15</v>
      </c>
      <c r="D860" s="74"/>
      <c r="E860" s="16" t="s">
        <v>1213</v>
      </c>
      <c r="F860" s="16"/>
      <c r="G860" s="75" t="b">
        <f t="shared" si="0"/>
        <v>0</v>
      </c>
      <c r="H860" s="16" t="b">
        <v>0</v>
      </c>
      <c r="I860" s="16" t="s">
        <v>1251</v>
      </c>
      <c r="J860" s="16" t="s">
        <v>211</v>
      </c>
      <c r="K860" s="16" t="s">
        <v>212</v>
      </c>
      <c r="L860" s="16" t="s">
        <v>21</v>
      </c>
      <c r="M860" s="16">
        <v>144</v>
      </c>
    </row>
    <row r="861" ht="15.75" customHeight="1" spans="1:13">
      <c r="A861" s="16" t="s">
        <v>1252</v>
      </c>
      <c r="B861" s="16" t="s">
        <v>147</v>
      </c>
      <c r="C861" s="16"/>
      <c r="D861" s="74"/>
      <c r="E861" s="16"/>
      <c r="F861" s="16"/>
      <c r="G861" s="75" t="b">
        <f t="shared" si="0"/>
        <v>0</v>
      </c>
      <c r="H861" s="16" t="b">
        <v>0</v>
      </c>
      <c r="I861" s="16" t="s">
        <v>57</v>
      </c>
      <c r="J861" s="16" t="s">
        <v>58</v>
      </c>
      <c r="K861" s="16" t="s">
        <v>164</v>
      </c>
      <c r="L861" s="16" t="s">
        <v>21</v>
      </c>
      <c r="M861" s="16">
        <v>985</v>
      </c>
    </row>
    <row r="862" ht="15.75" customHeight="1" spans="1:13">
      <c r="A862" s="16" t="s">
        <v>1253</v>
      </c>
      <c r="B862" s="16" t="s">
        <v>147</v>
      </c>
      <c r="C862" s="16"/>
      <c r="D862" s="74"/>
      <c r="E862" s="16"/>
      <c r="F862" s="16"/>
      <c r="G862" s="75" t="b">
        <f t="shared" si="0"/>
        <v>0</v>
      </c>
      <c r="H862" s="16" t="b">
        <v>0</v>
      </c>
      <c r="I862" s="16" t="s">
        <v>144</v>
      </c>
      <c r="J862" s="16" t="s">
        <v>26</v>
      </c>
      <c r="K862" s="16" t="s">
        <v>68</v>
      </c>
      <c r="L862" s="16" t="s">
        <v>21</v>
      </c>
      <c r="M862" s="16">
        <v>938</v>
      </c>
    </row>
    <row r="863" ht="15.75" customHeight="1" spans="1:13">
      <c r="A863" s="16" t="s">
        <v>1254</v>
      </c>
      <c r="B863" s="16" t="s">
        <v>14</v>
      </c>
      <c r="C863" s="16" t="s">
        <v>190</v>
      </c>
      <c r="D863" s="74"/>
      <c r="E863" s="16" t="s">
        <v>572</v>
      </c>
      <c r="F863" s="16"/>
      <c r="G863" s="75" t="b">
        <f t="shared" si="0"/>
        <v>0</v>
      </c>
      <c r="H863" s="16" t="b">
        <v>0</v>
      </c>
      <c r="I863" s="16" t="s">
        <v>225</v>
      </c>
      <c r="J863" s="16" t="s">
        <v>211</v>
      </c>
      <c r="K863" s="16" t="s">
        <v>573</v>
      </c>
      <c r="L863" s="16" t="s">
        <v>21</v>
      </c>
      <c r="M863" s="16">
        <v>478</v>
      </c>
    </row>
    <row r="864" ht="15.75" customHeight="1" spans="1:13">
      <c r="A864" s="16" t="s">
        <v>1255</v>
      </c>
      <c r="B864" s="16" t="s">
        <v>147</v>
      </c>
      <c r="C864" s="16"/>
      <c r="D864" s="74"/>
      <c r="E864" s="16"/>
      <c r="F864" s="16"/>
      <c r="G864" s="75" t="b">
        <f t="shared" si="0"/>
        <v>0</v>
      </c>
      <c r="H864" s="16" t="b">
        <v>0</v>
      </c>
      <c r="I864" s="16" t="s">
        <v>62</v>
      </c>
      <c r="J864" s="16" t="s">
        <v>374</v>
      </c>
      <c r="K864" s="16" t="s">
        <v>375</v>
      </c>
      <c r="L864" s="16" t="s">
        <v>21</v>
      </c>
      <c r="M864" s="16">
        <v>777</v>
      </c>
    </row>
    <row r="865" ht="15.75" customHeight="1" spans="1:13">
      <c r="A865" s="16" t="s">
        <v>1256</v>
      </c>
      <c r="B865" s="16" t="s">
        <v>147</v>
      </c>
      <c r="C865" s="16"/>
      <c r="D865" s="74"/>
      <c r="E865" s="16" t="s">
        <v>1236</v>
      </c>
      <c r="F865" s="16"/>
      <c r="G865" s="75" t="b">
        <f t="shared" si="0"/>
        <v>0</v>
      </c>
      <c r="H865" s="16" t="b">
        <v>0</v>
      </c>
      <c r="I865" s="16" t="s">
        <v>53</v>
      </c>
      <c r="J865" s="16" t="s">
        <v>54</v>
      </c>
      <c r="K865" s="16" t="s">
        <v>75</v>
      </c>
      <c r="L865" s="16" t="s">
        <v>21</v>
      </c>
      <c r="M865" s="16">
        <v>118</v>
      </c>
    </row>
    <row r="866" ht="15.75" customHeight="1" spans="1:13">
      <c r="A866" s="16" t="s">
        <v>1257</v>
      </c>
      <c r="B866" s="16" t="s">
        <v>147</v>
      </c>
      <c r="C866" s="16"/>
      <c r="D866" s="74"/>
      <c r="E866" s="16" t="s">
        <v>1258</v>
      </c>
      <c r="F866" s="16"/>
      <c r="G866" s="75" t="b">
        <f t="shared" si="0"/>
        <v>0</v>
      </c>
      <c r="H866" s="16" t="b">
        <v>0</v>
      </c>
      <c r="I866" s="16" t="s">
        <v>41</v>
      </c>
      <c r="J866" s="16" t="s">
        <v>132</v>
      </c>
      <c r="K866" s="16" t="s">
        <v>295</v>
      </c>
      <c r="L866" s="16" t="s">
        <v>21</v>
      </c>
      <c r="M866" s="16">
        <v>1</v>
      </c>
    </row>
    <row r="867" ht="15.75" customHeight="1" spans="1:13">
      <c r="A867" s="16" t="s">
        <v>1259</v>
      </c>
      <c r="B867" s="16" t="s">
        <v>23</v>
      </c>
      <c r="C867" s="16" t="s">
        <v>15</v>
      </c>
      <c r="D867" s="74" t="s">
        <v>1260</v>
      </c>
      <c r="E867" s="16" t="s">
        <v>1260</v>
      </c>
      <c r="F867" s="16"/>
      <c r="G867" s="75" t="b">
        <f t="shared" si="0"/>
        <v>0</v>
      </c>
      <c r="H867" s="16" t="b">
        <v>0</v>
      </c>
      <c r="I867" s="16" t="s">
        <v>1014</v>
      </c>
      <c r="J867" s="16" t="s">
        <v>83</v>
      </c>
      <c r="K867" s="16" t="s">
        <v>1015</v>
      </c>
      <c r="L867" s="16" t="s">
        <v>21</v>
      </c>
      <c r="M867" s="16">
        <v>1006</v>
      </c>
    </row>
    <row r="868" ht="15.75" customHeight="1" spans="1:13">
      <c r="A868" s="16" t="s">
        <v>1261</v>
      </c>
      <c r="B868" s="16" t="s">
        <v>147</v>
      </c>
      <c r="C868" s="16"/>
      <c r="D868" s="74"/>
      <c r="E868" s="16" t="s">
        <v>1262</v>
      </c>
      <c r="F868" s="16"/>
      <c r="G868" s="75" t="b">
        <f t="shared" si="0"/>
        <v>0</v>
      </c>
      <c r="H868" s="16" t="b">
        <v>0</v>
      </c>
      <c r="I868" s="16" t="s">
        <v>57</v>
      </c>
      <c r="J868" s="16" t="s">
        <v>132</v>
      </c>
      <c r="K868" s="16" t="s">
        <v>133</v>
      </c>
      <c r="L868" s="16" t="s">
        <v>21</v>
      </c>
      <c r="M868" s="16">
        <v>489</v>
      </c>
    </row>
    <row r="869" ht="15.75" customHeight="1" spans="1:13">
      <c r="A869" s="16" t="s">
        <v>1263</v>
      </c>
      <c r="B869" s="16" t="s">
        <v>147</v>
      </c>
      <c r="C869" s="16" t="s">
        <v>15</v>
      </c>
      <c r="D869" s="74"/>
      <c r="E869" s="16"/>
      <c r="F869" s="16"/>
      <c r="G869" s="75" t="b">
        <f t="shared" si="0"/>
        <v>0</v>
      </c>
      <c r="H869" s="16" t="b">
        <v>0</v>
      </c>
      <c r="I869" s="16" t="s">
        <v>276</v>
      </c>
      <c r="J869" s="16" t="s">
        <v>63</v>
      </c>
      <c r="K869" s="16" t="s">
        <v>169</v>
      </c>
      <c r="L869" s="16" t="s">
        <v>21</v>
      </c>
      <c r="M869" s="16">
        <v>379</v>
      </c>
    </row>
    <row r="870" ht="15.75" customHeight="1" spans="1:13">
      <c r="A870" s="16" t="s">
        <v>1264</v>
      </c>
      <c r="B870" s="16" t="s">
        <v>14</v>
      </c>
      <c r="C870" s="16"/>
      <c r="D870" s="74"/>
      <c r="E870" s="16" t="s">
        <v>1265</v>
      </c>
      <c r="F870" s="16"/>
      <c r="G870" s="75" t="b">
        <f t="shared" si="0"/>
        <v>0</v>
      </c>
      <c r="H870" s="16" t="b">
        <v>0</v>
      </c>
      <c r="I870" s="16" t="s">
        <v>53</v>
      </c>
      <c r="J870" s="16" t="s">
        <v>54</v>
      </c>
      <c r="K870" s="16" t="s">
        <v>55</v>
      </c>
      <c r="L870" s="16" t="s">
        <v>21</v>
      </c>
      <c r="M870" s="16">
        <v>374</v>
      </c>
    </row>
    <row r="871" ht="15.75" customHeight="1" spans="1:13">
      <c r="A871" s="16" t="s">
        <v>1266</v>
      </c>
      <c r="B871" s="16" t="s">
        <v>147</v>
      </c>
      <c r="C871" s="16"/>
      <c r="D871" s="74"/>
      <c r="E871" s="16"/>
      <c r="F871" s="16"/>
      <c r="G871" s="75" t="b">
        <f t="shared" si="0"/>
        <v>0</v>
      </c>
      <c r="H871" s="16" t="b">
        <v>0</v>
      </c>
      <c r="I871" s="16" t="s">
        <v>144</v>
      </c>
      <c r="J871" s="16" t="s">
        <v>54</v>
      </c>
      <c r="K871" s="16" t="s">
        <v>566</v>
      </c>
      <c r="L871" s="16" t="s">
        <v>21</v>
      </c>
      <c r="M871" s="16">
        <v>165</v>
      </c>
    </row>
    <row r="872" ht="15.75" customHeight="1" spans="1:13">
      <c r="A872" s="16" t="s">
        <v>1267</v>
      </c>
      <c r="B872" s="16" t="s">
        <v>147</v>
      </c>
      <c r="C872" s="16"/>
      <c r="D872" s="74"/>
      <c r="E872" s="16"/>
      <c r="F872" s="16"/>
      <c r="G872" s="75" t="b">
        <f t="shared" si="0"/>
        <v>0</v>
      </c>
      <c r="H872" s="16" t="b">
        <v>0</v>
      </c>
      <c r="I872" s="16" t="s">
        <v>588</v>
      </c>
      <c r="J872" s="16" t="s">
        <v>374</v>
      </c>
      <c r="K872" s="16" t="s">
        <v>375</v>
      </c>
      <c r="L872" s="16" t="s">
        <v>21</v>
      </c>
      <c r="M872" s="16">
        <v>791</v>
      </c>
    </row>
    <row r="873" ht="15.75" customHeight="1" spans="1:13">
      <c r="A873" s="16" t="s">
        <v>1268</v>
      </c>
      <c r="B873" s="16" t="s">
        <v>147</v>
      </c>
      <c r="C873" s="16" t="s">
        <v>15</v>
      </c>
      <c r="D873" s="74"/>
      <c r="E873" s="16"/>
      <c r="F873" s="16"/>
      <c r="G873" s="75" t="b">
        <f t="shared" si="0"/>
        <v>0</v>
      </c>
      <c r="H873" s="16" t="b">
        <v>0</v>
      </c>
      <c r="I873" s="16" t="s">
        <v>1008</v>
      </c>
      <c r="J873" s="16" t="s">
        <v>19</v>
      </c>
      <c r="K873" s="16" t="s">
        <v>20</v>
      </c>
      <c r="L873" s="16" t="s">
        <v>21</v>
      </c>
      <c r="M873" s="16">
        <v>852</v>
      </c>
    </row>
    <row r="874" ht="15.75" customHeight="1" spans="1:13">
      <c r="A874" s="16" t="s">
        <v>1269</v>
      </c>
      <c r="B874" s="16" t="s">
        <v>147</v>
      </c>
      <c r="C874" s="16" t="s">
        <v>15</v>
      </c>
      <c r="D874" s="74"/>
      <c r="E874" s="16"/>
      <c r="F874" s="16"/>
      <c r="G874" s="75" t="b">
        <f t="shared" si="0"/>
        <v>0</v>
      </c>
      <c r="H874" s="16" t="b">
        <v>0</v>
      </c>
      <c r="I874" s="16" t="s">
        <v>29</v>
      </c>
      <c r="J874" s="16" t="s">
        <v>30</v>
      </c>
      <c r="K874" s="16" t="s">
        <v>378</v>
      </c>
      <c r="L874" s="16" t="s">
        <v>21</v>
      </c>
      <c r="M874" s="16">
        <v>881</v>
      </c>
    </row>
    <row r="875" ht="15.75" customHeight="1" spans="1:13">
      <c r="A875" s="16" t="s">
        <v>1270</v>
      </c>
      <c r="B875" s="16" t="s">
        <v>147</v>
      </c>
      <c r="C875" s="16"/>
      <c r="D875" s="74"/>
      <c r="E875" s="16" t="s">
        <v>1271</v>
      </c>
      <c r="F875" s="16"/>
      <c r="G875" s="75" t="b">
        <f t="shared" si="0"/>
        <v>0</v>
      </c>
      <c r="H875" s="16" t="b">
        <v>0</v>
      </c>
      <c r="I875" s="16" t="s">
        <v>141</v>
      </c>
      <c r="J875" s="16" t="s">
        <v>126</v>
      </c>
      <c r="K875" s="16" t="s">
        <v>142</v>
      </c>
      <c r="L875" s="16" t="s">
        <v>21</v>
      </c>
      <c r="M875" s="16">
        <v>442</v>
      </c>
    </row>
    <row r="876" ht="15.75" customHeight="1" spans="1:13">
      <c r="A876" s="16" t="s">
        <v>1272</v>
      </c>
      <c r="B876" s="16" t="s">
        <v>14</v>
      </c>
      <c r="C876" s="16" t="s">
        <v>15</v>
      </c>
      <c r="D876" s="74"/>
      <c r="E876" s="16" t="s">
        <v>1273</v>
      </c>
      <c r="F876" s="16"/>
      <c r="G876" s="75" t="b">
        <f t="shared" si="0"/>
        <v>0</v>
      </c>
      <c r="H876" s="16" t="b">
        <v>0</v>
      </c>
      <c r="I876" s="16" t="s">
        <v>870</v>
      </c>
      <c r="J876" s="16" t="s">
        <v>211</v>
      </c>
      <c r="K876" s="16" t="s">
        <v>871</v>
      </c>
      <c r="L876" s="16" t="s">
        <v>21</v>
      </c>
      <c r="M876" s="16">
        <v>408</v>
      </c>
    </row>
    <row r="877" ht="15.75" customHeight="1" spans="1:13">
      <c r="A877" s="16" t="s">
        <v>1274</v>
      </c>
      <c r="B877" s="16" t="s">
        <v>147</v>
      </c>
      <c r="C877" s="16" t="s">
        <v>15</v>
      </c>
      <c r="D877" s="74"/>
      <c r="E877" s="16"/>
      <c r="F877" s="16"/>
      <c r="G877" s="75" t="b">
        <f t="shared" si="0"/>
        <v>0</v>
      </c>
      <c r="H877" s="16" t="b">
        <v>0</v>
      </c>
      <c r="I877" s="16" t="s">
        <v>358</v>
      </c>
      <c r="J877" s="16" t="s">
        <v>63</v>
      </c>
      <c r="K877" s="16" t="s">
        <v>169</v>
      </c>
      <c r="L877" s="16" t="s">
        <v>21</v>
      </c>
      <c r="M877" s="16">
        <v>199</v>
      </c>
    </row>
    <row r="878" ht="15.75" customHeight="1" spans="1:13">
      <c r="A878" s="16" t="s">
        <v>1275</v>
      </c>
      <c r="B878" s="16" t="s">
        <v>14</v>
      </c>
      <c r="C878" s="16" t="s">
        <v>15</v>
      </c>
      <c r="D878" s="74"/>
      <c r="E878" s="16" t="s">
        <v>1276</v>
      </c>
      <c r="F878" s="16"/>
      <c r="G878" s="75" t="b">
        <f t="shared" si="0"/>
        <v>0</v>
      </c>
      <c r="H878" s="16" t="b">
        <v>0</v>
      </c>
      <c r="I878" s="16" t="s">
        <v>207</v>
      </c>
      <c r="J878" s="16" t="s">
        <v>126</v>
      </c>
      <c r="K878" s="16" t="s">
        <v>142</v>
      </c>
      <c r="L878" s="16" t="s">
        <v>21</v>
      </c>
      <c r="M878" s="16">
        <v>356</v>
      </c>
    </row>
    <row r="879" ht="15.75" customHeight="1" spans="1:13">
      <c r="A879" s="16" t="s">
        <v>1277</v>
      </c>
      <c r="B879" s="16" t="s">
        <v>147</v>
      </c>
      <c r="C879" s="16"/>
      <c r="D879" s="74"/>
      <c r="E879" s="16"/>
      <c r="F879" s="16"/>
      <c r="G879" s="75" t="b">
        <f t="shared" si="0"/>
        <v>0</v>
      </c>
      <c r="H879" s="16" t="b">
        <v>0</v>
      </c>
      <c r="I879" s="16" t="s">
        <v>41</v>
      </c>
      <c r="J879" s="16" t="s">
        <v>132</v>
      </c>
      <c r="K879" s="16" t="s">
        <v>295</v>
      </c>
      <c r="L879" s="16" t="s">
        <v>21</v>
      </c>
      <c r="M879" s="16">
        <v>300</v>
      </c>
    </row>
    <row r="880" ht="15.75" customHeight="1" spans="1:13">
      <c r="A880" s="16" t="s">
        <v>1278</v>
      </c>
      <c r="B880" s="16" t="s">
        <v>147</v>
      </c>
      <c r="C880" s="16"/>
      <c r="D880" s="74"/>
      <c r="E880" s="16"/>
      <c r="F880" s="16"/>
      <c r="G880" s="75" t="b">
        <f t="shared" si="0"/>
        <v>0</v>
      </c>
      <c r="H880" s="16" t="b">
        <v>0</v>
      </c>
      <c r="I880" s="16" t="s">
        <v>53</v>
      </c>
      <c r="J880" s="16" t="s">
        <v>54</v>
      </c>
      <c r="K880" s="16" t="s">
        <v>55</v>
      </c>
      <c r="L880" s="16" t="s">
        <v>21</v>
      </c>
      <c r="M880" s="16">
        <v>237</v>
      </c>
    </row>
    <row r="881" ht="15.75" customHeight="1" spans="1:13">
      <c r="A881" s="16" t="s">
        <v>1279</v>
      </c>
      <c r="B881" s="16" t="s">
        <v>23</v>
      </c>
      <c r="C881" s="16" t="s">
        <v>183</v>
      </c>
      <c r="D881" s="74" t="s">
        <v>1129</v>
      </c>
      <c r="E881" s="16" t="s">
        <v>1280</v>
      </c>
      <c r="F881" s="16"/>
      <c r="G881" s="75" t="b">
        <f t="shared" si="0"/>
        <v>0</v>
      </c>
      <c r="H881" s="16" t="b">
        <v>0</v>
      </c>
      <c r="I881" s="16" t="s">
        <v>41</v>
      </c>
      <c r="J881" s="16" t="s">
        <v>30</v>
      </c>
      <c r="K881" s="16" t="s">
        <v>31</v>
      </c>
      <c r="L881" s="16" t="s">
        <v>21</v>
      </c>
      <c r="M881" s="16">
        <v>977</v>
      </c>
    </row>
    <row r="882" ht="15.75" customHeight="1" spans="1:13">
      <c r="A882" s="16" t="s">
        <v>1281</v>
      </c>
      <c r="B882" s="16" t="s">
        <v>147</v>
      </c>
      <c r="C882" s="16"/>
      <c r="D882" s="74"/>
      <c r="E882" s="16"/>
      <c r="F882" s="16"/>
      <c r="G882" s="75" t="b">
        <f t="shared" si="0"/>
        <v>0</v>
      </c>
      <c r="H882" s="16" t="b">
        <v>0</v>
      </c>
      <c r="I882" s="16" t="s">
        <v>25</v>
      </c>
      <c r="J882" s="16" t="s">
        <v>26</v>
      </c>
      <c r="K882" s="16" t="s">
        <v>159</v>
      </c>
      <c r="L882" s="16" t="s">
        <v>21</v>
      </c>
      <c r="M882" s="16">
        <v>601</v>
      </c>
    </row>
    <row r="883" ht="15.75" customHeight="1" spans="1:13">
      <c r="A883" s="16" t="s">
        <v>1282</v>
      </c>
      <c r="B883" s="16" t="s">
        <v>14</v>
      </c>
      <c r="C883" s="16" t="s">
        <v>15</v>
      </c>
      <c r="D883" s="74"/>
      <c r="E883" s="16" t="s">
        <v>1283</v>
      </c>
      <c r="F883" s="16"/>
      <c r="G883" s="75" t="b">
        <f t="shared" si="0"/>
        <v>0</v>
      </c>
      <c r="H883" s="16" t="b">
        <v>0</v>
      </c>
      <c r="I883" s="16" t="s">
        <v>207</v>
      </c>
      <c r="J883" s="16" t="s">
        <v>126</v>
      </c>
      <c r="K883" s="16" t="s">
        <v>127</v>
      </c>
      <c r="L883" s="16" t="s">
        <v>21</v>
      </c>
      <c r="M883" s="16">
        <v>890</v>
      </c>
    </row>
    <row r="884" ht="15.75" customHeight="1" spans="1:13">
      <c r="A884" s="16" t="s">
        <v>1284</v>
      </c>
      <c r="B884" s="16" t="s">
        <v>147</v>
      </c>
      <c r="C884" s="16" t="s">
        <v>15</v>
      </c>
      <c r="D884" s="74"/>
      <c r="E884" s="16" t="s">
        <v>1208</v>
      </c>
      <c r="F884" s="16"/>
      <c r="G884" s="75" t="b">
        <f t="shared" si="0"/>
        <v>0</v>
      </c>
      <c r="H884" s="16" t="b">
        <v>0</v>
      </c>
      <c r="I884" s="16" t="s">
        <v>144</v>
      </c>
      <c r="J884" s="16" t="s">
        <v>30</v>
      </c>
      <c r="K884" s="16" t="s">
        <v>31</v>
      </c>
      <c r="L884" s="16" t="s">
        <v>21</v>
      </c>
      <c r="M884" s="16">
        <v>10</v>
      </c>
    </row>
    <row r="885" ht="15.75" customHeight="1" spans="1:13">
      <c r="A885" s="16" t="s">
        <v>1285</v>
      </c>
      <c r="B885" s="16" t="s">
        <v>147</v>
      </c>
      <c r="C885" s="16"/>
      <c r="D885" s="74"/>
      <c r="E885" s="16" t="s">
        <v>1286</v>
      </c>
      <c r="F885" s="16"/>
      <c r="G885" s="75" t="b">
        <f t="shared" si="0"/>
        <v>0</v>
      </c>
      <c r="H885" s="16" t="b">
        <v>0</v>
      </c>
      <c r="I885" s="16" t="s">
        <v>141</v>
      </c>
      <c r="J885" s="16" t="s">
        <v>54</v>
      </c>
      <c r="K885" s="16" t="s">
        <v>1200</v>
      </c>
      <c r="L885" s="16" t="s">
        <v>21</v>
      </c>
      <c r="M885" s="16">
        <v>73</v>
      </c>
    </row>
    <row r="886" ht="15.75" customHeight="1" spans="1:13">
      <c r="A886" s="16" t="s">
        <v>1287</v>
      </c>
      <c r="B886" s="16" t="s">
        <v>14</v>
      </c>
      <c r="C886" s="16" t="s">
        <v>15</v>
      </c>
      <c r="D886" s="74"/>
      <c r="E886" s="16" t="s">
        <v>1288</v>
      </c>
      <c r="F886" s="16"/>
      <c r="G886" s="75" t="b">
        <f t="shared" si="0"/>
        <v>0</v>
      </c>
      <c r="H886" s="16" t="b">
        <v>0</v>
      </c>
      <c r="I886" s="16" t="s">
        <v>358</v>
      </c>
      <c r="J886" s="16" t="s">
        <v>30</v>
      </c>
      <c r="K886" s="16" t="s">
        <v>50</v>
      </c>
      <c r="L886" s="16" t="s">
        <v>39</v>
      </c>
      <c r="M886" s="16">
        <v>197</v>
      </c>
    </row>
    <row r="887" ht="15.75" customHeight="1" spans="1:13">
      <c r="A887" s="80" t="s">
        <v>1289</v>
      </c>
      <c r="B887" s="16" t="s">
        <v>14</v>
      </c>
      <c r="C887" s="16" t="s">
        <v>15</v>
      </c>
      <c r="D887" s="74" t="s">
        <v>1290</v>
      </c>
      <c r="E887" s="16" t="s">
        <v>1291</v>
      </c>
      <c r="F887" s="16"/>
      <c r="G887" s="75" t="b">
        <f t="shared" si="0"/>
        <v>0</v>
      </c>
      <c r="H887" s="16" t="b">
        <v>0</v>
      </c>
      <c r="I887" s="16" t="s">
        <v>141</v>
      </c>
      <c r="J887" s="16" t="s">
        <v>126</v>
      </c>
      <c r="K887" s="16" t="s">
        <v>1292</v>
      </c>
      <c r="L887" s="16" t="s">
        <v>21</v>
      </c>
      <c r="M887" s="16">
        <v>398</v>
      </c>
    </row>
    <row r="888" ht="15.75" customHeight="1" spans="1:13">
      <c r="A888" s="16" t="s">
        <v>1293</v>
      </c>
      <c r="B888" s="16" t="s">
        <v>147</v>
      </c>
      <c r="C888" s="16" t="s">
        <v>15</v>
      </c>
      <c r="D888" s="74"/>
      <c r="E888" s="16"/>
      <c r="F888" s="16"/>
      <c r="G888" s="75" t="b">
        <f t="shared" si="0"/>
        <v>0</v>
      </c>
      <c r="H888" s="16" t="b">
        <v>0</v>
      </c>
      <c r="I888" s="16" t="s">
        <v>144</v>
      </c>
      <c r="J888" s="16" t="s">
        <v>30</v>
      </c>
      <c r="K888" s="16" t="s">
        <v>50</v>
      </c>
      <c r="L888" s="16" t="s">
        <v>21</v>
      </c>
      <c r="M888" s="16">
        <v>133</v>
      </c>
    </row>
    <row r="889" ht="15.75" customHeight="1" spans="1:13">
      <c r="A889" s="16" t="s">
        <v>1294</v>
      </c>
      <c r="B889" s="16" t="s">
        <v>147</v>
      </c>
      <c r="C889" s="16" t="s">
        <v>15</v>
      </c>
      <c r="D889" s="74"/>
      <c r="E889" s="16"/>
      <c r="F889" s="16"/>
      <c r="G889" s="75" t="b">
        <f t="shared" si="0"/>
        <v>0</v>
      </c>
      <c r="H889" s="16" t="b">
        <v>0</v>
      </c>
      <c r="I889" s="16" t="s">
        <v>358</v>
      </c>
      <c r="J889" s="16" t="s">
        <v>63</v>
      </c>
      <c r="K889" s="16" t="s">
        <v>169</v>
      </c>
      <c r="L889" s="16" t="s">
        <v>21</v>
      </c>
      <c r="M889" s="16">
        <v>174</v>
      </c>
    </row>
    <row r="890" ht="15.75" customHeight="1" spans="1:13">
      <c r="A890" s="16" t="s">
        <v>1295</v>
      </c>
      <c r="B890" s="16" t="s">
        <v>147</v>
      </c>
      <c r="C890" s="16"/>
      <c r="D890" s="74"/>
      <c r="E890" s="16"/>
      <c r="F890" s="16"/>
      <c r="G890" s="75" t="b">
        <f t="shared" si="0"/>
        <v>0</v>
      </c>
      <c r="H890" s="16" t="b">
        <v>0</v>
      </c>
      <c r="I890" s="16" t="s">
        <v>732</v>
      </c>
      <c r="J890" s="16" t="s">
        <v>54</v>
      </c>
      <c r="K890" s="16" t="s">
        <v>733</v>
      </c>
      <c r="L890" s="16" t="s">
        <v>21</v>
      </c>
      <c r="M890" s="16">
        <v>1040</v>
      </c>
    </row>
    <row r="891" ht="15.75" customHeight="1" spans="1:13">
      <c r="A891" s="16" t="s">
        <v>1296</v>
      </c>
      <c r="B891" s="16" t="s">
        <v>830</v>
      </c>
      <c r="C891" s="16" t="s">
        <v>15</v>
      </c>
      <c r="D891" s="74"/>
      <c r="E891" s="16" t="s">
        <v>1297</v>
      </c>
      <c r="F891" s="16"/>
      <c r="G891" s="75" t="b">
        <f t="shared" si="0"/>
        <v>0</v>
      </c>
      <c r="H891" s="16" t="b">
        <v>0</v>
      </c>
      <c r="I891" s="16" t="s">
        <v>141</v>
      </c>
      <c r="J891" s="16" t="s">
        <v>63</v>
      </c>
      <c r="K891" s="16" t="s">
        <v>288</v>
      </c>
      <c r="L891" s="16" t="s">
        <v>21</v>
      </c>
      <c r="M891" s="16">
        <v>409</v>
      </c>
    </row>
    <row r="892" ht="15.75" customHeight="1" spans="1:13">
      <c r="A892" s="75" t="s">
        <v>1298</v>
      </c>
      <c r="B892" s="75" t="s">
        <v>147</v>
      </c>
      <c r="C892" s="75" t="s">
        <v>15</v>
      </c>
      <c r="D892" s="79"/>
      <c r="E892" s="75" t="s">
        <v>1299</v>
      </c>
      <c r="F892" s="75"/>
      <c r="G892" s="75" t="b">
        <f t="shared" si="0"/>
        <v>0</v>
      </c>
      <c r="H892" s="16" t="b">
        <v>1</v>
      </c>
      <c r="I892" s="75" t="s">
        <v>186</v>
      </c>
      <c r="J892" s="75" t="s">
        <v>187</v>
      </c>
      <c r="K892" s="75" t="s">
        <v>227</v>
      </c>
      <c r="L892" s="75" t="s">
        <v>21</v>
      </c>
      <c r="M892" s="75">
        <v>954</v>
      </c>
    </row>
    <row r="893" ht="15.75" customHeight="1" spans="1:13">
      <c r="A893" s="16" t="s">
        <v>1300</v>
      </c>
      <c r="B893" s="16" t="s">
        <v>147</v>
      </c>
      <c r="C893" s="16"/>
      <c r="D893" s="74"/>
      <c r="E893" s="16"/>
      <c r="F893" s="16"/>
      <c r="G893" s="75" t="b">
        <f t="shared" si="0"/>
        <v>0</v>
      </c>
      <c r="H893" s="16" t="b">
        <v>0</v>
      </c>
      <c r="I893" s="16" t="s">
        <v>173</v>
      </c>
      <c r="J893" s="16" t="s">
        <v>374</v>
      </c>
      <c r="K893" s="16" t="s">
        <v>375</v>
      </c>
      <c r="L893" s="16" t="s">
        <v>21</v>
      </c>
      <c r="M893" s="16">
        <v>776</v>
      </c>
    </row>
    <row r="894" ht="15.75" customHeight="1" spans="1:13">
      <c r="A894" s="16" t="s">
        <v>1301</v>
      </c>
      <c r="B894" s="16" t="s">
        <v>147</v>
      </c>
      <c r="C894" s="16"/>
      <c r="D894" s="74"/>
      <c r="E894" s="16"/>
      <c r="F894" s="16"/>
      <c r="G894" s="75" t="b">
        <f t="shared" si="0"/>
        <v>0</v>
      </c>
      <c r="H894" s="16" t="b">
        <v>0</v>
      </c>
      <c r="I894" s="16" t="s">
        <v>18</v>
      </c>
      <c r="J894" s="16" t="s">
        <v>374</v>
      </c>
      <c r="K894" s="16" t="s">
        <v>375</v>
      </c>
      <c r="L894" s="16" t="s">
        <v>21</v>
      </c>
      <c r="M894" s="16">
        <v>792</v>
      </c>
    </row>
    <row r="895" ht="15.75" customHeight="1" spans="1:13">
      <c r="A895" s="16" t="s">
        <v>1302</v>
      </c>
      <c r="B895" s="16" t="s">
        <v>147</v>
      </c>
      <c r="C895" s="16" t="s">
        <v>15</v>
      </c>
      <c r="D895" s="74"/>
      <c r="E895" s="16" t="s">
        <v>1208</v>
      </c>
      <c r="F895" s="16"/>
      <c r="G895" s="75" t="b">
        <f t="shared" si="0"/>
        <v>0</v>
      </c>
      <c r="H895" s="16" t="b">
        <v>0</v>
      </c>
      <c r="I895" s="16" t="s">
        <v>144</v>
      </c>
      <c r="J895" s="16" t="s">
        <v>30</v>
      </c>
      <c r="K895" s="16" t="s">
        <v>31</v>
      </c>
      <c r="L895" s="16" t="s">
        <v>21</v>
      </c>
      <c r="M895" s="16">
        <v>940</v>
      </c>
    </row>
    <row r="896" ht="15.75" customHeight="1" spans="1:13">
      <c r="A896" s="16" t="s">
        <v>1303</v>
      </c>
      <c r="B896" s="16" t="s">
        <v>147</v>
      </c>
      <c r="C896" s="16"/>
      <c r="D896" s="74"/>
      <c r="E896" s="16" t="s">
        <v>1208</v>
      </c>
      <c r="F896" s="16"/>
      <c r="G896" s="75" t="b">
        <f t="shared" si="0"/>
        <v>0</v>
      </c>
      <c r="H896" s="16" t="b">
        <v>0</v>
      </c>
      <c r="I896" s="16" t="s">
        <v>957</v>
      </c>
      <c r="J896" s="16" t="s">
        <v>30</v>
      </c>
      <c r="K896" s="16" t="s">
        <v>31</v>
      </c>
      <c r="L896" s="16" t="s">
        <v>21</v>
      </c>
      <c r="M896" s="16">
        <v>35</v>
      </c>
    </row>
    <row r="897" ht="15.75" customHeight="1" spans="1:13">
      <c r="A897" s="16" t="s">
        <v>1304</v>
      </c>
      <c r="B897" s="16" t="s">
        <v>14</v>
      </c>
      <c r="C897" s="16" t="s">
        <v>15</v>
      </c>
      <c r="D897" s="74"/>
      <c r="E897" s="16" t="s">
        <v>1305</v>
      </c>
      <c r="F897" s="16"/>
      <c r="G897" s="75" t="b">
        <f t="shared" si="0"/>
        <v>0</v>
      </c>
      <c r="H897" s="16" t="b">
        <v>0</v>
      </c>
      <c r="I897" s="16" t="s">
        <v>141</v>
      </c>
      <c r="J897" s="16" t="s">
        <v>126</v>
      </c>
      <c r="K897" s="16" t="s">
        <v>142</v>
      </c>
      <c r="L897" s="16" t="s">
        <v>21</v>
      </c>
      <c r="M897" s="16">
        <v>289</v>
      </c>
    </row>
    <row r="898" ht="15.75" customHeight="1" spans="1:13">
      <c r="A898" s="16" t="s">
        <v>1306</v>
      </c>
      <c r="B898" s="16" t="s">
        <v>147</v>
      </c>
      <c r="C898" s="16"/>
      <c r="D898" s="74"/>
      <c r="E898" s="16" t="s">
        <v>1307</v>
      </c>
      <c r="F898" s="16"/>
      <c r="G898" s="75" t="b">
        <f t="shared" si="0"/>
        <v>0</v>
      </c>
      <c r="H898" s="16" t="b">
        <v>0</v>
      </c>
      <c r="I898" s="16" t="s">
        <v>53</v>
      </c>
      <c r="J898" s="16" t="s">
        <v>54</v>
      </c>
      <c r="K898" s="16" t="s">
        <v>566</v>
      </c>
      <c r="L898" s="16" t="s">
        <v>21</v>
      </c>
      <c r="M898" s="16">
        <v>7</v>
      </c>
    </row>
    <row r="899" ht="15.75" customHeight="1" spans="1:13">
      <c r="A899" s="16" t="s">
        <v>1308</v>
      </c>
      <c r="B899" s="16" t="s">
        <v>147</v>
      </c>
      <c r="C899" s="16" t="s">
        <v>15</v>
      </c>
      <c r="D899" s="74"/>
      <c r="E899" s="16"/>
      <c r="F899" s="16"/>
      <c r="G899" s="75" t="b">
        <f t="shared" si="0"/>
        <v>0</v>
      </c>
      <c r="H899" s="16" t="b">
        <v>0</v>
      </c>
      <c r="I899" s="16" t="s">
        <v>144</v>
      </c>
      <c r="J899" s="16" t="s">
        <v>30</v>
      </c>
      <c r="K899" s="16" t="s">
        <v>31</v>
      </c>
      <c r="L899" s="16" t="s">
        <v>21</v>
      </c>
      <c r="M899" s="16">
        <v>61</v>
      </c>
    </row>
    <row r="900" ht="15.75" customHeight="1" spans="1:13">
      <c r="A900" s="16" t="s">
        <v>1309</v>
      </c>
      <c r="B900" s="16" t="s">
        <v>147</v>
      </c>
      <c r="C900" s="16"/>
      <c r="D900" s="74"/>
      <c r="E900" s="16"/>
      <c r="F900" s="16"/>
      <c r="G900" s="75" t="b">
        <f t="shared" si="0"/>
        <v>0</v>
      </c>
      <c r="H900" s="16" t="b">
        <v>0</v>
      </c>
      <c r="I900" s="16" t="s">
        <v>207</v>
      </c>
      <c r="J900" s="16" t="s">
        <v>126</v>
      </c>
      <c r="K900" s="16" t="s">
        <v>142</v>
      </c>
      <c r="L900" s="16" t="s">
        <v>21</v>
      </c>
      <c r="M900" s="16">
        <v>685</v>
      </c>
    </row>
    <row r="901" ht="15.75" customHeight="1" spans="1:13">
      <c r="A901" s="16" t="s">
        <v>1310</v>
      </c>
      <c r="B901" s="16" t="s">
        <v>147</v>
      </c>
      <c r="C901" s="16" t="s">
        <v>15</v>
      </c>
      <c r="D901" s="74"/>
      <c r="E901" s="16"/>
      <c r="F901" s="16"/>
      <c r="G901" s="75" t="b">
        <f t="shared" si="0"/>
        <v>0</v>
      </c>
      <c r="H901" s="16" t="b">
        <v>0</v>
      </c>
      <c r="I901" s="16" t="s">
        <v>141</v>
      </c>
      <c r="J901" s="16" t="s">
        <v>126</v>
      </c>
      <c r="K901" s="16" t="s">
        <v>142</v>
      </c>
      <c r="L901" s="16" t="s">
        <v>21</v>
      </c>
      <c r="M901" s="16">
        <v>134</v>
      </c>
    </row>
    <row r="902" ht="15.75" customHeight="1" spans="1:13">
      <c r="A902" s="16" t="s">
        <v>1311</v>
      </c>
      <c r="B902" s="16" t="s">
        <v>147</v>
      </c>
      <c r="C902" s="16" t="s">
        <v>15</v>
      </c>
      <c r="D902" s="74"/>
      <c r="E902" s="16"/>
      <c r="F902" s="16"/>
      <c r="G902" s="75" t="b">
        <f t="shared" si="0"/>
        <v>0</v>
      </c>
      <c r="H902" s="16" t="b">
        <v>0</v>
      </c>
      <c r="I902" s="16" t="s">
        <v>319</v>
      </c>
      <c r="J902" s="16" t="s">
        <v>126</v>
      </c>
      <c r="K902" s="16" t="s">
        <v>127</v>
      </c>
      <c r="L902" s="16" t="s">
        <v>21</v>
      </c>
      <c r="M902" s="16">
        <v>76</v>
      </c>
    </row>
    <row r="903" ht="15.75" customHeight="1" spans="1:13">
      <c r="A903" s="16" t="s">
        <v>1312</v>
      </c>
      <c r="B903" s="16" t="s">
        <v>147</v>
      </c>
      <c r="C903" s="16" t="s">
        <v>15</v>
      </c>
      <c r="D903" s="74"/>
      <c r="E903" s="16" t="s">
        <v>1313</v>
      </c>
      <c r="F903" s="16"/>
      <c r="G903" s="75" t="b">
        <f t="shared" si="0"/>
        <v>0</v>
      </c>
      <c r="H903" s="16" t="b">
        <v>0</v>
      </c>
      <c r="I903" s="16" t="s">
        <v>840</v>
      </c>
      <c r="J903" s="16" t="s">
        <v>63</v>
      </c>
      <c r="K903" s="16" t="s">
        <v>1157</v>
      </c>
      <c r="L903" s="16" t="s">
        <v>21</v>
      </c>
      <c r="M903" s="16">
        <v>287</v>
      </c>
    </row>
    <row r="904" ht="15.75" customHeight="1" spans="1:13">
      <c r="A904" s="16" t="s">
        <v>1314</v>
      </c>
      <c r="B904" s="16" t="s">
        <v>147</v>
      </c>
      <c r="C904" s="16"/>
      <c r="D904" s="74"/>
      <c r="E904" s="16" t="s">
        <v>1315</v>
      </c>
      <c r="F904" s="16"/>
      <c r="G904" s="75" t="b">
        <f t="shared" si="0"/>
        <v>0</v>
      </c>
      <c r="H904" s="16" t="b">
        <v>0</v>
      </c>
      <c r="I904" s="16" t="s">
        <v>41</v>
      </c>
      <c r="J904" s="16" t="s">
        <v>132</v>
      </c>
      <c r="K904" s="16" t="s">
        <v>295</v>
      </c>
      <c r="L904" s="16" t="s">
        <v>21</v>
      </c>
      <c r="M904" s="16">
        <v>111</v>
      </c>
    </row>
    <row r="905" ht="15.75" customHeight="1" spans="1:13">
      <c r="A905" s="16" t="s">
        <v>1316</v>
      </c>
      <c r="B905" s="16" t="s">
        <v>147</v>
      </c>
      <c r="C905" s="16"/>
      <c r="D905" s="74"/>
      <c r="E905" s="16"/>
      <c r="F905" s="16"/>
      <c r="G905" s="75" t="b">
        <f t="shared" si="0"/>
        <v>0</v>
      </c>
      <c r="H905" s="16" t="b">
        <v>0</v>
      </c>
      <c r="I905" s="16" t="s">
        <v>144</v>
      </c>
      <c r="J905" s="16" t="s">
        <v>54</v>
      </c>
      <c r="K905" s="16" t="s">
        <v>566</v>
      </c>
      <c r="L905" s="16" t="s">
        <v>21</v>
      </c>
      <c r="M905" s="16">
        <v>228</v>
      </c>
    </row>
    <row r="906" ht="15.75" customHeight="1" spans="1:13">
      <c r="A906" s="16" t="s">
        <v>1317</v>
      </c>
      <c r="B906" s="16" t="s">
        <v>147</v>
      </c>
      <c r="C906" s="16" t="s">
        <v>15</v>
      </c>
      <c r="D906" s="74"/>
      <c r="E906" s="16"/>
      <c r="F906" s="16"/>
      <c r="G906" s="75" t="b">
        <f t="shared" si="0"/>
        <v>0</v>
      </c>
      <c r="H906" s="16" t="b">
        <v>0</v>
      </c>
      <c r="I906" s="16" t="s">
        <v>319</v>
      </c>
      <c r="J906" s="16" t="s">
        <v>126</v>
      </c>
      <c r="K906" s="16" t="s">
        <v>127</v>
      </c>
      <c r="L906" s="16" t="s">
        <v>21</v>
      </c>
      <c r="M906" s="16">
        <v>857</v>
      </c>
    </row>
    <row r="907" ht="15.75" customHeight="1" spans="1:13">
      <c r="A907" s="16" t="s">
        <v>1318</v>
      </c>
      <c r="B907" s="16" t="s">
        <v>147</v>
      </c>
      <c r="C907" s="16" t="s">
        <v>15</v>
      </c>
      <c r="D907" s="74"/>
      <c r="E907" s="16"/>
      <c r="F907" s="16"/>
      <c r="G907" s="75" t="b">
        <f t="shared" si="0"/>
        <v>0</v>
      </c>
      <c r="H907" s="16" t="b">
        <v>0</v>
      </c>
      <c r="I907" s="16" t="s">
        <v>144</v>
      </c>
      <c r="J907" s="16" t="s">
        <v>30</v>
      </c>
      <c r="K907" s="16" t="s">
        <v>31</v>
      </c>
      <c r="L907" s="16" t="s">
        <v>21</v>
      </c>
      <c r="M907" s="16">
        <v>1022</v>
      </c>
    </row>
    <row r="908" ht="15.75" customHeight="1" spans="1:13">
      <c r="A908" s="16" t="s">
        <v>1319</v>
      </c>
      <c r="B908" s="16" t="s">
        <v>14</v>
      </c>
      <c r="C908" s="16" t="s">
        <v>15</v>
      </c>
      <c r="D908" s="74"/>
      <c r="E908" s="16" t="s">
        <v>1320</v>
      </c>
      <c r="F908" s="16"/>
      <c r="G908" s="75" t="b">
        <f t="shared" si="0"/>
        <v>0</v>
      </c>
      <c r="H908" s="16" t="b">
        <v>0</v>
      </c>
      <c r="I908" s="16" t="s">
        <v>18</v>
      </c>
      <c r="J908" s="16" t="s">
        <v>19</v>
      </c>
      <c r="K908" s="16" t="s">
        <v>20</v>
      </c>
      <c r="L908" s="16" t="s">
        <v>21</v>
      </c>
      <c r="M908" s="16">
        <v>372</v>
      </c>
    </row>
    <row r="909" ht="15.75" customHeight="1" spans="1:13">
      <c r="A909" s="16" t="s">
        <v>1321</v>
      </c>
      <c r="B909" s="16" t="s">
        <v>147</v>
      </c>
      <c r="C909" s="16"/>
      <c r="D909" s="74"/>
      <c r="E909" s="16"/>
      <c r="F909" s="16"/>
      <c r="G909" s="75" t="b">
        <f t="shared" si="0"/>
        <v>0</v>
      </c>
      <c r="H909" s="16" t="b">
        <v>0</v>
      </c>
      <c r="I909" s="16" t="s">
        <v>53</v>
      </c>
      <c r="J909" s="16" t="s">
        <v>54</v>
      </c>
      <c r="K909" s="16" t="s">
        <v>124</v>
      </c>
      <c r="L909" s="16" t="s">
        <v>21</v>
      </c>
      <c r="M909" s="16">
        <v>962</v>
      </c>
    </row>
    <row r="910" ht="15.75" customHeight="1" spans="1:13">
      <c r="A910" s="16" t="s">
        <v>1322</v>
      </c>
      <c r="B910" s="16" t="s">
        <v>147</v>
      </c>
      <c r="C910" s="16"/>
      <c r="D910" s="74"/>
      <c r="E910" s="16"/>
      <c r="F910" s="16"/>
      <c r="G910" s="75" t="b">
        <f t="shared" si="0"/>
        <v>0</v>
      </c>
      <c r="H910" s="16" t="b">
        <v>0</v>
      </c>
      <c r="I910" s="16" t="s">
        <v>144</v>
      </c>
      <c r="J910" s="16" t="s">
        <v>374</v>
      </c>
      <c r="K910" s="16" t="s">
        <v>375</v>
      </c>
      <c r="L910" s="16" t="s">
        <v>21</v>
      </c>
      <c r="M910" s="16">
        <v>800</v>
      </c>
    </row>
    <row r="911" ht="15.75" customHeight="1" spans="1:13">
      <c r="A911" s="16" t="s">
        <v>1323</v>
      </c>
      <c r="B911" s="16" t="s">
        <v>147</v>
      </c>
      <c r="C911" s="16"/>
      <c r="D911" s="74"/>
      <c r="E911" s="16"/>
      <c r="F911" s="16"/>
      <c r="G911" s="75" t="b">
        <f t="shared" si="0"/>
        <v>0</v>
      </c>
      <c r="H911" s="16" t="b">
        <v>0</v>
      </c>
      <c r="I911" s="16" t="s">
        <v>53</v>
      </c>
      <c r="J911" s="16" t="s">
        <v>374</v>
      </c>
      <c r="K911" s="16" t="s">
        <v>375</v>
      </c>
      <c r="L911" s="16" t="s">
        <v>21</v>
      </c>
      <c r="M911" s="16">
        <v>802</v>
      </c>
    </row>
    <row r="912" ht="15.75" customHeight="1" spans="1:13">
      <c r="A912" s="16" t="s">
        <v>1324</v>
      </c>
      <c r="B912" s="16" t="s">
        <v>147</v>
      </c>
      <c r="C912" s="16"/>
      <c r="D912" s="74"/>
      <c r="E912" s="16"/>
      <c r="F912" s="16"/>
      <c r="G912" s="75" t="b">
        <f t="shared" si="0"/>
        <v>0</v>
      </c>
      <c r="H912" s="16" t="b">
        <v>0</v>
      </c>
      <c r="I912" s="16" t="s">
        <v>53</v>
      </c>
      <c r="J912" s="16" t="s">
        <v>54</v>
      </c>
      <c r="K912" s="16" t="s">
        <v>566</v>
      </c>
      <c r="L912" s="16" t="s">
        <v>160</v>
      </c>
      <c r="M912" s="16">
        <v>550</v>
      </c>
    </row>
    <row r="913" ht="15.75" customHeight="1" spans="1:13">
      <c r="A913" s="16" t="s">
        <v>1325</v>
      </c>
      <c r="B913" s="16" t="s">
        <v>147</v>
      </c>
      <c r="C913" s="16"/>
      <c r="D913" s="74"/>
      <c r="E913" s="16" t="s">
        <v>1326</v>
      </c>
      <c r="F913" s="16"/>
      <c r="G913" s="75" t="b">
        <f t="shared" si="0"/>
        <v>0</v>
      </c>
      <c r="H913" s="16" t="b">
        <v>0</v>
      </c>
      <c r="I913" s="16" t="s">
        <v>144</v>
      </c>
      <c r="J913" s="16" t="s">
        <v>54</v>
      </c>
      <c r="K913" s="16" t="s">
        <v>566</v>
      </c>
      <c r="L913" s="16" t="s">
        <v>21</v>
      </c>
      <c r="M913" s="16">
        <v>230</v>
      </c>
    </row>
    <row r="914" ht="15.75" customHeight="1" spans="1:13">
      <c r="A914" s="16" t="s">
        <v>1327</v>
      </c>
      <c r="B914" s="16" t="s">
        <v>23</v>
      </c>
      <c r="C914" s="16" t="s">
        <v>15</v>
      </c>
      <c r="D914" s="74"/>
      <c r="E914" s="16" t="s">
        <v>1328</v>
      </c>
      <c r="F914" s="16"/>
      <c r="G914" s="75" t="b">
        <f t="shared" si="0"/>
        <v>0</v>
      </c>
      <c r="H914" s="16" t="b">
        <v>0</v>
      </c>
      <c r="I914" s="16" t="s">
        <v>870</v>
      </c>
      <c r="J914" s="16" t="s">
        <v>211</v>
      </c>
      <c r="K914" s="16" t="s">
        <v>1005</v>
      </c>
      <c r="L914" s="16" t="s">
        <v>21</v>
      </c>
      <c r="M914" s="16">
        <v>460</v>
      </c>
    </row>
    <row r="915" ht="15.75" customHeight="1" spans="1:13">
      <c r="A915" s="16" t="s">
        <v>1329</v>
      </c>
      <c r="B915" s="16" t="s">
        <v>147</v>
      </c>
      <c r="C915" s="16" t="s">
        <v>15</v>
      </c>
      <c r="D915" s="74"/>
      <c r="E915" s="16"/>
      <c r="F915" s="16"/>
      <c r="G915" s="75" t="b">
        <f t="shared" si="0"/>
        <v>0</v>
      </c>
      <c r="H915" s="16" t="b">
        <v>0</v>
      </c>
      <c r="I915" s="16" t="s">
        <v>144</v>
      </c>
      <c r="J915" s="16" t="s">
        <v>30</v>
      </c>
      <c r="K915" s="16" t="s">
        <v>31</v>
      </c>
      <c r="L915" s="16" t="s">
        <v>21</v>
      </c>
      <c r="M915" s="16">
        <v>309</v>
      </c>
    </row>
    <row r="916" ht="15.75" customHeight="1" spans="1:13">
      <c r="A916" s="16" t="s">
        <v>1330</v>
      </c>
      <c r="B916" s="16" t="s">
        <v>147</v>
      </c>
      <c r="C916" s="16" t="s">
        <v>15</v>
      </c>
      <c r="D916" s="74"/>
      <c r="E916" s="16"/>
      <c r="F916" s="16"/>
      <c r="G916" s="75" t="b">
        <f t="shared" si="0"/>
        <v>0</v>
      </c>
      <c r="H916" s="16" t="b">
        <v>0</v>
      </c>
      <c r="I916" s="16" t="s">
        <v>588</v>
      </c>
      <c r="J916" s="16" t="s">
        <v>19</v>
      </c>
      <c r="K916" s="16" t="s">
        <v>589</v>
      </c>
      <c r="L916" s="16" t="s">
        <v>21</v>
      </c>
      <c r="M916" s="16">
        <v>956</v>
      </c>
    </row>
    <row r="917" ht="15.75" customHeight="1" spans="1:13">
      <c r="A917" s="16" t="s">
        <v>1331</v>
      </c>
      <c r="B917" s="16" t="s">
        <v>147</v>
      </c>
      <c r="C917" s="16"/>
      <c r="D917" s="74"/>
      <c r="E917" s="16"/>
      <c r="F917" s="16"/>
      <c r="G917" s="75" t="b">
        <f t="shared" si="0"/>
        <v>0</v>
      </c>
      <c r="H917" s="16" t="b">
        <v>0</v>
      </c>
      <c r="I917" s="16" t="s">
        <v>278</v>
      </c>
      <c r="J917" s="16" t="s">
        <v>374</v>
      </c>
      <c r="K917" s="16" t="s">
        <v>375</v>
      </c>
      <c r="L917" s="16" t="s">
        <v>21</v>
      </c>
      <c r="M917" s="16">
        <v>850</v>
      </c>
    </row>
    <row r="918" ht="15.75" customHeight="1" spans="1:13">
      <c r="A918" s="16" t="s">
        <v>1332</v>
      </c>
      <c r="B918" s="16" t="s">
        <v>147</v>
      </c>
      <c r="C918" s="16"/>
      <c r="D918" s="74"/>
      <c r="E918" s="16"/>
      <c r="F918" s="16"/>
      <c r="G918" s="75" t="b">
        <f t="shared" si="0"/>
        <v>0</v>
      </c>
      <c r="H918" s="16" t="b">
        <v>0</v>
      </c>
      <c r="I918" s="16" t="s">
        <v>144</v>
      </c>
      <c r="J918" s="16" t="s">
        <v>54</v>
      </c>
      <c r="K918" s="16" t="s">
        <v>566</v>
      </c>
      <c r="L918" s="16" t="s">
        <v>21</v>
      </c>
      <c r="M918" s="16">
        <v>552</v>
      </c>
    </row>
    <row r="919" ht="15.75" customHeight="1" spans="1:13">
      <c r="A919" s="16" t="s">
        <v>1333</v>
      </c>
      <c r="B919" s="16" t="s">
        <v>147</v>
      </c>
      <c r="C919" s="16"/>
      <c r="D919" s="74"/>
      <c r="E919" s="16"/>
      <c r="F919" s="16"/>
      <c r="G919" s="75" t="b">
        <f t="shared" si="0"/>
        <v>0</v>
      </c>
      <c r="H919" s="16" t="b">
        <v>0</v>
      </c>
      <c r="I919" s="16" t="s">
        <v>319</v>
      </c>
      <c r="J919" s="16" t="s">
        <v>374</v>
      </c>
      <c r="K919" s="16" t="s">
        <v>375</v>
      </c>
      <c r="L919" s="16" t="s">
        <v>21</v>
      </c>
      <c r="M919" s="16">
        <v>781</v>
      </c>
    </row>
    <row r="920" ht="15.75" customHeight="1" spans="1:13">
      <c r="A920" s="16" t="s">
        <v>1334</v>
      </c>
      <c r="B920" s="16" t="s">
        <v>147</v>
      </c>
      <c r="C920" s="16" t="s">
        <v>15</v>
      </c>
      <c r="D920" s="74"/>
      <c r="E920" s="16"/>
      <c r="F920" s="16"/>
      <c r="G920" s="75" t="b">
        <f t="shared" si="0"/>
        <v>0</v>
      </c>
      <c r="H920" s="16" t="b">
        <v>0</v>
      </c>
      <c r="I920" s="16" t="s">
        <v>72</v>
      </c>
      <c r="J920" s="16" t="s">
        <v>63</v>
      </c>
      <c r="K920" s="16" t="s">
        <v>73</v>
      </c>
      <c r="L920" s="16" t="s">
        <v>21</v>
      </c>
      <c r="M920" s="16">
        <v>988</v>
      </c>
    </row>
    <row r="921" ht="15.75" customHeight="1" spans="1:13">
      <c r="A921" s="16" t="s">
        <v>1335</v>
      </c>
      <c r="B921" s="16" t="s">
        <v>147</v>
      </c>
      <c r="C921" s="16"/>
      <c r="D921" s="74"/>
      <c r="E921" s="16"/>
      <c r="F921" s="16"/>
      <c r="G921" s="75" t="b">
        <f t="shared" si="0"/>
        <v>0</v>
      </c>
      <c r="H921" s="16" t="b">
        <v>0</v>
      </c>
      <c r="I921" s="16" t="s">
        <v>144</v>
      </c>
      <c r="J921" s="16" t="s">
        <v>54</v>
      </c>
      <c r="K921" s="16" t="s">
        <v>566</v>
      </c>
      <c r="L921" s="16" t="s">
        <v>21</v>
      </c>
      <c r="M921" s="16">
        <v>1060</v>
      </c>
    </row>
    <row r="922" ht="15.75" customHeight="1" spans="1:13">
      <c r="A922" s="16" t="s">
        <v>1336</v>
      </c>
      <c r="B922" s="16" t="s">
        <v>147</v>
      </c>
      <c r="C922" s="16" t="s">
        <v>15</v>
      </c>
      <c r="D922" s="74"/>
      <c r="E922" s="16"/>
      <c r="F922" s="16"/>
      <c r="G922" s="75" t="b">
        <f t="shared" si="0"/>
        <v>0</v>
      </c>
      <c r="H922" s="16" t="b">
        <v>0</v>
      </c>
      <c r="I922" s="16" t="s">
        <v>53</v>
      </c>
      <c r="J922" s="16" t="s">
        <v>30</v>
      </c>
      <c r="K922" s="16" t="s">
        <v>50</v>
      </c>
      <c r="L922" s="16" t="s">
        <v>21</v>
      </c>
      <c r="M922" s="16">
        <v>142</v>
      </c>
    </row>
    <row r="923" ht="15.75" customHeight="1" spans="1:13">
      <c r="A923" s="16" t="s">
        <v>1337</v>
      </c>
      <c r="B923" s="16" t="s">
        <v>147</v>
      </c>
      <c r="C923" s="16"/>
      <c r="D923" s="74"/>
      <c r="E923" s="16"/>
      <c r="F923" s="16"/>
      <c r="G923" s="75" t="b">
        <f t="shared" si="0"/>
        <v>0</v>
      </c>
      <c r="H923" s="16" t="b">
        <v>0</v>
      </c>
      <c r="I923" s="16" t="s">
        <v>358</v>
      </c>
      <c r="J923" s="16" t="s">
        <v>374</v>
      </c>
      <c r="K923" s="16" t="s">
        <v>375</v>
      </c>
      <c r="L923" s="16" t="s">
        <v>21</v>
      </c>
      <c r="M923" s="16">
        <v>787</v>
      </c>
    </row>
    <row r="924" ht="15.75" customHeight="1" spans="1:13">
      <c r="A924" s="16" t="s">
        <v>1338</v>
      </c>
      <c r="B924" s="16" t="s">
        <v>147</v>
      </c>
      <c r="C924" s="16" t="s">
        <v>15</v>
      </c>
      <c r="D924" s="74"/>
      <c r="E924" s="16"/>
      <c r="F924" s="16"/>
      <c r="G924" s="75" t="b">
        <f t="shared" si="0"/>
        <v>0</v>
      </c>
      <c r="H924" s="16" t="b">
        <v>0</v>
      </c>
      <c r="I924" s="16" t="s">
        <v>144</v>
      </c>
      <c r="J924" s="16" t="s">
        <v>30</v>
      </c>
      <c r="K924" s="16" t="s">
        <v>31</v>
      </c>
      <c r="L924" s="16" t="s">
        <v>21</v>
      </c>
      <c r="M924" s="16">
        <v>86</v>
      </c>
    </row>
    <row r="925" ht="15.75" customHeight="1" spans="1:13">
      <c r="A925" s="16" t="s">
        <v>1339</v>
      </c>
      <c r="B925" s="16" t="s">
        <v>14</v>
      </c>
      <c r="C925" s="16" t="s">
        <v>15</v>
      </c>
      <c r="D925" s="74"/>
      <c r="E925" s="16" t="s">
        <v>1340</v>
      </c>
      <c r="F925" s="16"/>
      <c r="G925" s="75" t="b">
        <f t="shared" si="0"/>
        <v>0</v>
      </c>
      <c r="H925" s="16" t="b">
        <v>0</v>
      </c>
      <c r="I925" s="16" t="s">
        <v>141</v>
      </c>
      <c r="J925" s="16" t="s">
        <v>63</v>
      </c>
      <c r="K925" s="16" t="s">
        <v>288</v>
      </c>
      <c r="L925" s="16" t="s">
        <v>21</v>
      </c>
      <c r="M925" s="16">
        <v>432</v>
      </c>
    </row>
    <row r="926" ht="15.75" customHeight="1" spans="1:13">
      <c r="A926" s="16" t="s">
        <v>1341</v>
      </c>
      <c r="B926" s="16" t="s">
        <v>147</v>
      </c>
      <c r="C926" s="16" t="s">
        <v>190</v>
      </c>
      <c r="D926" s="74"/>
      <c r="E926" s="16" t="s">
        <v>1342</v>
      </c>
      <c r="F926" s="16"/>
      <c r="G926" s="75" t="b">
        <f t="shared" si="0"/>
        <v>0</v>
      </c>
      <c r="H926" s="16" t="b">
        <v>0</v>
      </c>
      <c r="I926" s="16" t="s">
        <v>92</v>
      </c>
      <c r="J926" s="16" t="s">
        <v>30</v>
      </c>
      <c r="K926" s="16" t="s">
        <v>31</v>
      </c>
      <c r="L926" s="16" t="s">
        <v>39</v>
      </c>
      <c r="M926" s="16">
        <v>678</v>
      </c>
    </row>
    <row r="927" ht="15.75" customHeight="1" spans="1:13">
      <c r="A927" s="16" t="s">
        <v>1343</v>
      </c>
      <c r="B927" s="16" t="s">
        <v>147</v>
      </c>
      <c r="C927" s="16"/>
      <c r="D927" s="74"/>
      <c r="E927" s="16"/>
      <c r="F927" s="16"/>
      <c r="G927" s="75" t="b">
        <f t="shared" si="0"/>
        <v>0</v>
      </c>
      <c r="H927" s="16" t="b">
        <v>0</v>
      </c>
      <c r="I927" s="16" t="s">
        <v>41</v>
      </c>
      <c r="J927" s="16" t="s">
        <v>132</v>
      </c>
      <c r="K927" s="16" t="s">
        <v>295</v>
      </c>
      <c r="L927" s="16" t="s">
        <v>21</v>
      </c>
      <c r="M927" s="16">
        <v>980</v>
      </c>
    </row>
    <row r="928" ht="15.75" customHeight="1" spans="1:13">
      <c r="A928" s="16" t="s">
        <v>1344</v>
      </c>
      <c r="B928" s="16" t="s">
        <v>147</v>
      </c>
      <c r="C928" s="16"/>
      <c r="D928" s="74"/>
      <c r="E928" s="16" t="s">
        <v>1345</v>
      </c>
      <c r="F928" s="16"/>
      <c r="G928" s="75" t="b">
        <f t="shared" si="0"/>
        <v>0</v>
      </c>
      <c r="H928" s="16" t="b">
        <v>0</v>
      </c>
      <c r="I928" s="16" t="s">
        <v>57</v>
      </c>
      <c r="J928" s="16" t="s">
        <v>58</v>
      </c>
      <c r="K928" s="16" t="s">
        <v>177</v>
      </c>
      <c r="L928" s="16" t="s">
        <v>21</v>
      </c>
      <c r="M928" s="16">
        <v>234</v>
      </c>
    </row>
    <row r="929" ht="15.75" customHeight="1" spans="1:13">
      <c r="A929" s="16" t="s">
        <v>1346</v>
      </c>
      <c r="B929" s="16" t="s">
        <v>147</v>
      </c>
      <c r="C929" s="16" t="s">
        <v>15</v>
      </c>
      <c r="D929" s="74"/>
      <c r="E929" s="16" t="s">
        <v>1208</v>
      </c>
      <c r="F929" s="16"/>
      <c r="G929" s="75" t="b">
        <f t="shared" si="0"/>
        <v>0</v>
      </c>
      <c r="H929" s="16" t="b">
        <v>0</v>
      </c>
      <c r="I929" s="16" t="s">
        <v>92</v>
      </c>
      <c r="J929" s="16" t="s">
        <v>30</v>
      </c>
      <c r="K929" s="16" t="s">
        <v>31</v>
      </c>
      <c r="L929" s="16" t="s">
        <v>21</v>
      </c>
      <c r="M929" s="16">
        <v>74</v>
      </c>
    </row>
    <row r="930" ht="15.75" customHeight="1" spans="1:13">
      <c r="A930" s="16" t="s">
        <v>1347</v>
      </c>
      <c r="B930" s="16" t="s">
        <v>14</v>
      </c>
      <c r="C930" s="16" t="s">
        <v>183</v>
      </c>
      <c r="D930" s="74" t="s">
        <v>481</v>
      </c>
      <c r="E930" s="16" t="s">
        <v>482</v>
      </c>
      <c r="F930" s="16"/>
      <c r="G930" s="75" t="b">
        <f t="shared" si="0"/>
        <v>0</v>
      </c>
      <c r="H930" s="16" t="b">
        <v>0</v>
      </c>
      <c r="I930" s="16" t="s">
        <v>225</v>
      </c>
      <c r="J930" s="16" t="s">
        <v>211</v>
      </c>
      <c r="K930" s="16" t="s">
        <v>573</v>
      </c>
      <c r="L930" s="16" t="s">
        <v>21</v>
      </c>
      <c r="M930" s="16">
        <v>161</v>
      </c>
    </row>
    <row r="931" ht="15.75" customHeight="1" spans="1:13">
      <c r="A931" s="16" t="s">
        <v>1348</v>
      </c>
      <c r="B931" s="16" t="s">
        <v>14</v>
      </c>
      <c r="C931" s="16" t="s">
        <v>15</v>
      </c>
      <c r="D931" s="74"/>
      <c r="E931" s="16" t="s">
        <v>1062</v>
      </c>
      <c r="F931" s="16"/>
      <c r="G931" s="75" t="b">
        <f t="shared" si="0"/>
        <v>0</v>
      </c>
      <c r="H931" s="16" t="b">
        <v>0</v>
      </c>
      <c r="I931" s="16" t="s">
        <v>870</v>
      </c>
      <c r="J931" s="16" t="s">
        <v>211</v>
      </c>
      <c r="K931" s="16" t="s">
        <v>871</v>
      </c>
      <c r="L931" s="16" t="s">
        <v>21</v>
      </c>
      <c r="M931" s="16">
        <v>391</v>
      </c>
    </row>
    <row r="932" ht="15.75" customHeight="1" spans="1:13">
      <c r="A932" s="75" t="s">
        <v>1349</v>
      </c>
      <c r="B932" s="75" t="s">
        <v>147</v>
      </c>
      <c r="C932" s="75" t="s">
        <v>15</v>
      </c>
      <c r="D932" s="74"/>
      <c r="E932" s="75" t="s">
        <v>1350</v>
      </c>
      <c r="F932" s="75"/>
      <c r="G932" s="75" t="b">
        <f t="shared" si="0"/>
        <v>0</v>
      </c>
      <c r="H932" s="16" t="b">
        <v>0</v>
      </c>
      <c r="I932" s="75" t="s">
        <v>186</v>
      </c>
      <c r="J932" s="75" t="s">
        <v>187</v>
      </c>
      <c r="K932" s="75" t="s">
        <v>227</v>
      </c>
      <c r="L932" s="75" t="s">
        <v>21</v>
      </c>
      <c r="M932" s="75">
        <v>872</v>
      </c>
    </row>
    <row r="933" ht="15.75" customHeight="1" spans="1:13">
      <c r="A933" s="16" t="s">
        <v>1351</v>
      </c>
      <c r="B933" s="16" t="s">
        <v>147</v>
      </c>
      <c r="C933" s="16"/>
      <c r="D933" s="74"/>
      <c r="E933" s="16"/>
      <c r="F933" s="16"/>
      <c r="G933" s="75" t="b">
        <f t="shared" si="0"/>
        <v>0</v>
      </c>
      <c r="H933" s="16" t="b">
        <v>0</v>
      </c>
      <c r="I933" s="16" t="s">
        <v>67</v>
      </c>
      <c r="J933" s="16" t="s">
        <v>374</v>
      </c>
      <c r="K933" s="16" t="s">
        <v>375</v>
      </c>
      <c r="L933" s="16" t="s">
        <v>21</v>
      </c>
      <c r="M933" s="16">
        <v>786</v>
      </c>
    </row>
    <row r="934" ht="15.75" customHeight="1" spans="1:13">
      <c r="A934" s="16" t="s">
        <v>1352</v>
      </c>
      <c r="B934" s="16" t="s">
        <v>147</v>
      </c>
      <c r="C934" s="16" t="s">
        <v>15</v>
      </c>
      <c r="D934" s="74"/>
      <c r="E934" s="16"/>
      <c r="F934" s="16"/>
      <c r="G934" s="75" t="b">
        <f t="shared" si="0"/>
        <v>0</v>
      </c>
      <c r="H934" s="16" t="b">
        <v>0</v>
      </c>
      <c r="I934" s="16" t="s">
        <v>1353</v>
      </c>
      <c r="J934" s="16" t="s">
        <v>63</v>
      </c>
      <c r="K934" s="16" t="s">
        <v>288</v>
      </c>
      <c r="L934" s="16" t="s">
        <v>21</v>
      </c>
      <c r="M934" s="16">
        <v>457</v>
      </c>
    </row>
    <row r="935" ht="15.75" customHeight="1" spans="1:13">
      <c r="A935" s="16" t="s">
        <v>1354</v>
      </c>
      <c r="B935" s="16" t="s">
        <v>147</v>
      </c>
      <c r="C935" s="16" t="s">
        <v>15</v>
      </c>
      <c r="D935" s="74"/>
      <c r="E935" s="16"/>
      <c r="F935" s="16"/>
      <c r="G935" s="75" t="b">
        <f t="shared" si="0"/>
        <v>0</v>
      </c>
      <c r="H935" s="16" t="b">
        <v>0</v>
      </c>
      <c r="I935" s="16" t="s">
        <v>957</v>
      </c>
      <c r="J935" s="16" t="s">
        <v>30</v>
      </c>
      <c r="K935" s="16" t="s">
        <v>30</v>
      </c>
      <c r="L935" s="16" t="s">
        <v>21</v>
      </c>
      <c r="M935" s="16">
        <v>692</v>
      </c>
    </row>
    <row r="936" ht="15.75" customHeight="1" spans="1:13">
      <c r="A936" s="16" t="s">
        <v>1355</v>
      </c>
      <c r="B936" s="16" t="s">
        <v>147</v>
      </c>
      <c r="C936" s="16" t="s">
        <v>15</v>
      </c>
      <c r="D936" s="74"/>
      <c r="E936" s="16" t="s">
        <v>1208</v>
      </c>
      <c r="F936" s="16"/>
      <c r="G936" s="75" t="b">
        <f t="shared" si="0"/>
        <v>0</v>
      </c>
      <c r="H936" s="16" t="b">
        <v>0</v>
      </c>
      <c r="I936" s="16" t="s">
        <v>207</v>
      </c>
      <c r="J936" s="16" t="s">
        <v>30</v>
      </c>
      <c r="K936" s="16" t="s">
        <v>31</v>
      </c>
      <c r="L936" s="16" t="s">
        <v>21</v>
      </c>
      <c r="M936" s="16">
        <v>192</v>
      </c>
    </row>
    <row r="937" ht="15.75" customHeight="1" spans="1:13">
      <c r="A937" s="16" t="s">
        <v>1356</v>
      </c>
      <c r="B937" s="16" t="s">
        <v>147</v>
      </c>
      <c r="C937" s="16" t="s">
        <v>15</v>
      </c>
      <c r="D937" s="74"/>
      <c r="E937" s="16"/>
      <c r="F937" s="16"/>
      <c r="G937" s="75" t="b">
        <f t="shared" si="0"/>
        <v>0</v>
      </c>
      <c r="H937" s="16" t="b">
        <v>0</v>
      </c>
      <c r="I937" s="16" t="s">
        <v>269</v>
      </c>
      <c r="J937" s="16" t="s">
        <v>211</v>
      </c>
      <c r="K937" s="16" t="s">
        <v>781</v>
      </c>
      <c r="L937" s="16" t="s">
        <v>21</v>
      </c>
      <c r="M937" s="16">
        <v>521</v>
      </c>
    </row>
    <row r="938" ht="15.75" customHeight="1" spans="1:13">
      <c r="A938" s="16" t="s">
        <v>1357</v>
      </c>
      <c r="B938" s="16" t="s">
        <v>147</v>
      </c>
      <c r="C938" s="16"/>
      <c r="D938" s="74"/>
      <c r="E938" s="16" t="s">
        <v>1227</v>
      </c>
      <c r="F938" s="16"/>
      <c r="G938" s="75" t="b">
        <f t="shared" si="0"/>
        <v>0</v>
      </c>
      <c r="H938" s="16" t="b">
        <v>0</v>
      </c>
      <c r="I938" s="16" t="s">
        <v>131</v>
      </c>
      <c r="J938" s="16" t="s">
        <v>132</v>
      </c>
      <c r="K938" s="16" t="s">
        <v>270</v>
      </c>
      <c r="L938" s="16" t="s">
        <v>21</v>
      </c>
      <c r="M938" s="16">
        <v>848</v>
      </c>
    </row>
    <row r="939" ht="15.75" customHeight="1" spans="1:13">
      <c r="A939" s="16" t="s">
        <v>1358</v>
      </c>
      <c r="B939" s="16" t="s">
        <v>147</v>
      </c>
      <c r="C939" s="16"/>
      <c r="D939" s="74"/>
      <c r="E939" s="16"/>
      <c r="F939" s="16"/>
      <c r="G939" s="75" t="b">
        <f t="shared" si="0"/>
        <v>0</v>
      </c>
      <c r="H939" s="16" t="b">
        <v>0</v>
      </c>
      <c r="I939" s="16" t="s">
        <v>131</v>
      </c>
      <c r="J939" s="16" t="s">
        <v>132</v>
      </c>
      <c r="K939" s="16" t="s">
        <v>133</v>
      </c>
      <c r="L939" s="16" t="s">
        <v>160</v>
      </c>
      <c r="M939" s="16">
        <v>529</v>
      </c>
    </row>
    <row r="940" ht="15.75" customHeight="1" spans="1:13">
      <c r="A940" s="16" t="s">
        <v>1359</v>
      </c>
      <c r="B940" s="16" t="s">
        <v>147</v>
      </c>
      <c r="C940" s="16"/>
      <c r="D940" s="74"/>
      <c r="E940" s="16"/>
      <c r="F940" s="16"/>
      <c r="G940" s="75" t="b">
        <f t="shared" si="0"/>
        <v>0</v>
      </c>
      <c r="H940" s="16" t="b">
        <v>0</v>
      </c>
      <c r="I940" s="16" t="s">
        <v>106</v>
      </c>
      <c r="J940" s="16" t="s">
        <v>374</v>
      </c>
      <c r="K940" s="16" t="s">
        <v>375</v>
      </c>
      <c r="L940" s="16" t="s">
        <v>21</v>
      </c>
      <c r="M940" s="16">
        <v>806</v>
      </c>
    </row>
    <row r="941" ht="15.75" customHeight="1" spans="1:13">
      <c r="A941" s="80" t="s">
        <v>1360</v>
      </c>
      <c r="B941" s="16" t="s">
        <v>830</v>
      </c>
      <c r="C941" s="16"/>
      <c r="D941" s="74"/>
      <c r="E941" s="16" t="s">
        <v>1361</v>
      </c>
      <c r="F941" s="16"/>
      <c r="G941" s="75" t="b">
        <f t="shared" si="0"/>
        <v>0</v>
      </c>
      <c r="H941" s="16" t="b">
        <v>0</v>
      </c>
      <c r="I941" s="16" t="s">
        <v>53</v>
      </c>
      <c r="J941" s="16" t="s">
        <v>54</v>
      </c>
      <c r="K941" s="16" t="s">
        <v>198</v>
      </c>
      <c r="L941" s="16" t="s">
        <v>21</v>
      </c>
      <c r="M941" s="16">
        <v>16</v>
      </c>
    </row>
    <row r="942" ht="15.75" customHeight="1" spans="1:13">
      <c r="A942" s="16" t="s">
        <v>1362</v>
      </c>
      <c r="B942" s="16" t="s">
        <v>147</v>
      </c>
      <c r="C942" s="16" t="s">
        <v>15</v>
      </c>
      <c r="D942" s="74"/>
      <c r="E942" s="16" t="s">
        <v>1208</v>
      </c>
      <c r="F942" s="16"/>
      <c r="G942" s="75" t="b">
        <f t="shared" si="0"/>
        <v>0</v>
      </c>
      <c r="H942" s="16" t="b">
        <v>0</v>
      </c>
      <c r="I942" s="16" t="s">
        <v>144</v>
      </c>
      <c r="J942" s="16" t="s">
        <v>30</v>
      </c>
      <c r="K942" s="16" t="s">
        <v>31</v>
      </c>
      <c r="L942" s="16" t="s">
        <v>21</v>
      </c>
      <c r="M942" s="16">
        <v>328</v>
      </c>
    </row>
    <row r="943" ht="15.75" customHeight="1" spans="1:13">
      <c r="A943" s="16" t="s">
        <v>1363</v>
      </c>
      <c r="B943" s="16" t="s">
        <v>147</v>
      </c>
      <c r="C943" s="16" t="s">
        <v>15</v>
      </c>
      <c r="D943" s="74"/>
      <c r="E943" s="16"/>
      <c r="F943" s="16"/>
      <c r="G943" s="75" t="b">
        <f t="shared" si="0"/>
        <v>0</v>
      </c>
      <c r="H943" s="16" t="b">
        <v>0</v>
      </c>
      <c r="I943" s="16" t="s">
        <v>144</v>
      </c>
      <c r="J943" s="16" t="s">
        <v>30</v>
      </c>
      <c r="K943" s="16" t="s">
        <v>31</v>
      </c>
      <c r="L943" s="16" t="s">
        <v>21</v>
      </c>
      <c r="M943" s="16">
        <v>555</v>
      </c>
    </row>
    <row r="944" ht="15.75" customHeight="1" spans="1:13">
      <c r="A944" s="16" t="s">
        <v>1364</v>
      </c>
      <c r="B944" s="16" t="s">
        <v>147</v>
      </c>
      <c r="C944" s="16"/>
      <c r="D944" s="74"/>
      <c r="E944" s="16"/>
      <c r="F944" s="16"/>
      <c r="G944" s="75" t="b">
        <f t="shared" si="0"/>
        <v>0</v>
      </c>
      <c r="H944" s="16" t="b">
        <v>0</v>
      </c>
      <c r="I944" s="16" t="s">
        <v>45</v>
      </c>
      <c r="J944" s="16" t="s">
        <v>374</v>
      </c>
      <c r="K944" s="16" t="s">
        <v>375</v>
      </c>
      <c r="L944" s="16" t="s">
        <v>21</v>
      </c>
      <c r="M944" s="16">
        <v>783</v>
      </c>
    </row>
    <row r="945" ht="15.75" customHeight="1" spans="1:13">
      <c r="A945" s="16" t="s">
        <v>1365</v>
      </c>
      <c r="B945" s="16" t="s">
        <v>147</v>
      </c>
      <c r="C945" s="16" t="s">
        <v>15</v>
      </c>
      <c r="D945" s="74"/>
      <c r="E945" s="16" t="s">
        <v>1366</v>
      </c>
      <c r="F945" s="16"/>
      <c r="G945" s="75" t="b">
        <f t="shared" si="0"/>
        <v>0</v>
      </c>
      <c r="H945" s="16" t="b">
        <v>0</v>
      </c>
      <c r="I945" s="16" t="s">
        <v>276</v>
      </c>
      <c r="J945" s="16" t="s">
        <v>63</v>
      </c>
      <c r="K945" s="16" t="s">
        <v>169</v>
      </c>
      <c r="L945" s="16" t="s">
        <v>21</v>
      </c>
      <c r="M945" s="16">
        <v>361</v>
      </c>
    </row>
    <row r="946" ht="15.75" customHeight="1" spans="1:13">
      <c r="A946" s="16" t="s">
        <v>1367</v>
      </c>
      <c r="B946" s="16" t="s">
        <v>147</v>
      </c>
      <c r="C946" s="16" t="s">
        <v>15</v>
      </c>
      <c r="D946" s="74"/>
      <c r="E946" s="16" t="s">
        <v>1208</v>
      </c>
      <c r="F946" s="16"/>
      <c r="G946" s="75" t="b">
        <f t="shared" si="0"/>
        <v>0</v>
      </c>
      <c r="H946" s="16" t="b">
        <v>0</v>
      </c>
      <c r="I946" s="16" t="s">
        <v>269</v>
      </c>
      <c r="J946" s="16" t="s">
        <v>211</v>
      </c>
      <c r="K946" s="16" t="s">
        <v>781</v>
      </c>
      <c r="L946" s="16" t="s">
        <v>21</v>
      </c>
      <c r="M946" s="16">
        <v>403</v>
      </c>
    </row>
    <row r="947" ht="15.75" customHeight="1" spans="1:13">
      <c r="A947" s="16" t="s">
        <v>1368</v>
      </c>
      <c r="B947" s="16" t="s">
        <v>147</v>
      </c>
      <c r="C947" s="16"/>
      <c r="D947" s="74"/>
      <c r="E947" s="16"/>
      <c r="F947" s="16"/>
      <c r="G947" s="75" t="b">
        <f t="shared" si="0"/>
        <v>0</v>
      </c>
      <c r="H947" s="16" t="b">
        <v>0</v>
      </c>
      <c r="I947" s="16" t="s">
        <v>575</v>
      </c>
      <c r="J947" s="16" t="s">
        <v>374</v>
      </c>
      <c r="K947" s="16" t="s">
        <v>375</v>
      </c>
      <c r="L947" s="16" t="s">
        <v>21</v>
      </c>
      <c r="M947" s="16">
        <v>798</v>
      </c>
    </row>
    <row r="948" ht="15.75" customHeight="1" spans="1:13">
      <c r="A948" s="16" t="s">
        <v>1369</v>
      </c>
      <c r="B948" s="16" t="s">
        <v>147</v>
      </c>
      <c r="C948" s="16"/>
      <c r="D948" s="74"/>
      <c r="E948" s="16"/>
      <c r="F948" s="16"/>
      <c r="G948" s="75" t="b">
        <f t="shared" si="0"/>
        <v>0</v>
      </c>
      <c r="H948" s="16" t="b">
        <v>0</v>
      </c>
      <c r="I948" s="16" t="s">
        <v>627</v>
      </c>
      <c r="J948" s="16" t="s">
        <v>374</v>
      </c>
      <c r="K948" s="16" t="s">
        <v>375</v>
      </c>
      <c r="L948" s="16" t="s">
        <v>21</v>
      </c>
      <c r="M948" s="16">
        <v>779</v>
      </c>
    </row>
    <row r="949" ht="15.75" customHeight="1" spans="1:13">
      <c r="A949" s="16" t="s">
        <v>1370</v>
      </c>
      <c r="B949" s="16" t="s">
        <v>147</v>
      </c>
      <c r="C949" s="16"/>
      <c r="D949" s="74"/>
      <c r="E949" s="16"/>
      <c r="F949" s="16"/>
      <c r="G949" s="75" t="b">
        <f t="shared" si="0"/>
        <v>0</v>
      </c>
      <c r="H949" s="16" t="b">
        <v>0</v>
      </c>
      <c r="I949" s="16" t="s">
        <v>1251</v>
      </c>
      <c r="J949" s="16" t="s">
        <v>374</v>
      </c>
      <c r="K949" s="16" t="s">
        <v>375</v>
      </c>
      <c r="L949" s="16" t="s">
        <v>21</v>
      </c>
      <c r="M949" s="16">
        <v>780</v>
      </c>
    </row>
    <row r="950" ht="15.75" customHeight="1" spans="1:13">
      <c r="A950" s="16" t="s">
        <v>1371</v>
      </c>
      <c r="B950" s="16" t="s">
        <v>147</v>
      </c>
      <c r="C950" s="16"/>
      <c r="D950" s="74"/>
      <c r="E950" s="16"/>
      <c r="F950" s="16"/>
      <c r="G950" s="75" t="b">
        <f t="shared" si="0"/>
        <v>0</v>
      </c>
      <c r="H950" s="16" t="b">
        <v>0</v>
      </c>
      <c r="I950" s="16" t="s">
        <v>957</v>
      </c>
      <c r="J950" s="16" t="s">
        <v>126</v>
      </c>
      <c r="K950" s="16" t="s">
        <v>142</v>
      </c>
      <c r="L950" s="16" t="s">
        <v>21</v>
      </c>
      <c r="M950" s="16">
        <v>698</v>
      </c>
    </row>
    <row r="951" ht="15.75" customHeight="1" spans="1:13">
      <c r="A951" s="16" t="s">
        <v>1372</v>
      </c>
      <c r="B951" s="16" t="s">
        <v>147</v>
      </c>
      <c r="C951" s="16"/>
      <c r="D951" s="74"/>
      <c r="E951" s="16"/>
      <c r="F951" s="16"/>
      <c r="G951" s="75" t="b">
        <f t="shared" si="0"/>
        <v>0</v>
      </c>
      <c r="H951" s="16" t="b">
        <v>0</v>
      </c>
      <c r="I951" s="16" t="s">
        <v>732</v>
      </c>
      <c r="J951" s="16" t="s">
        <v>374</v>
      </c>
      <c r="K951" s="16" t="s">
        <v>375</v>
      </c>
      <c r="L951" s="16" t="s">
        <v>21</v>
      </c>
      <c r="M951" s="16">
        <v>778</v>
      </c>
    </row>
    <row r="952" ht="15.75" customHeight="1" spans="1:13">
      <c r="A952" s="16" t="s">
        <v>1373</v>
      </c>
      <c r="B952" s="16" t="s">
        <v>147</v>
      </c>
      <c r="C952" s="16" t="s">
        <v>15</v>
      </c>
      <c r="D952" s="74"/>
      <c r="E952" s="16"/>
      <c r="F952" s="16"/>
      <c r="G952" s="75" t="b">
        <f t="shared" si="0"/>
        <v>0</v>
      </c>
      <c r="H952" s="16" t="b">
        <v>0</v>
      </c>
      <c r="I952" s="16" t="s">
        <v>358</v>
      </c>
      <c r="J952" s="16" t="s">
        <v>63</v>
      </c>
      <c r="K952" s="16" t="s">
        <v>169</v>
      </c>
      <c r="L952" s="16" t="s">
        <v>21</v>
      </c>
      <c r="M952" s="16">
        <v>196</v>
      </c>
    </row>
    <row r="953" ht="15.75" customHeight="1" spans="1:13">
      <c r="A953" s="16" t="s">
        <v>1374</v>
      </c>
      <c r="B953" s="16" t="s">
        <v>147</v>
      </c>
      <c r="C953" s="16"/>
      <c r="D953" s="74"/>
      <c r="E953" s="16"/>
      <c r="F953" s="16"/>
      <c r="G953" s="75" t="b">
        <f t="shared" si="0"/>
        <v>0</v>
      </c>
      <c r="H953" s="16" t="b">
        <v>0</v>
      </c>
      <c r="I953" s="16" t="s">
        <v>338</v>
      </c>
      <c r="J953" s="16" t="s">
        <v>374</v>
      </c>
      <c r="K953" s="16" t="s">
        <v>375</v>
      </c>
      <c r="L953" s="16" t="s">
        <v>21</v>
      </c>
      <c r="M953" s="16">
        <v>789</v>
      </c>
    </row>
    <row r="954" ht="15.75" customHeight="1" spans="1:13">
      <c r="A954" s="16" t="s">
        <v>1375</v>
      </c>
      <c r="B954" s="16" t="s">
        <v>147</v>
      </c>
      <c r="C954" s="16"/>
      <c r="D954" s="74"/>
      <c r="E954" s="16"/>
      <c r="F954" s="16"/>
      <c r="G954" s="75" t="b">
        <f t="shared" si="0"/>
        <v>0</v>
      </c>
      <c r="H954" s="16" t="b">
        <v>0</v>
      </c>
      <c r="I954" s="16" t="s">
        <v>207</v>
      </c>
      <c r="J954" s="16" t="s">
        <v>374</v>
      </c>
      <c r="K954" s="16" t="s">
        <v>375</v>
      </c>
      <c r="L954" s="16" t="s">
        <v>21</v>
      </c>
      <c r="M954" s="16">
        <v>804</v>
      </c>
    </row>
    <row r="955" ht="15.75" customHeight="1" spans="1:13">
      <c r="A955" s="16" t="s">
        <v>1376</v>
      </c>
      <c r="B955" s="16" t="s">
        <v>147</v>
      </c>
      <c r="C955" s="16" t="s">
        <v>15</v>
      </c>
      <c r="D955" s="74"/>
      <c r="E955" s="16"/>
      <c r="F955" s="16"/>
      <c r="G955" s="75" t="b">
        <f t="shared" si="0"/>
        <v>0</v>
      </c>
      <c r="H955" s="16" t="b">
        <v>0</v>
      </c>
      <c r="I955" s="16" t="s">
        <v>141</v>
      </c>
      <c r="J955" s="16" t="s">
        <v>187</v>
      </c>
      <c r="K955" s="16" t="s">
        <v>625</v>
      </c>
      <c r="L955" s="16" t="s">
        <v>21</v>
      </c>
      <c r="M955" s="16">
        <v>256</v>
      </c>
    </row>
    <row r="956" ht="15.75" customHeight="1" spans="1:13">
      <c r="A956" s="16" t="s">
        <v>1377</v>
      </c>
      <c r="B956" s="16" t="s">
        <v>147</v>
      </c>
      <c r="C956" s="16"/>
      <c r="D956" s="74"/>
      <c r="E956" s="16" t="s">
        <v>1378</v>
      </c>
      <c r="F956" s="16"/>
      <c r="G956" s="75" t="b">
        <f t="shared" si="0"/>
        <v>0</v>
      </c>
      <c r="H956" s="16" t="b">
        <v>0</v>
      </c>
      <c r="I956" s="16" t="s">
        <v>57</v>
      </c>
      <c r="J956" s="16" t="s">
        <v>58</v>
      </c>
      <c r="K956" s="16" t="s">
        <v>59</v>
      </c>
      <c r="L956" s="16" t="s">
        <v>21</v>
      </c>
      <c r="M956" s="16">
        <v>95</v>
      </c>
    </row>
    <row r="957" ht="15.75" customHeight="1" spans="1:13">
      <c r="A957" s="16" t="s">
        <v>1379</v>
      </c>
      <c r="B957" s="16" t="s">
        <v>147</v>
      </c>
      <c r="C957" s="16" t="s">
        <v>15</v>
      </c>
      <c r="D957" s="74"/>
      <c r="E957" s="16"/>
      <c r="F957" s="16"/>
      <c r="G957" s="75" t="b">
        <f t="shared" si="0"/>
        <v>0</v>
      </c>
      <c r="H957" s="16" t="b">
        <v>0</v>
      </c>
      <c r="I957" s="16" t="s">
        <v>319</v>
      </c>
      <c r="J957" s="16" t="s">
        <v>126</v>
      </c>
      <c r="K957" s="16" t="s">
        <v>127</v>
      </c>
      <c r="L957" s="16" t="s">
        <v>21</v>
      </c>
      <c r="M957" s="16">
        <v>262</v>
      </c>
    </row>
    <row r="958" ht="15.75" customHeight="1" spans="1:13">
      <c r="A958" s="16" t="s">
        <v>1380</v>
      </c>
      <c r="B958" s="16" t="s">
        <v>147</v>
      </c>
      <c r="C958" s="16" t="s">
        <v>15</v>
      </c>
      <c r="D958" s="74"/>
      <c r="E958" s="16"/>
      <c r="F958" s="16"/>
      <c r="G958" s="75" t="b">
        <f t="shared" si="0"/>
        <v>0</v>
      </c>
      <c r="H958" s="16" t="b">
        <v>0</v>
      </c>
      <c r="I958" s="16" t="s">
        <v>358</v>
      </c>
      <c r="J958" s="16" t="s">
        <v>63</v>
      </c>
      <c r="K958" s="16" t="s">
        <v>169</v>
      </c>
      <c r="L958" s="16" t="s">
        <v>21</v>
      </c>
      <c r="M958" s="16">
        <v>198</v>
      </c>
    </row>
    <row r="959" ht="15.75" customHeight="1" spans="1:13">
      <c r="A959" s="16" t="s">
        <v>1381</v>
      </c>
      <c r="B959" s="16" t="s">
        <v>147</v>
      </c>
      <c r="C959" s="16"/>
      <c r="D959" s="74"/>
      <c r="E959" s="16"/>
      <c r="F959" s="16"/>
      <c r="G959" s="75" t="b">
        <f t="shared" si="0"/>
        <v>0</v>
      </c>
      <c r="H959" s="16" t="b">
        <v>0</v>
      </c>
      <c r="I959" s="16" t="s">
        <v>957</v>
      </c>
      <c r="J959" s="16" t="s">
        <v>374</v>
      </c>
      <c r="K959" s="16" t="s">
        <v>375</v>
      </c>
      <c r="L959" s="16" t="s">
        <v>21</v>
      </c>
      <c r="M959" s="16">
        <v>782</v>
      </c>
    </row>
    <row r="960" ht="15.75" customHeight="1" spans="1:13">
      <c r="A960" s="16" t="s">
        <v>1382</v>
      </c>
      <c r="B960" s="16" t="s">
        <v>147</v>
      </c>
      <c r="C960" s="16" t="s">
        <v>15</v>
      </c>
      <c r="D960" s="74"/>
      <c r="E960" s="16"/>
      <c r="F960" s="16"/>
      <c r="G960" s="75" t="b">
        <f t="shared" si="0"/>
        <v>0</v>
      </c>
      <c r="H960" s="16" t="b">
        <v>0</v>
      </c>
      <c r="I960" s="16" t="s">
        <v>144</v>
      </c>
      <c r="J960" s="16" t="s">
        <v>30</v>
      </c>
      <c r="K960" s="16" t="s">
        <v>50</v>
      </c>
      <c r="L960" s="16" t="s">
        <v>21</v>
      </c>
      <c r="M960" s="16">
        <v>13</v>
      </c>
    </row>
    <row r="961" ht="15.75" customHeight="1" spans="1:13">
      <c r="A961" s="16" t="s">
        <v>1383</v>
      </c>
      <c r="B961" s="16" t="s">
        <v>14</v>
      </c>
      <c r="C961" s="16" t="s">
        <v>15</v>
      </c>
      <c r="D961" s="74"/>
      <c r="E961" s="16" t="s">
        <v>1120</v>
      </c>
      <c r="F961" s="16"/>
      <c r="G961" s="75" t="b">
        <f t="shared" si="0"/>
        <v>0</v>
      </c>
      <c r="H961" s="16" t="b">
        <v>0</v>
      </c>
      <c r="I961" s="16" t="s">
        <v>225</v>
      </c>
      <c r="J961" s="16" t="s">
        <v>211</v>
      </c>
      <c r="K961" s="16" t="s">
        <v>573</v>
      </c>
      <c r="L961" s="16" t="s">
        <v>21</v>
      </c>
      <c r="M961" s="16">
        <v>465</v>
      </c>
    </row>
    <row r="962" ht="15.75" customHeight="1" spans="1:13">
      <c r="A962" s="16" t="s">
        <v>1384</v>
      </c>
      <c r="B962" s="16" t="s">
        <v>147</v>
      </c>
      <c r="C962" s="16"/>
      <c r="D962" s="74"/>
      <c r="E962" s="16"/>
      <c r="F962" s="16"/>
      <c r="G962" s="75" t="b">
        <f t="shared" si="0"/>
        <v>0</v>
      </c>
      <c r="H962" s="16" t="b">
        <v>0</v>
      </c>
      <c r="I962" s="16" t="s">
        <v>25</v>
      </c>
      <c r="J962" s="16" t="s">
        <v>374</v>
      </c>
      <c r="K962" s="16" t="s">
        <v>375</v>
      </c>
      <c r="L962" s="16" t="s">
        <v>21</v>
      </c>
      <c r="M962" s="16">
        <v>797</v>
      </c>
    </row>
    <row r="963" ht="15.75" customHeight="1" spans="1:13">
      <c r="A963" s="16" t="s">
        <v>1385</v>
      </c>
      <c r="B963" s="16" t="s">
        <v>147</v>
      </c>
      <c r="C963" s="16" t="s">
        <v>15</v>
      </c>
      <c r="D963" s="74"/>
      <c r="E963" s="16"/>
      <c r="F963" s="16"/>
      <c r="G963" s="75" t="b">
        <f t="shared" si="0"/>
        <v>0</v>
      </c>
      <c r="H963" s="16" t="b">
        <v>0</v>
      </c>
      <c r="I963" s="16" t="s">
        <v>207</v>
      </c>
      <c r="J963" s="16" t="s">
        <v>30</v>
      </c>
      <c r="K963" s="16" t="s">
        <v>30</v>
      </c>
      <c r="L963" s="16" t="s">
        <v>21</v>
      </c>
      <c r="M963" s="16">
        <v>176</v>
      </c>
    </row>
    <row r="964" ht="15.75" customHeight="1" spans="1:13">
      <c r="A964" s="16" t="s">
        <v>1386</v>
      </c>
      <c r="B964" s="16" t="s">
        <v>147</v>
      </c>
      <c r="C964" s="16"/>
      <c r="D964" s="74"/>
      <c r="E964" s="16"/>
      <c r="F964" s="16"/>
      <c r="G964" s="75" t="b">
        <f t="shared" si="0"/>
        <v>0</v>
      </c>
      <c r="H964" s="16" t="b">
        <v>0</v>
      </c>
      <c r="I964" s="16" t="s">
        <v>92</v>
      </c>
      <c r="J964" s="16" t="s">
        <v>374</v>
      </c>
      <c r="K964" s="16" t="s">
        <v>375</v>
      </c>
      <c r="L964" s="16" t="s">
        <v>21</v>
      </c>
      <c r="M964" s="16">
        <v>794</v>
      </c>
    </row>
    <row r="965" ht="15.75" customHeight="1" spans="1:13">
      <c r="A965" s="16" t="s">
        <v>1387</v>
      </c>
      <c r="B965" s="16" t="s">
        <v>147</v>
      </c>
      <c r="C965" s="16" t="s">
        <v>15</v>
      </c>
      <c r="D965" s="74"/>
      <c r="E965" s="16"/>
      <c r="F965" s="16"/>
      <c r="G965" s="75" t="b">
        <f t="shared" si="0"/>
        <v>0</v>
      </c>
      <c r="H965" s="16" t="b">
        <v>0</v>
      </c>
      <c r="I965" s="16" t="s">
        <v>870</v>
      </c>
      <c r="J965" s="16" t="s">
        <v>211</v>
      </c>
      <c r="K965" s="16" t="s">
        <v>1005</v>
      </c>
      <c r="L965" s="16" t="s">
        <v>21</v>
      </c>
      <c r="M965" s="16">
        <v>987</v>
      </c>
    </row>
    <row r="966" ht="15.75" customHeight="1" spans="1:13">
      <c r="A966" s="16" t="s">
        <v>1388</v>
      </c>
      <c r="B966" s="16" t="s">
        <v>147</v>
      </c>
      <c r="C966" s="16" t="s">
        <v>15</v>
      </c>
      <c r="D966" s="74"/>
      <c r="E966" s="16" t="s">
        <v>1208</v>
      </c>
      <c r="F966" s="16"/>
      <c r="G966" s="75" t="b">
        <f t="shared" si="0"/>
        <v>0</v>
      </c>
      <c r="H966" s="16" t="b">
        <v>0</v>
      </c>
      <c r="I966" s="16" t="s">
        <v>338</v>
      </c>
      <c r="J966" s="16" t="s">
        <v>211</v>
      </c>
      <c r="K966" s="16" t="s">
        <v>991</v>
      </c>
      <c r="L966" s="16" t="s">
        <v>21</v>
      </c>
      <c r="M966" s="16">
        <v>422</v>
      </c>
    </row>
    <row r="967" ht="15.75" customHeight="1" spans="1:13">
      <c r="A967" s="16" t="s">
        <v>1389</v>
      </c>
      <c r="B967" s="16" t="s">
        <v>147</v>
      </c>
      <c r="C967" s="16"/>
      <c r="D967" s="74"/>
      <c r="E967" s="16"/>
      <c r="F967" s="16"/>
      <c r="G967" s="75" t="b">
        <f t="shared" si="0"/>
        <v>0</v>
      </c>
      <c r="H967" s="16" t="b">
        <v>0</v>
      </c>
      <c r="I967" s="16" t="s">
        <v>840</v>
      </c>
      <c r="J967" s="16" t="s">
        <v>374</v>
      </c>
      <c r="K967" s="16" t="s">
        <v>375</v>
      </c>
      <c r="L967" s="16" t="s">
        <v>21</v>
      </c>
      <c r="M967" s="16">
        <v>788</v>
      </c>
    </row>
    <row r="968" ht="15.75" customHeight="1" spans="1:13">
      <c r="A968" s="16" t="s">
        <v>1390</v>
      </c>
      <c r="B968" s="16" t="s">
        <v>14</v>
      </c>
      <c r="C968" s="16" t="s">
        <v>190</v>
      </c>
      <c r="D968" s="74"/>
      <c r="E968" s="16" t="s">
        <v>572</v>
      </c>
      <c r="F968" s="16"/>
      <c r="G968" s="75" t="b">
        <f t="shared" si="0"/>
        <v>0</v>
      </c>
      <c r="H968" s="16" t="b">
        <v>0</v>
      </c>
      <c r="I968" s="16" t="s">
        <v>225</v>
      </c>
      <c r="J968" s="16" t="s">
        <v>211</v>
      </c>
      <c r="K968" s="16" t="s">
        <v>573</v>
      </c>
      <c r="L968" s="16" t="s">
        <v>21</v>
      </c>
      <c r="M968" s="16">
        <v>488</v>
      </c>
    </row>
    <row r="969" ht="15.75" customHeight="1" spans="1:13">
      <c r="A969" s="16" t="s">
        <v>1391</v>
      </c>
      <c r="B969" s="16" t="s">
        <v>147</v>
      </c>
      <c r="C969" s="16"/>
      <c r="D969" s="74"/>
      <c r="E969" s="16"/>
      <c r="F969" s="16"/>
      <c r="G969" s="75" t="b">
        <f t="shared" si="0"/>
        <v>0</v>
      </c>
      <c r="H969" s="16" t="b">
        <v>0</v>
      </c>
      <c r="I969" s="16" t="s">
        <v>392</v>
      </c>
      <c r="J969" s="16" t="s">
        <v>54</v>
      </c>
      <c r="K969" s="16" t="s">
        <v>198</v>
      </c>
      <c r="L969" s="16" t="s">
        <v>21</v>
      </c>
      <c r="M969" s="16">
        <v>1016</v>
      </c>
    </row>
    <row r="970" ht="15.75" customHeight="1" spans="1:13">
      <c r="A970" s="16" t="s">
        <v>1392</v>
      </c>
      <c r="B970" s="16" t="s">
        <v>147</v>
      </c>
      <c r="C970" s="16"/>
      <c r="D970" s="74"/>
      <c r="E970" s="16"/>
      <c r="F970" s="16"/>
      <c r="G970" s="75" t="b">
        <f t="shared" si="0"/>
        <v>0</v>
      </c>
      <c r="H970" s="16" t="b">
        <v>0</v>
      </c>
      <c r="I970" s="16" t="s">
        <v>144</v>
      </c>
      <c r="J970" s="16" t="s">
        <v>54</v>
      </c>
      <c r="K970" s="16" t="s">
        <v>566</v>
      </c>
      <c r="L970" s="16" t="s">
        <v>21</v>
      </c>
      <c r="M970" s="16">
        <v>1061</v>
      </c>
    </row>
    <row r="971" ht="15.75" customHeight="1" spans="1:13">
      <c r="A971" s="16" t="s">
        <v>1393</v>
      </c>
      <c r="B971" s="16" t="s">
        <v>147</v>
      </c>
      <c r="C971" s="16" t="s">
        <v>15</v>
      </c>
      <c r="D971" s="74"/>
      <c r="E971" s="16" t="s">
        <v>1394</v>
      </c>
      <c r="F971" s="16"/>
      <c r="G971" s="75" t="b">
        <f t="shared" si="0"/>
        <v>0</v>
      </c>
      <c r="H971" s="16" t="b">
        <v>0</v>
      </c>
      <c r="I971" s="16" t="s">
        <v>1008</v>
      </c>
      <c r="J971" s="16" t="s">
        <v>83</v>
      </c>
      <c r="K971" s="16" t="s">
        <v>451</v>
      </c>
      <c r="L971" s="16" t="s">
        <v>21</v>
      </c>
      <c r="M971" s="16">
        <v>741</v>
      </c>
    </row>
    <row r="972" ht="15.75" customHeight="1" spans="1:13">
      <c r="A972" s="16" t="s">
        <v>1395</v>
      </c>
      <c r="B972" s="16" t="s">
        <v>147</v>
      </c>
      <c r="C972" s="16"/>
      <c r="D972" s="74"/>
      <c r="E972" s="16"/>
      <c r="F972" s="16"/>
      <c r="G972" s="75" t="b">
        <f t="shared" si="0"/>
        <v>0</v>
      </c>
      <c r="H972" s="16" t="b">
        <v>0</v>
      </c>
      <c r="I972" s="16" t="s">
        <v>1014</v>
      </c>
      <c r="J972" s="16" t="s">
        <v>374</v>
      </c>
      <c r="K972" s="16" t="s">
        <v>375</v>
      </c>
      <c r="L972" s="16" t="s">
        <v>21</v>
      </c>
      <c r="M972" s="16">
        <v>784</v>
      </c>
    </row>
    <row r="973" ht="15.75" customHeight="1" spans="1:13">
      <c r="A973" s="16" t="s">
        <v>1396</v>
      </c>
      <c r="B973" s="16" t="s">
        <v>147</v>
      </c>
      <c r="C973" s="16"/>
      <c r="D973" s="74"/>
      <c r="E973" s="16"/>
      <c r="F973" s="16"/>
      <c r="G973" s="75" t="b">
        <f t="shared" si="0"/>
        <v>0</v>
      </c>
      <c r="H973" s="16" t="b">
        <v>0</v>
      </c>
      <c r="I973" s="16" t="s">
        <v>1175</v>
      </c>
      <c r="J973" s="16" t="s">
        <v>374</v>
      </c>
      <c r="K973" s="16" t="s">
        <v>375</v>
      </c>
      <c r="L973" s="16" t="s">
        <v>21</v>
      </c>
      <c r="M973" s="16">
        <v>795</v>
      </c>
    </row>
    <row r="974" ht="15.75" customHeight="1" spans="1:13">
      <c r="A974" s="16" t="s">
        <v>1397</v>
      </c>
      <c r="B974" s="16" t="s">
        <v>147</v>
      </c>
      <c r="C974" s="16"/>
      <c r="D974" s="74"/>
      <c r="E974" s="16"/>
      <c r="F974" s="16"/>
      <c r="G974" s="75" t="b">
        <f t="shared" si="0"/>
        <v>0</v>
      </c>
      <c r="H974" s="16" t="b">
        <v>0</v>
      </c>
      <c r="I974" s="16" t="s">
        <v>1398</v>
      </c>
      <c r="J974" s="16" t="s">
        <v>374</v>
      </c>
      <c r="K974" s="16" t="s">
        <v>375</v>
      </c>
      <c r="L974" s="16" t="s">
        <v>21</v>
      </c>
      <c r="M974" s="16">
        <v>803</v>
      </c>
    </row>
    <row r="975" ht="15.75" customHeight="1" spans="1:13">
      <c r="A975" s="16" t="s">
        <v>1399</v>
      </c>
      <c r="B975" s="16" t="s">
        <v>147</v>
      </c>
      <c r="C975" s="16"/>
      <c r="D975" s="74"/>
      <c r="E975" s="16"/>
      <c r="F975" s="16"/>
      <c r="G975" s="75" t="b">
        <f t="shared" si="0"/>
        <v>0</v>
      </c>
      <c r="H975" s="16" t="b">
        <v>0</v>
      </c>
      <c r="I975" s="16" t="s">
        <v>746</v>
      </c>
      <c r="J975" s="16" t="s">
        <v>374</v>
      </c>
      <c r="K975" s="16" t="s">
        <v>375</v>
      </c>
      <c r="L975" s="16" t="s">
        <v>21</v>
      </c>
      <c r="M975" s="16">
        <v>801</v>
      </c>
    </row>
    <row r="976" ht="15.75" customHeight="1" spans="1:13">
      <c r="A976" s="16" t="s">
        <v>1400</v>
      </c>
      <c r="B976" s="16" t="s">
        <v>147</v>
      </c>
      <c r="C976" s="16"/>
      <c r="D976" s="74"/>
      <c r="E976" s="16"/>
      <c r="F976" s="16"/>
      <c r="G976" s="75" t="b">
        <f t="shared" si="0"/>
        <v>0</v>
      </c>
      <c r="H976" s="16" t="b">
        <v>0</v>
      </c>
      <c r="I976" s="16" t="s">
        <v>575</v>
      </c>
      <c r="J976" s="16" t="s">
        <v>1401</v>
      </c>
      <c r="K976" s="16" t="s">
        <v>1402</v>
      </c>
      <c r="L976" s="16" t="s">
        <v>21</v>
      </c>
      <c r="M976" s="16">
        <v>924</v>
      </c>
    </row>
    <row r="977" ht="15.75" customHeight="1" spans="1:13">
      <c r="A977" s="16" t="s">
        <v>1403</v>
      </c>
      <c r="B977" s="16" t="s">
        <v>147</v>
      </c>
      <c r="C977" s="16"/>
      <c r="D977" s="74"/>
      <c r="E977" s="16"/>
      <c r="F977" s="16"/>
      <c r="G977" s="75" t="b">
        <f t="shared" si="0"/>
        <v>0</v>
      </c>
      <c r="H977" s="16" t="b">
        <v>0</v>
      </c>
      <c r="I977" s="16" t="s">
        <v>1008</v>
      </c>
      <c r="J977" s="16" t="s">
        <v>374</v>
      </c>
      <c r="K977" s="16" t="s">
        <v>375</v>
      </c>
      <c r="L977" s="16" t="s">
        <v>21</v>
      </c>
      <c r="M977" s="16">
        <v>793</v>
      </c>
    </row>
    <row r="978" ht="15.75" customHeight="1" spans="1:13">
      <c r="A978" s="16" t="s">
        <v>1404</v>
      </c>
      <c r="B978" s="16" t="s">
        <v>14</v>
      </c>
      <c r="C978" s="16"/>
      <c r="D978" s="74"/>
      <c r="E978" s="16" t="s">
        <v>1405</v>
      </c>
      <c r="F978" s="16"/>
      <c r="G978" s="75" t="b">
        <f t="shared" si="0"/>
        <v>0</v>
      </c>
      <c r="H978" s="16" t="b">
        <v>0</v>
      </c>
      <c r="I978" s="16" t="s">
        <v>67</v>
      </c>
      <c r="J978" s="16" t="s">
        <v>58</v>
      </c>
      <c r="K978" s="16" t="s">
        <v>177</v>
      </c>
      <c r="L978" s="16" t="s">
        <v>39</v>
      </c>
      <c r="M978" s="16">
        <v>349</v>
      </c>
    </row>
    <row r="979" ht="15.75" customHeight="1" spans="1:13">
      <c r="A979" s="16" t="s">
        <v>1406</v>
      </c>
      <c r="B979" s="16" t="s">
        <v>147</v>
      </c>
      <c r="C979" s="16"/>
      <c r="D979" s="74"/>
      <c r="E979" s="16"/>
      <c r="F979" s="16"/>
      <c r="G979" s="75" t="b">
        <f t="shared" si="0"/>
        <v>0</v>
      </c>
      <c r="H979" s="16" t="b">
        <v>0</v>
      </c>
      <c r="I979" s="16" t="s">
        <v>109</v>
      </c>
      <c r="J979" s="16" t="s">
        <v>374</v>
      </c>
      <c r="K979" s="16" t="s">
        <v>375</v>
      </c>
      <c r="L979" s="16" t="s">
        <v>21</v>
      </c>
      <c r="M979" s="16">
        <v>785</v>
      </c>
    </row>
    <row r="980" ht="15.75" customHeight="1" spans="1:13">
      <c r="A980" s="16" t="s">
        <v>1407</v>
      </c>
      <c r="B980" s="16" t="s">
        <v>147</v>
      </c>
      <c r="C980" s="16"/>
      <c r="D980" s="74"/>
      <c r="E980" s="16"/>
      <c r="F980" s="16"/>
      <c r="G980" s="75" t="b">
        <f t="shared" si="0"/>
        <v>0</v>
      </c>
      <c r="H980" s="16" t="b">
        <v>0</v>
      </c>
      <c r="I980" s="16" t="s">
        <v>1183</v>
      </c>
      <c r="J980" s="16" t="s">
        <v>374</v>
      </c>
      <c r="K980" s="16" t="s">
        <v>375</v>
      </c>
      <c r="L980" s="16" t="s">
        <v>21</v>
      </c>
      <c r="M980" s="16">
        <v>790</v>
      </c>
    </row>
    <row r="981" ht="15.75" customHeight="1" spans="1:13">
      <c r="A981" s="16" t="s">
        <v>1408</v>
      </c>
      <c r="B981" s="16" t="s">
        <v>147</v>
      </c>
      <c r="C981" s="16"/>
      <c r="D981" s="74"/>
      <c r="E981" s="16"/>
      <c r="F981" s="16"/>
      <c r="G981" s="75" t="b">
        <f t="shared" si="0"/>
        <v>0</v>
      </c>
      <c r="H981" s="16" t="b">
        <v>0</v>
      </c>
      <c r="I981" s="16" t="s">
        <v>695</v>
      </c>
      <c r="J981" s="16" t="s">
        <v>374</v>
      </c>
      <c r="K981" s="16" t="s">
        <v>375</v>
      </c>
      <c r="L981" s="16" t="s">
        <v>21</v>
      </c>
      <c r="M981" s="16">
        <v>799</v>
      </c>
    </row>
    <row r="982" ht="15.75" customHeight="1" spans="1:13">
      <c r="A982" s="16" t="s">
        <v>1409</v>
      </c>
      <c r="B982" s="16" t="s">
        <v>147</v>
      </c>
      <c r="C982" s="16" t="s">
        <v>15</v>
      </c>
      <c r="D982" s="74"/>
      <c r="E982" s="16"/>
      <c r="F982" s="16"/>
      <c r="G982" s="75" t="b">
        <f t="shared" si="0"/>
        <v>0</v>
      </c>
      <c r="H982" s="16" t="b">
        <v>0</v>
      </c>
      <c r="I982" s="16" t="s">
        <v>358</v>
      </c>
      <c r="J982" s="16" t="s">
        <v>63</v>
      </c>
      <c r="K982" s="16" t="s">
        <v>93</v>
      </c>
      <c r="L982" s="16" t="s">
        <v>21</v>
      </c>
      <c r="M982" s="16">
        <v>880</v>
      </c>
    </row>
    <row r="983" ht="15.75" customHeight="1" spans="1:13">
      <c r="A983" s="16" t="s">
        <v>1410</v>
      </c>
      <c r="B983" s="16" t="s">
        <v>14</v>
      </c>
      <c r="C983" s="16" t="s">
        <v>15</v>
      </c>
      <c r="D983" s="74"/>
      <c r="E983" s="16" t="s">
        <v>1411</v>
      </c>
      <c r="F983" s="16"/>
      <c r="G983" s="75" t="b">
        <f t="shared" si="0"/>
        <v>0</v>
      </c>
      <c r="H983" s="16" t="b">
        <v>0</v>
      </c>
      <c r="I983" s="16" t="s">
        <v>72</v>
      </c>
      <c r="J983" s="16" t="s">
        <v>63</v>
      </c>
      <c r="K983" s="16" t="s">
        <v>73</v>
      </c>
      <c r="L983" s="16" t="s">
        <v>21</v>
      </c>
      <c r="M983" s="16">
        <v>972</v>
      </c>
    </row>
    <row r="984" ht="15.75" customHeight="1" spans="1:13">
      <c r="A984" s="16" t="s">
        <v>1412</v>
      </c>
      <c r="B984" s="16" t="s">
        <v>14</v>
      </c>
      <c r="C984" s="16" t="s">
        <v>15</v>
      </c>
      <c r="D984" s="74"/>
      <c r="E984" s="16" t="s">
        <v>1411</v>
      </c>
      <c r="F984" s="16"/>
      <c r="G984" s="75" t="b">
        <f t="shared" si="0"/>
        <v>0</v>
      </c>
      <c r="H984" s="16" t="b">
        <v>0</v>
      </c>
      <c r="I984" s="16" t="s">
        <v>141</v>
      </c>
      <c r="J984" s="16" t="s">
        <v>126</v>
      </c>
      <c r="K984" s="16" t="s">
        <v>142</v>
      </c>
      <c r="L984" s="16" t="s">
        <v>21</v>
      </c>
      <c r="M984" s="16">
        <v>310</v>
      </c>
    </row>
    <row r="985" ht="15.75" customHeight="1" spans="1:13">
      <c r="A985" s="16" t="s">
        <v>1413</v>
      </c>
      <c r="B985" s="16" t="s">
        <v>147</v>
      </c>
      <c r="C985" s="16" t="s">
        <v>15</v>
      </c>
      <c r="D985" s="74"/>
      <c r="E985" s="16" t="s">
        <v>1208</v>
      </c>
      <c r="F985" s="16"/>
      <c r="G985" s="75" t="b">
        <f t="shared" si="0"/>
        <v>0</v>
      </c>
      <c r="H985" s="16" t="b">
        <v>0</v>
      </c>
      <c r="I985" s="16" t="s">
        <v>870</v>
      </c>
      <c r="J985" s="16" t="s">
        <v>211</v>
      </c>
      <c r="K985" s="16" t="s">
        <v>1005</v>
      </c>
      <c r="L985" s="16" t="s">
        <v>21</v>
      </c>
      <c r="M985" s="16">
        <v>547</v>
      </c>
    </row>
    <row r="986" ht="15.75" customHeight="1" spans="1:13">
      <c r="A986" s="16" t="s">
        <v>1414</v>
      </c>
      <c r="B986" s="16" t="s">
        <v>147</v>
      </c>
      <c r="C986" s="16"/>
      <c r="D986" s="74"/>
      <c r="E986" s="16"/>
      <c r="F986" s="16"/>
      <c r="G986" s="75" t="b">
        <f t="shared" si="0"/>
        <v>0</v>
      </c>
      <c r="H986" s="16" t="b">
        <v>0</v>
      </c>
      <c r="I986" s="16"/>
      <c r="J986" s="16" t="s">
        <v>374</v>
      </c>
      <c r="K986" s="16" t="s">
        <v>375</v>
      </c>
      <c r="L986" s="16" t="s">
        <v>21</v>
      </c>
      <c r="M986" s="16">
        <v>805</v>
      </c>
    </row>
    <row r="987" ht="15.75" customHeight="1" spans="1:13">
      <c r="A987" s="16" t="s">
        <v>1415</v>
      </c>
      <c r="B987" s="16" t="s">
        <v>147</v>
      </c>
      <c r="C987" s="16" t="s">
        <v>15</v>
      </c>
      <c r="D987" s="74"/>
      <c r="E987" s="16"/>
      <c r="F987" s="16"/>
      <c r="G987" s="75" t="b">
        <f t="shared" si="0"/>
        <v>0</v>
      </c>
      <c r="H987" s="16" t="b">
        <v>0</v>
      </c>
      <c r="I987" s="16" t="s">
        <v>72</v>
      </c>
      <c r="J987" s="16" t="s">
        <v>63</v>
      </c>
      <c r="K987" s="16" t="s">
        <v>73</v>
      </c>
      <c r="L987" s="16" t="s">
        <v>21</v>
      </c>
      <c r="M987" s="16">
        <v>966</v>
      </c>
    </row>
    <row r="988" ht="15.75" customHeight="1" spans="1:13">
      <c r="A988" s="16" t="s">
        <v>1416</v>
      </c>
      <c r="B988" s="16" t="s">
        <v>147</v>
      </c>
      <c r="C988" s="16" t="s">
        <v>15</v>
      </c>
      <c r="D988" s="74"/>
      <c r="E988" s="16" t="s">
        <v>1208</v>
      </c>
      <c r="F988" s="16"/>
      <c r="G988" s="75" t="b">
        <f t="shared" si="0"/>
        <v>0</v>
      </c>
      <c r="H988" s="16" t="b">
        <v>0</v>
      </c>
      <c r="I988" s="16" t="s">
        <v>72</v>
      </c>
      <c r="J988" s="16" t="s">
        <v>211</v>
      </c>
      <c r="K988" s="16" t="s">
        <v>212</v>
      </c>
      <c r="L988" s="16" t="s">
        <v>21</v>
      </c>
      <c r="M988" s="16">
        <v>993</v>
      </c>
    </row>
    <row r="989" ht="15.75" customHeight="1" spans="1:13">
      <c r="A989" s="16" t="s">
        <v>1417</v>
      </c>
      <c r="B989" s="16" t="s">
        <v>14</v>
      </c>
      <c r="C989" s="16" t="s">
        <v>15</v>
      </c>
      <c r="D989" s="74"/>
      <c r="E989" s="16" t="s">
        <v>1120</v>
      </c>
      <c r="F989" s="16"/>
      <c r="G989" s="75" t="b">
        <f t="shared" si="0"/>
        <v>0</v>
      </c>
      <c r="H989" s="16" t="b">
        <v>0</v>
      </c>
      <c r="I989" s="16" t="s">
        <v>57</v>
      </c>
      <c r="J989" s="16" t="s">
        <v>211</v>
      </c>
      <c r="K989" s="16" t="s">
        <v>573</v>
      </c>
      <c r="L989" s="16" t="s">
        <v>21</v>
      </c>
      <c r="M989" s="16">
        <v>496</v>
      </c>
    </row>
    <row r="990" ht="15.75" customHeight="1" spans="1:13">
      <c r="A990" s="16" t="s">
        <v>1418</v>
      </c>
      <c r="B990" s="16" t="s">
        <v>14</v>
      </c>
      <c r="C990" s="16"/>
      <c r="D990" s="74"/>
      <c r="E990" s="16" t="s">
        <v>1419</v>
      </c>
      <c r="F990" s="16"/>
      <c r="G990" s="75" t="b">
        <f t="shared" si="0"/>
        <v>0</v>
      </c>
      <c r="H990" s="16" t="b">
        <v>0</v>
      </c>
      <c r="I990" s="16" t="s">
        <v>41</v>
      </c>
      <c r="J990" s="16" t="s">
        <v>132</v>
      </c>
      <c r="K990" s="16" t="s">
        <v>295</v>
      </c>
      <c r="L990" s="16" t="s">
        <v>21</v>
      </c>
      <c r="M990" s="16">
        <v>508</v>
      </c>
    </row>
    <row r="991" ht="15.75" customHeight="1" spans="1:13">
      <c r="A991" s="16" t="s">
        <v>1420</v>
      </c>
      <c r="B991" s="16" t="s">
        <v>14</v>
      </c>
      <c r="C991" s="16" t="s">
        <v>15</v>
      </c>
      <c r="D991" s="74"/>
      <c r="E991" s="16" t="s">
        <v>1421</v>
      </c>
      <c r="F991" s="16"/>
      <c r="G991" s="75" t="b">
        <f t="shared" si="0"/>
        <v>0</v>
      </c>
      <c r="H991" s="16" t="b">
        <v>0</v>
      </c>
      <c r="I991" s="16" t="s">
        <v>338</v>
      </c>
      <c r="J991" s="16" t="s">
        <v>211</v>
      </c>
      <c r="K991" s="16" t="s">
        <v>991</v>
      </c>
      <c r="L991" s="16" t="s">
        <v>21</v>
      </c>
      <c r="M991" s="16">
        <v>353</v>
      </c>
    </row>
    <row r="992" ht="15.75" customHeight="1" spans="1:13">
      <c r="A992" s="16" t="s">
        <v>1422</v>
      </c>
      <c r="B992" s="16" t="s">
        <v>147</v>
      </c>
      <c r="C992" s="16" t="s">
        <v>15</v>
      </c>
      <c r="D992" s="74"/>
      <c r="E992" s="16"/>
      <c r="F992" s="16"/>
      <c r="G992" s="75" t="b">
        <f t="shared" si="0"/>
        <v>0</v>
      </c>
      <c r="H992" s="16" t="b">
        <v>0</v>
      </c>
      <c r="I992" s="16" t="s">
        <v>358</v>
      </c>
      <c r="J992" s="16" t="s">
        <v>63</v>
      </c>
      <c r="K992" s="16" t="s">
        <v>169</v>
      </c>
      <c r="L992" s="16" t="s">
        <v>21</v>
      </c>
      <c r="M992" s="16">
        <v>395</v>
      </c>
    </row>
    <row r="993" ht="15.75" customHeight="1" spans="1:13">
      <c r="A993" s="16" t="s">
        <v>1423</v>
      </c>
      <c r="B993" s="16" t="s">
        <v>147</v>
      </c>
      <c r="C993" s="16" t="s">
        <v>15</v>
      </c>
      <c r="D993" s="74"/>
      <c r="E993" s="16" t="s">
        <v>1394</v>
      </c>
      <c r="F993" s="16"/>
      <c r="G993" s="75" t="b">
        <f t="shared" si="0"/>
        <v>0</v>
      </c>
      <c r="H993" s="16" t="b">
        <v>0</v>
      </c>
      <c r="I993" s="16" t="s">
        <v>1008</v>
      </c>
      <c r="J993" s="16" t="s">
        <v>83</v>
      </c>
      <c r="K993" s="16" t="s">
        <v>451</v>
      </c>
      <c r="L993" s="16" t="s">
        <v>21</v>
      </c>
      <c r="M993" s="16">
        <v>740</v>
      </c>
    </row>
    <row r="994" ht="15.75" customHeight="1" spans="1:13">
      <c r="A994" s="16" t="s">
        <v>1424</v>
      </c>
      <c r="B994" s="16" t="s">
        <v>147</v>
      </c>
      <c r="C994" s="16"/>
      <c r="D994" s="74"/>
      <c r="E994" s="16"/>
      <c r="F994" s="16"/>
      <c r="G994" s="75" t="b">
        <f t="shared" si="0"/>
        <v>0</v>
      </c>
      <c r="H994" s="16" t="b">
        <v>0</v>
      </c>
      <c r="I994" s="16" t="s">
        <v>144</v>
      </c>
      <c r="J994" s="16" t="s">
        <v>54</v>
      </c>
      <c r="K994" s="16" t="s">
        <v>566</v>
      </c>
      <c r="L994" s="16" t="s">
        <v>21</v>
      </c>
      <c r="M994" s="16">
        <v>866</v>
      </c>
    </row>
    <row r="995" ht="15.75" customHeight="1" spans="1:13">
      <c r="A995" s="16" t="s">
        <v>1425</v>
      </c>
      <c r="B995" s="16" t="s">
        <v>147</v>
      </c>
      <c r="C995" s="16" t="s">
        <v>15</v>
      </c>
      <c r="D995" s="74"/>
      <c r="E995" s="16"/>
      <c r="F995" s="16"/>
      <c r="G995" s="75" t="b">
        <f t="shared" si="0"/>
        <v>0</v>
      </c>
      <c r="H995" s="16" t="b">
        <v>0</v>
      </c>
      <c r="I995" s="16" t="s">
        <v>358</v>
      </c>
      <c r="J995" s="16" t="s">
        <v>63</v>
      </c>
      <c r="K995" s="16" t="s">
        <v>93</v>
      </c>
      <c r="L995" s="16" t="s">
        <v>21</v>
      </c>
      <c r="M995" s="16">
        <v>274</v>
      </c>
    </row>
    <row r="996" ht="15.75" customHeight="1" spans="1:13">
      <c r="A996" s="16" t="s">
        <v>1426</v>
      </c>
      <c r="B996" s="16" t="s">
        <v>147</v>
      </c>
      <c r="C996" s="16"/>
      <c r="D996" s="74"/>
      <c r="E996" s="16"/>
      <c r="F996" s="16"/>
      <c r="G996" s="75" t="b">
        <f t="shared" si="0"/>
        <v>0</v>
      </c>
      <c r="H996" s="16" t="b">
        <v>0</v>
      </c>
      <c r="I996" s="16" t="s">
        <v>41</v>
      </c>
      <c r="J996" s="16" t="s">
        <v>132</v>
      </c>
      <c r="K996" s="16" t="s">
        <v>295</v>
      </c>
      <c r="L996" s="16" t="s">
        <v>21</v>
      </c>
      <c r="M996" s="16">
        <v>973</v>
      </c>
    </row>
    <row r="997" ht="15.75" customHeight="1" spans="1:13">
      <c r="A997" s="16" t="s">
        <v>1427</v>
      </c>
      <c r="B997" s="16" t="s">
        <v>147</v>
      </c>
      <c r="C997" s="16"/>
      <c r="D997" s="74"/>
      <c r="E997" s="16" t="s">
        <v>1428</v>
      </c>
      <c r="F997" s="16"/>
      <c r="G997" s="75" t="b">
        <f t="shared" si="0"/>
        <v>0</v>
      </c>
      <c r="H997" s="16" t="b">
        <v>0</v>
      </c>
      <c r="I997" s="16" t="s">
        <v>53</v>
      </c>
      <c r="J997" s="16" t="s">
        <v>54</v>
      </c>
      <c r="K997" s="16" t="s">
        <v>566</v>
      </c>
      <c r="L997" s="16" t="s">
        <v>21</v>
      </c>
      <c r="M997" s="16">
        <v>33</v>
      </c>
    </row>
    <row r="998" ht="15.75" customHeight="1" spans="1:13">
      <c r="A998" s="81" t="s">
        <v>1429</v>
      </c>
      <c r="B998" s="16" t="s">
        <v>23</v>
      </c>
      <c r="C998" s="16" t="s">
        <v>15</v>
      </c>
      <c r="D998" s="74"/>
      <c r="E998" s="16" t="s">
        <v>1120</v>
      </c>
      <c r="F998" s="16"/>
      <c r="G998" s="75" t="b">
        <f t="shared" si="0"/>
        <v>0</v>
      </c>
      <c r="H998" s="16" t="b">
        <v>0</v>
      </c>
      <c r="I998" s="16" t="s">
        <v>57</v>
      </c>
      <c r="J998" s="16" t="s">
        <v>211</v>
      </c>
      <c r="K998" s="16" t="s">
        <v>573</v>
      </c>
      <c r="L998" s="16" t="s">
        <v>21</v>
      </c>
      <c r="M998" s="16">
        <v>344</v>
      </c>
    </row>
    <row r="999" ht="15.75" customHeight="1" spans="1:13">
      <c r="A999" s="16" t="s">
        <v>1430</v>
      </c>
      <c r="B999" s="16" t="s">
        <v>147</v>
      </c>
      <c r="C999" s="16" t="s">
        <v>15</v>
      </c>
      <c r="D999" s="74"/>
      <c r="E999" s="16"/>
      <c r="F999" s="16"/>
      <c r="G999" s="75" t="b">
        <f t="shared" si="0"/>
        <v>0</v>
      </c>
      <c r="H999" s="16" t="b">
        <v>0</v>
      </c>
      <c r="I999" s="16" t="s">
        <v>72</v>
      </c>
      <c r="J999" s="16" t="s">
        <v>63</v>
      </c>
      <c r="K999" s="16" t="s">
        <v>73</v>
      </c>
      <c r="L999" s="16" t="s">
        <v>21</v>
      </c>
      <c r="M999" s="16">
        <v>967</v>
      </c>
    </row>
    <row r="1000" ht="15.75" customHeight="1" spans="1:13">
      <c r="A1000" s="16" t="s">
        <v>1431</v>
      </c>
      <c r="B1000" s="16" t="s">
        <v>14</v>
      </c>
      <c r="C1000" s="16" t="s">
        <v>15</v>
      </c>
      <c r="D1000" s="74"/>
      <c r="E1000" s="16" t="s">
        <v>1340</v>
      </c>
      <c r="F1000" s="16"/>
      <c r="G1000" s="75" t="b">
        <f t="shared" si="0"/>
        <v>0</v>
      </c>
      <c r="H1000" s="16" t="b">
        <v>0</v>
      </c>
      <c r="I1000" s="16" t="s">
        <v>358</v>
      </c>
      <c r="J1000" s="16" t="s">
        <v>126</v>
      </c>
      <c r="K1000" s="16" t="s">
        <v>774</v>
      </c>
      <c r="L1000" s="16" t="s">
        <v>21</v>
      </c>
      <c r="M1000" s="16">
        <v>472</v>
      </c>
    </row>
    <row r="1001" ht="15.75" customHeight="1" spans="1:13">
      <c r="A1001" s="16" t="s">
        <v>1432</v>
      </c>
      <c r="B1001" s="16" t="s">
        <v>147</v>
      </c>
      <c r="C1001" s="16" t="s">
        <v>15</v>
      </c>
      <c r="D1001" s="74"/>
      <c r="E1001" s="16" t="s">
        <v>1208</v>
      </c>
      <c r="F1001" s="16"/>
      <c r="G1001" s="75" t="b">
        <f t="shared" si="0"/>
        <v>0</v>
      </c>
      <c r="H1001" s="16" t="b">
        <v>0</v>
      </c>
      <c r="I1001" s="16" t="s">
        <v>225</v>
      </c>
      <c r="J1001" s="16" t="s">
        <v>211</v>
      </c>
      <c r="K1001" s="16" t="s">
        <v>573</v>
      </c>
      <c r="L1001" s="16" t="s">
        <v>21</v>
      </c>
      <c r="M1001" s="16">
        <v>1001</v>
      </c>
    </row>
    <row r="1002" ht="15.75" customHeight="1" spans="1:13">
      <c r="A1002" s="16" t="s">
        <v>1433</v>
      </c>
      <c r="B1002" s="16" t="s">
        <v>14</v>
      </c>
      <c r="C1002" s="16" t="s">
        <v>15</v>
      </c>
      <c r="D1002" s="74"/>
      <c r="E1002" s="16" t="s">
        <v>1434</v>
      </c>
      <c r="F1002" s="16"/>
      <c r="G1002" s="75" t="b">
        <f t="shared" si="0"/>
        <v>0</v>
      </c>
      <c r="H1002" s="16" t="b">
        <v>0</v>
      </c>
      <c r="I1002" s="16" t="s">
        <v>67</v>
      </c>
      <c r="J1002" s="16" t="s">
        <v>19</v>
      </c>
      <c r="K1002" s="16" t="s">
        <v>20</v>
      </c>
      <c r="L1002" s="16" t="s">
        <v>21</v>
      </c>
      <c r="M1002" s="16">
        <v>351</v>
      </c>
    </row>
    <row r="1003" ht="15.75" customHeight="1" spans="1:13">
      <c r="A1003" s="16" t="s">
        <v>1435</v>
      </c>
      <c r="B1003" s="16" t="s">
        <v>147</v>
      </c>
      <c r="C1003" s="16" t="s">
        <v>15</v>
      </c>
      <c r="D1003" s="74"/>
      <c r="E1003" s="16"/>
      <c r="F1003" s="16"/>
      <c r="G1003" s="75" t="b">
        <f t="shared" si="0"/>
        <v>0</v>
      </c>
      <c r="H1003" s="16" t="b">
        <v>0</v>
      </c>
      <c r="I1003" s="16" t="s">
        <v>575</v>
      </c>
      <c r="J1003" s="16" t="s">
        <v>30</v>
      </c>
      <c r="K1003" s="16" t="s">
        <v>30</v>
      </c>
      <c r="L1003" s="16" t="s">
        <v>21</v>
      </c>
      <c r="M1003" s="16">
        <v>923</v>
      </c>
    </row>
    <row r="1004" ht="15.75" customHeight="1" spans="1:13">
      <c r="A1004" s="16" t="s">
        <v>1436</v>
      </c>
      <c r="B1004" s="16" t="s">
        <v>147</v>
      </c>
      <c r="C1004" s="16"/>
      <c r="D1004" s="79"/>
      <c r="E1004" s="75"/>
      <c r="F1004" s="16" t="s">
        <v>1437</v>
      </c>
      <c r="G1004" s="75" t="b">
        <f t="shared" si="0"/>
        <v>0</v>
      </c>
      <c r="H1004" s="16" t="b">
        <v>0</v>
      </c>
      <c r="I1004" s="16" t="s">
        <v>588</v>
      </c>
      <c r="J1004" s="16" t="s">
        <v>54</v>
      </c>
      <c r="K1004" s="16" t="s">
        <v>153</v>
      </c>
      <c r="L1004" s="16" t="s">
        <v>39</v>
      </c>
      <c r="M1004" s="16">
        <v>36</v>
      </c>
    </row>
    <row r="1005" ht="15.75" customHeight="1" spans="1:13">
      <c r="A1005" s="82" t="s">
        <v>1438</v>
      </c>
      <c r="B1005" s="82" t="s">
        <v>147</v>
      </c>
      <c r="C1005" s="82" t="s">
        <v>15</v>
      </c>
      <c r="D1005" s="83"/>
      <c r="E1005" s="82" t="s">
        <v>1439</v>
      </c>
      <c r="F1005" s="82" t="s">
        <v>1440</v>
      </c>
      <c r="G1005" s="82" t="b">
        <f t="shared" si="0"/>
        <v>0</v>
      </c>
      <c r="H1005" s="82" t="b">
        <v>0</v>
      </c>
      <c r="I1005" s="82" t="s">
        <v>186</v>
      </c>
      <c r="J1005" s="82" t="s">
        <v>187</v>
      </c>
      <c r="K1005" s="82" t="s">
        <v>227</v>
      </c>
      <c r="L1005" s="82" t="s">
        <v>21</v>
      </c>
      <c r="M1005" s="82">
        <v>37</v>
      </c>
    </row>
    <row r="1006" ht="15.75" customHeight="1" spans="1:13">
      <c r="A1006" s="84" t="s">
        <v>1441</v>
      </c>
      <c r="B1006" s="16" t="s">
        <v>14</v>
      </c>
      <c r="C1006" s="16" t="s">
        <v>15</v>
      </c>
      <c r="D1006" s="79"/>
      <c r="E1006" s="75"/>
      <c r="F1006" s="16" t="s">
        <v>1189</v>
      </c>
      <c r="G1006" s="75" t="b">
        <f t="shared" si="0"/>
        <v>0</v>
      </c>
      <c r="H1006" s="16" t="b">
        <v>0</v>
      </c>
      <c r="I1006" s="16" t="s">
        <v>131</v>
      </c>
      <c r="J1006" s="16" t="s">
        <v>132</v>
      </c>
      <c r="K1006" s="16" t="s">
        <v>133</v>
      </c>
      <c r="L1006" s="16" t="s">
        <v>160</v>
      </c>
      <c r="M1006" s="16">
        <v>50</v>
      </c>
    </row>
    <row r="1007" ht="15.75" customHeight="1" spans="1:13">
      <c r="A1007" s="16" t="s">
        <v>1442</v>
      </c>
      <c r="B1007" s="16" t="s">
        <v>147</v>
      </c>
      <c r="C1007" s="16"/>
      <c r="D1007" s="79"/>
      <c r="E1007" s="75" t="s">
        <v>1443</v>
      </c>
      <c r="F1007" s="16"/>
      <c r="G1007" s="75" t="b">
        <f t="shared" si="0"/>
        <v>0</v>
      </c>
      <c r="H1007" s="16" t="b">
        <v>0</v>
      </c>
      <c r="I1007" s="16" t="s">
        <v>131</v>
      </c>
      <c r="J1007" s="16" t="s">
        <v>132</v>
      </c>
      <c r="K1007" s="16" t="s">
        <v>133</v>
      </c>
      <c r="L1007" s="16" t="s">
        <v>160</v>
      </c>
      <c r="M1007" s="16">
        <v>57</v>
      </c>
    </row>
    <row r="1008" ht="15.75" customHeight="1" spans="1:13">
      <c r="A1008" s="16" t="s">
        <v>1444</v>
      </c>
      <c r="B1008" s="16" t="s">
        <v>147</v>
      </c>
      <c r="C1008" s="16"/>
      <c r="D1008" s="79"/>
      <c r="E1008" s="75" t="s">
        <v>1445</v>
      </c>
      <c r="F1008" s="16"/>
      <c r="G1008" s="75" t="b">
        <f t="shared" si="0"/>
        <v>0</v>
      </c>
      <c r="H1008" s="16" t="b">
        <v>0</v>
      </c>
      <c r="I1008" s="16" t="s">
        <v>53</v>
      </c>
      <c r="J1008" s="16" t="s">
        <v>54</v>
      </c>
      <c r="K1008" s="16" t="s">
        <v>198</v>
      </c>
      <c r="L1008" s="16" t="s">
        <v>21</v>
      </c>
      <c r="M1008" s="16">
        <v>71</v>
      </c>
    </row>
    <row r="1009" ht="15.75" customHeight="1" spans="1:13">
      <c r="A1009" s="16" t="s">
        <v>1446</v>
      </c>
      <c r="B1009" s="16" t="s">
        <v>147</v>
      </c>
      <c r="C1009" s="16" t="s">
        <v>15</v>
      </c>
      <c r="D1009" s="74"/>
      <c r="E1009" s="16"/>
      <c r="F1009" s="16"/>
      <c r="G1009" s="16" t="b">
        <f t="shared" si="0"/>
        <v>0</v>
      </c>
      <c r="H1009" s="16" t="b">
        <v>0</v>
      </c>
      <c r="I1009" s="16" t="s">
        <v>186</v>
      </c>
      <c r="J1009" s="16" t="s">
        <v>187</v>
      </c>
      <c r="K1009" s="16" t="s">
        <v>227</v>
      </c>
      <c r="L1009" s="16" t="s">
        <v>21</v>
      </c>
      <c r="M1009" s="16">
        <v>102</v>
      </c>
    </row>
    <row r="1010" ht="15.75" customHeight="1" spans="1:13">
      <c r="A1010" s="16" t="s">
        <v>1447</v>
      </c>
      <c r="B1010" s="16" t="s">
        <v>147</v>
      </c>
      <c r="C1010" s="16"/>
      <c r="D1010" s="79"/>
      <c r="E1010" s="75" t="s">
        <v>1448</v>
      </c>
      <c r="F1010" s="16" t="s">
        <v>1449</v>
      </c>
      <c r="G1010" s="75" t="b">
        <f t="shared" si="0"/>
        <v>0</v>
      </c>
      <c r="H1010" s="16" t="b">
        <v>0</v>
      </c>
      <c r="I1010" s="16" t="s">
        <v>53</v>
      </c>
      <c r="J1010" s="16" t="s">
        <v>54</v>
      </c>
      <c r="K1010" s="16" t="s">
        <v>55</v>
      </c>
      <c r="L1010" s="16" t="s">
        <v>21</v>
      </c>
      <c r="M1010" s="16">
        <v>120</v>
      </c>
    </row>
    <row r="1011" ht="15.75" customHeight="1" spans="1:13">
      <c r="A1011" s="84" t="s">
        <v>1450</v>
      </c>
      <c r="B1011" s="84" t="s">
        <v>1451</v>
      </c>
      <c r="C1011" s="84"/>
      <c r="D1011" s="85"/>
      <c r="E1011" s="84" t="s">
        <v>388</v>
      </c>
      <c r="F1011" s="84" t="s">
        <v>1440</v>
      </c>
      <c r="G1011" s="84" t="b">
        <f t="shared" si="0"/>
        <v>0</v>
      </c>
      <c r="H1011" s="84" t="b">
        <v>0</v>
      </c>
      <c r="I1011" s="84" t="s">
        <v>53</v>
      </c>
      <c r="J1011" s="84" t="s">
        <v>54</v>
      </c>
      <c r="K1011" s="84" t="s">
        <v>1452</v>
      </c>
      <c r="L1011" s="84" t="s">
        <v>21</v>
      </c>
      <c r="M1011" s="84">
        <v>147</v>
      </c>
    </row>
    <row r="1012" ht="15.75" customHeight="1" spans="1:13">
      <c r="A1012" s="16" t="s">
        <v>1453</v>
      </c>
      <c r="B1012" s="16" t="s">
        <v>147</v>
      </c>
      <c r="C1012" s="16" t="s">
        <v>183</v>
      </c>
      <c r="D1012" s="79" t="s">
        <v>381</v>
      </c>
      <c r="E1012" s="75"/>
      <c r="F1012" s="16" t="s">
        <v>1454</v>
      </c>
      <c r="G1012" s="75" t="b">
        <f t="shared" si="0"/>
        <v>0</v>
      </c>
      <c r="H1012" s="16" t="b">
        <v>0</v>
      </c>
      <c r="I1012" s="16" t="s">
        <v>118</v>
      </c>
      <c r="J1012" s="16" t="s">
        <v>19</v>
      </c>
      <c r="K1012" s="16" t="s">
        <v>119</v>
      </c>
      <c r="L1012" s="16" t="s">
        <v>39</v>
      </c>
      <c r="M1012" s="16">
        <v>167</v>
      </c>
    </row>
    <row r="1013" ht="15.75" customHeight="1" spans="1:13">
      <c r="A1013" s="16" t="s">
        <v>1455</v>
      </c>
      <c r="B1013" s="16" t="s">
        <v>147</v>
      </c>
      <c r="C1013" s="16"/>
      <c r="D1013" s="79"/>
      <c r="E1013" s="75"/>
      <c r="F1013" s="16" t="s">
        <v>1456</v>
      </c>
      <c r="G1013" s="75" t="b">
        <f t="shared" si="0"/>
        <v>0</v>
      </c>
      <c r="H1013" s="16" t="b">
        <v>0</v>
      </c>
      <c r="I1013" s="16" t="s">
        <v>67</v>
      </c>
      <c r="J1013" s="16" t="s">
        <v>26</v>
      </c>
      <c r="K1013" s="16" t="s">
        <v>68</v>
      </c>
      <c r="L1013" s="16" t="s">
        <v>21</v>
      </c>
      <c r="M1013" s="16">
        <v>223</v>
      </c>
    </row>
    <row r="1014" ht="15.75" customHeight="1" spans="1:13">
      <c r="A1014" s="84" t="s">
        <v>1457</v>
      </c>
      <c r="B1014" s="84" t="s">
        <v>14</v>
      </c>
      <c r="C1014" s="84"/>
      <c r="D1014" s="85"/>
      <c r="E1014" s="84"/>
      <c r="F1014" s="84"/>
      <c r="G1014" s="84" t="b">
        <f t="shared" si="0"/>
        <v>0</v>
      </c>
      <c r="H1014" s="84" t="b">
        <v>0</v>
      </c>
      <c r="I1014" s="84" t="s">
        <v>230</v>
      </c>
      <c r="J1014" s="84" t="s">
        <v>54</v>
      </c>
      <c r="K1014" s="84" t="s">
        <v>124</v>
      </c>
      <c r="L1014" s="84" t="s">
        <v>160</v>
      </c>
      <c r="M1014" s="84">
        <v>240</v>
      </c>
    </row>
    <row r="1015" ht="15.75" customHeight="1" spans="1:13">
      <c r="A1015" s="16" t="s">
        <v>1458</v>
      </c>
      <c r="B1015" s="16" t="s">
        <v>147</v>
      </c>
      <c r="C1015" s="16" t="s">
        <v>15</v>
      </c>
      <c r="D1015" s="79"/>
      <c r="E1015" s="75"/>
      <c r="F1015" s="16" t="s">
        <v>1459</v>
      </c>
      <c r="G1015" s="75" t="b">
        <f t="shared" si="0"/>
        <v>0</v>
      </c>
      <c r="H1015" s="16" t="b">
        <v>0</v>
      </c>
      <c r="I1015" s="16" t="s">
        <v>62</v>
      </c>
      <c r="J1015" s="16" t="s">
        <v>63</v>
      </c>
      <c r="K1015" s="16" t="s">
        <v>64</v>
      </c>
      <c r="L1015" s="16" t="s">
        <v>21</v>
      </c>
      <c r="M1015" s="16">
        <v>257</v>
      </c>
    </row>
    <row r="1016" ht="15.75" customHeight="1" spans="1:13">
      <c r="A1016" s="80" t="s">
        <v>1460</v>
      </c>
      <c r="B1016" s="80" t="s">
        <v>147</v>
      </c>
      <c r="C1016" s="80" t="s">
        <v>15</v>
      </c>
      <c r="D1016" s="78"/>
      <c r="E1016" s="80"/>
      <c r="F1016" s="80"/>
      <c r="G1016" s="75" t="b">
        <f t="shared" si="0"/>
        <v>0</v>
      </c>
      <c r="H1016" s="16" t="b">
        <v>0</v>
      </c>
      <c r="I1016" s="80" t="s">
        <v>41</v>
      </c>
      <c r="J1016" s="80" t="s">
        <v>187</v>
      </c>
      <c r="K1016" s="80" t="s">
        <v>227</v>
      </c>
      <c r="L1016" s="80" t="s">
        <v>21</v>
      </c>
      <c r="M1016" s="80">
        <v>299</v>
      </c>
    </row>
    <row r="1017" ht="15.75" customHeight="1" spans="1:13">
      <c r="A1017" s="16" t="s">
        <v>1461</v>
      </c>
      <c r="B1017" s="16" t="s">
        <v>147</v>
      </c>
      <c r="C1017" s="16" t="s">
        <v>15</v>
      </c>
      <c r="D1017" s="74"/>
      <c r="E1017" s="16" t="s">
        <v>1208</v>
      </c>
      <c r="F1017" s="16" t="s">
        <v>1462</v>
      </c>
      <c r="G1017" s="75" t="b">
        <f t="shared" si="0"/>
        <v>0</v>
      </c>
      <c r="H1017" s="16" t="b">
        <v>0</v>
      </c>
      <c r="I1017" s="16" t="s">
        <v>82</v>
      </c>
      <c r="J1017" s="16" t="s">
        <v>83</v>
      </c>
      <c r="K1017" s="16" t="s">
        <v>84</v>
      </c>
      <c r="L1017" s="16" t="s">
        <v>21</v>
      </c>
      <c r="M1017" s="16">
        <v>322</v>
      </c>
    </row>
    <row r="1018" ht="15.75" customHeight="1" spans="1:13">
      <c r="A1018" s="16" t="s">
        <v>1463</v>
      </c>
      <c r="B1018" s="16" t="s">
        <v>14</v>
      </c>
      <c r="C1018" s="16"/>
      <c r="D1018" s="79"/>
      <c r="E1018" s="75" t="s">
        <v>1464</v>
      </c>
      <c r="F1018" s="16" t="s">
        <v>1465</v>
      </c>
      <c r="G1018" s="75" t="b">
        <f t="shared" si="0"/>
        <v>0</v>
      </c>
      <c r="H1018" s="16" t="b">
        <v>0</v>
      </c>
      <c r="I1018" s="16" t="s">
        <v>67</v>
      </c>
      <c r="J1018" s="16" t="s">
        <v>132</v>
      </c>
      <c r="K1018" s="16" t="s">
        <v>295</v>
      </c>
      <c r="L1018" s="16" t="s">
        <v>21</v>
      </c>
      <c r="M1018" s="16">
        <v>348</v>
      </c>
    </row>
    <row r="1019" ht="15.75" customHeight="1" spans="1:13">
      <c r="A1019" s="16" t="s">
        <v>1466</v>
      </c>
      <c r="B1019" s="16" t="s">
        <v>14</v>
      </c>
      <c r="C1019" s="16" t="s">
        <v>15</v>
      </c>
      <c r="D1019" s="79"/>
      <c r="E1019" s="75" t="s">
        <v>224</v>
      </c>
      <c r="F1019" s="16" t="s">
        <v>1467</v>
      </c>
      <c r="G1019" s="75" t="b">
        <f t="shared" si="0"/>
        <v>0</v>
      </c>
      <c r="H1019" s="16" t="b">
        <v>0</v>
      </c>
      <c r="I1019" s="16" t="s">
        <v>67</v>
      </c>
      <c r="J1019" s="16" t="s">
        <v>19</v>
      </c>
      <c r="K1019" s="16" t="s">
        <v>119</v>
      </c>
      <c r="L1019" s="16" t="s">
        <v>39</v>
      </c>
      <c r="M1019" s="16">
        <v>350</v>
      </c>
    </row>
    <row r="1020" ht="15.75" customHeight="1" spans="1:13">
      <c r="A1020" s="16" t="s">
        <v>1468</v>
      </c>
      <c r="B1020" s="16" t="s">
        <v>14</v>
      </c>
      <c r="C1020" s="16"/>
      <c r="D1020" s="79"/>
      <c r="E1020" s="75" t="s">
        <v>1469</v>
      </c>
      <c r="F1020" s="16" t="s">
        <v>1470</v>
      </c>
      <c r="G1020" s="75" t="b">
        <f t="shared" si="0"/>
        <v>0</v>
      </c>
      <c r="H1020" s="16" t="b">
        <v>0</v>
      </c>
      <c r="I1020" s="16" t="s">
        <v>67</v>
      </c>
      <c r="J1020" s="16" t="s">
        <v>26</v>
      </c>
      <c r="K1020" s="16" t="s">
        <v>68</v>
      </c>
      <c r="L1020" s="16" t="s">
        <v>21</v>
      </c>
      <c r="M1020" s="16">
        <v>352</v>
      </c>
    </row>
    <row r="1021" ht="15.75" customHeight="1" spans="1:13">
      <c r="A1021" s="16" t="s">
        <v>1471</v>
      </c>
      <c r="B1021" s="16" t="s">
        <v>14</v>
      </c>
      <c r="C1021" s="16" t="s">
        <v>15</v>
      </c>
      <c r="D1021" s="74"/>
      <c r="E1021" s="16" t="s">
        <v>1120</v>
      </c>
      <c r="F1021" s="16" t="s">
        <v>1472</v>
      </c>
      <c r="G1021" s="75" t="b">
        <f t="shared" si="0"/>
        <v>0</v>
      </c>
      <c r="H1021" s="16" t="b">
        <v>0</v>
      </c>
      <c r="I1021" s="16" t="s">
        <v>870</v>
      </c>
      <c r="J1021" s="16" t="s">
        <v>211</v>
      </c>
      <c r="K1021" s="16" t="s">
        <v>871</v>
      </c>
      <c r="L1021" s="16" t="s">
        <v>160</v>
      </c>
      <c r="M1021" s="16">
        <v>378</v>
      </c>
    </row>
    <row r="1022" ht="15.75" customHeight="1" spans="1:13">
      <c r="A1022" s="16" t="s">
        <v>1473</v>
      </c>
      <c r="B1022" s="16" t="s">
        <v>147</v>
      </c>
      <c r="C1022" s="16" t="s">
        <v>15</v>
      </c>
      <c r="D1022" s="74"/>
      <c r="E1022" s="16" t="s">
        <v>1208</v>
      </c>
      <c r="F1022" s="16" t="s">
        <v>1474</v>
      </c>
      <c r="G1022" s="75" t="b">
        <f t="shared" si="0"/>
        <v>0</v>
      </c>
      <c r="H1022" s="16" t="b">
        <v>0</v>
      </c>
      <c r="I1022" s="16" t="s">
        <v>144</v>
      </c>
      <c r="J1022" s="16" t="s">
        <v>211</v>
      </c>
      <c r="K1022" s="16" t="s">
        <v>573</v>
      </c>
      <c r="L1022" s="16" t="s">
        <v>21</v>
      </c>
      <c r="M1022" s="16">
        <v>389</v>
      </c>
    </row>
    <row r="1023" ht="15.75" customHeight="1" spans="1:13">
      <c r="A1023" s="16" t="s">
        <v>1475</v>
      </c>
      <c r="B1023" s="16" t="s">
        <v>147</v>
      </c>
      <c r="C1023" s="16" t="s">
        <v>15</v>
      </c>
      <c r="D1023" s="79"/>
      <c r="E1023" s="75"/>
      <c r="F1023" s="16" t="s">
        <v>1476</v>
      </c>
      <c r="G1023" s="75" t="b">
        <f t="shared" si="0"/>
        <v>0</v>
      </c>
      <c r="H1023" s="16" t="b">
        <v>0</v>
      </c>
      <c r="I1023" s="16" t="s">
        <v>141</v>
      </c>
      <c r="J1023" s="16" t="s">
        <v>126</v>
      </c>
      <c r="K1023" s="16" t="s">
        <v>142</v>
      </c>
      <c r="L1023" s="16" t="s">
        <v>21</v>
      </c>
      <c r="M1023" s="16">
        <v>438</v>
      </c>
    </row>
    <row r="1024" ht="15.75" customHeight="1" spans="1:13">
      <c r="A1024" s="16" t="s">
        <v>1477</v>
      </c>
      <c r="B1024" s="16" t="s">
        <v>147</v>
      </c>
      <c r="C1024" s="16"/>
      <c r="D1024" s="79"/>
      <c r="E1024" s="75"/>
      <c r="F1024" s="16" t="s">
        <v>1478</v>
      </c>
      <c r="G1024" s="75" t="b">
        <f t="shared" si="0"/>
        <v>0</v>
      </c>
      <c r="H1024" s="16" t="b">
        <v>0</v>
      </c>
      <c r="I1024" s="16" t="s">
        <v>53</v>
      </c>
      <c r="J1024" s="16" t="s">
        <v>54</v>
      </c>
      <c r="K1024" s="16" t="s">
        <v>149</v>
      </c>
      <c r="L1024" s="16" t="s">
        <v>21</v>
      </c>
      <c r="M1024" s="16">
        <v>469</v>
      </c>
    </row>
    <row r="1025" ht="15.75" customHeight="1" spans="1:13">
      <c r="A1025" s="16" t="s">
        <v>1479</v>
      </c>
      <c r="B1025" s="16" t="s">
        <v>23</v>
      </c>
      <c r="C1025" s="16"/>
      <c r="D1025" s="74"/>
      <c r="E1025" s="16" t="s">
        <v>1480</v>
      </c>
      <c r="F1025" s="16" t="s">
        <v>1481</v>
      </c>
      <c r="G1025" s="75" t="b">
        <f t="shared" si="0"/>
        <v>0</v>
      </c>
      <c r="H1025" s="16" t="b">
        <v>0</v>
      </c>
      <c r="I1025" s="16" t="s">
        <v>131</v>
      </c>
      <c r="J1025" s="16" t="s">
        <v>132</v>
      </c>
      <c r="K1025" s="16" t="s">
        <v>544</v>
      </c>
      <c r="L1025" s="16" t="s">
        <v>39</v>
      </c>
      <c r="M1025" s="16">
        <v>486</v>
      </c>
    </row>
    <row r="1026" ht="15.75" customHeight="1" spans="1:13">
      <c r="A1026" s="16" t="s">
        <v>1482</v>
      </c>
      <c r="B1026" s="16" t="s">
        <v>23</v>
      </c>
      <c r="C1026" s="16" t="s">
        <v>15</v>
      </c>
      <c r="D1026" s="74"/>
      <c r="E1026" s="16" t="s">
        <v>1120</v>
      </c>
      <c r="F1026" s="16" t="s">
        <v>1483</v>
      </c>
      <c r="G1026" s="75" t="b">
        <f t="shared" si="0"/>
        <v>0</v>
      </c>
      <c r="H1026" s="16" t="b">
        <v>0</v>
      </c>
      <c r="I1026" s="16" t="s">
        <v>1014</v>
      </c>
      <c r="J1026" s="16" t="s">
        <v>83</v>
      </c>
      <c r="K1026" s="16" t="s">
        <v>1015</v>
      </c>
      <c r="L1026" s="16" t="s">
        <v>21</v>
      </c>
      <c r="M1026" s="16">
        <v>518</v>
      </c>
    </row>
    <row r="1027" ht="15.75" customHeight="1" spans="1:13">
      <c r="A1027" s="16" t="s">
        <v>1010</v>
      </c>
      <c r="B1027" s="16" t="s">
        <v>147</v>
      </c>
      <c r="C1027" s="16" t="s">
        <v>15</v>
      </c>
      <c r="D1027" s="79"/>
      <c r="E1027" s="75"/>
      <c r="F1027" s="16" t="s">
        <v>1484</v>
      </c>
      <c r="G1027" s="75" t="b">
        <f t="shared" si="0"/>
        <v>0</v>
      </c>
      <c r="H1027" s="16" t="b">
        <v>0</v>
      </c>
      <c r="I1027" s="16" t="s">
        <v>278</v>
      </c>
      <c r="J1027" s="16" t="s">
        <v>19</v>
      </c>
      <c r="K1027" s="16" t="s">
        <v>20</v>
      </c>
      <c r="L1027" s="16" t="s">
        <v>21</v>
      </c>
      <c r="M1027" s="16">
        <v>532</v>
      </c>
    </row>
    <row r="1028" ht="15.75" customHeight="1" spans="1:13">
      <c r="A1028" s="82" t="s">
        <v>1485</v>
      </c>
      <c r="B1028" s="82" t="s">
        <v>147</v>
      </c>
      <c r="C1028" s="82"/>
      <c r="D1028" s="83"/>
      <c r="E1028" s="82" t="s">
        <v>1439</v>
      </c>
      <c r="F1028" s="82" t="s">
        <v>1440</v>
      </c>
      <c r="G1028" s="82" t="b">
        <f t="shared" si="0"/>
        <v>0</v>
      </c>
      <c r="H1028" s="82" t="b">
        <v>0</v>
      </c>
      <c r="I1028" s="82" t="s">
        <v>53</v>
      </c>
      <c r="J1028" s="82" t="s">
        <v>54</v>
      </c>
      <c r="K1028" s="82" t="s">
        <v>1452</v>
      </c>
      <c r="L1028" s="82" t="s">
        <v>21</v>
      </c>
      <c r="M1028" s="82">
        <v>540</v>
      </c>
    </row>
    <row r="1029" ht="15.75" customHeight="1" spans="1:13">
      <c r="A1029" s="16" t="s">
        <v>850</v>
      </c>
      <c r="B1029" s="16" t="s">
        <v>147</v>
      </c>
      <c r="C1029" s="16" t="s">
        <v>15</v>
      </c>
      <c r="D1029" s="79"/>
      <c r="E1029" s="75"/>
      <c r="F1029" s="16" t="s">
        <v>1486</v>
      </c>
      <c r="G1029" s="75" t="b">
        <f t="shared" si="0"/>
        <v>0</v>
      </c>
      <c r="H1029" s="16" t="b">
        <v>0</v>
      </c>
      <c r="I1029" s="16" t="s">
        <v>92</v>
      </c>
      <c r="J1029" s="16" t="s">
        <v>63</v>
      </c>
      <c r="K1029" s="16" t="s">
        <v>440</v>
      </c>
      <c r="L1029" s="16" t="s">
        <v>160</v>
      </c>
      <c r="M1029" s="16">
        <v>545</v>
      </c>
    </row>
    <row r="1030" ht="15.75" customHeight="1" spans="1:13">
      <c r="A1030" s="16" t="s">
        <v>1487</v>
      </c>
      <c r="B1030" s="16" t="s">
        <v>147</v>
      </c>
      <c r="C1030" s="16"/>
      <c r="D1030" s="79"/>
      <c r="E1030" s="75"/>
      <c r="F1030" s="16" t="s">
        <v>1488</v>
      </c>
      <c r="G1030" s="75" t="b">
        <f t="shared" si="0"/>
        <v>0</v>
      </c>
      <c r="H1030" s="16" t="b">
        <v>0</v>
      </c>
      <c r="I1030" s="16" t="s">
        <v>25</v>
      </c>
      <c r="J1030" s="16" t="s">
        <v>26</v>
      </c>
      <c r="K1030" s="16" t="s">
        <v>27</v>
      </c>
      <c r="L1030" s="16" t="s">
        <v>21</v>
      </c>
      <c r="M1030" s="16">
        <v>573</v>
      </c>
    </row>
    <row r="1031" ht="15.75" customHeight="1" spans="1:13">
      <c r="A1031" s="16" t="s">
        <v>1489</v>
      </c>
      <c r="B1031" s="16" t="s">
        <v>147</v>
      </c>
      <c r="C1031" s="16"/>
      <c r="D1031" s="74"/>
      <c r="E1031" s="16"/>
      <c r="F1031" s="16" t="s">
        <v>1490</v>
      </c>
      <c r="G1031" s="75" t="b">
        <f t="shared" si="0"/>
        <v>0</v>
      </c>
      <c r="H1031" s="16" t="b">
        <v>0</v>
      </c>
      <c r="I1031" s="16" t="s">
        <v>25</v>
      </c>
      <c r="J1031" s="16" t="s">
        <v>26</v>
      </c>
      <c r="K1031" s="16" t="s">
        <v>27</v>
      </c>
      <c r="L1031" s="16" t="s">
        <v>39</v>
      </c>
      <c r="M1031" s="16">
        <v>580</v>
      </c>
    </row>
    <row r="1032" ht="15.75" customHeight="1" spans="1:13">
      <c r="A1032" s="84" t="s">
        <v>1491</v>
      </c>
      <c r="B1032" s="84" t="s">
        <v>14</v>
      </c>
      <c r="C1032" s="84"/>
      <c r="D1032" s="85"/>
      <c r="E1032" s="84"/>
      <c r="F1032" s="84"/>
      <c r="G1032" s="84" t="b">
        <f t="shared" si="0"/>
        <v>0</v>
      </c>
      <c r="H1032" s="84" t="b">
        <v>0</v>
      </c>
      <c r="I1032" s="84" t="s">
        <v>25</v>
      </c>
      <c r="J1032" s="84" t="s">
        <v>26</v>
      </c>
      <c r="K1032" s="84" t="s">
        <v>77</v>
      </c>
      <c r="L1032" s="84" t="s">
        <v>39</v>
      </c>
      <c r="M1032" s="84">
        <v>590</v>
      </c>
    </row>
    <row r="1033" ht="15.75" customHeight="1" spans="1:13">
      <c r="A1033" s="16" t="s">
        <v>1492</v>
      </c>
      <c r="B1033" s="16" t="s">
        <v>147</v>
      </c>
      <c r="C1033" s="16"/>
      <c r="D1033" s="74"/>
      <c r="E1033" s="16"/>
      <c r="F1033" s="16" t="s">
        <v>1493</v>
      </c>
      <c r="G1033" s="75" t="b">
        <f t="shared" si="0"/>
        <v>0</v>
      </c>
      <c r="H1033" s="16" t="b">
        <v>0</v>
      </c>
      <c r="I1033" s="16" t="s">
        <v>25</v>
      </c>
      <c r="J1033" s="16" t="s">
        <v>26</v>
      </c>
      <c r="K1033" s="16" t="s">
        <v>159</v>
      </c>
      <c r="L1033" s="16" t="s">
        <v>160</v>
      </c>
      <c r="M1033" s="16">
        <v>592</v>
      </c>
    </row>
    <row r="1034" ht="15.75" customHeight="1" spans="1:13">
      <c r="A1034" s="16" t="s">
        <v>1494</v>
      </c>
      <c r="B1034" s="16" t="s">
        <v>147</v>
      </c>
      <c r="C1034" s="16"/>
      <c r="D1034" s="74"/>
      <c r="E1034" s="16"/>
      <c r="F1034" s="16" t="s">
        <v>1495</v>
      </c>
      <c r="G1034" s="75" t="b">
        <f t="shared" si="0"/>
        <v>0</v>
      </c>
      <c r="H1034" s="16" t="b">
        <v>0</v>
      </c>
      <c r="I1034" s="16" t="s">
        <v>25</v>
      </c>
      <c r="J1034" s="16" t="s">
        <v>26</v>
      </c>
      <c r="K1034" s="16" t="s">
        <v>159</v>
      </c>
      <c r="L1034" s="16" t="s">
        <v>160</v>
      </c>
      <c r="M1034" s="16">
        <v>593</v>
      </c>
    </row>
    <row r="1035" ht="15.75" customHeight="1" spans="1:13">
      <c r="A1035" s="82" t="s">
        <v>1496</v>
      </c>
      <c r="B1035" s="82" t="s">
        <v>147</v>
      </c>
      <c r="C1035" s="82"/>
      <c r="D1035" s="83"/>
      <c r="E1035" s="82" t="s">
        <v>1439</v>
      </c>
      <c r="F1035" s="82" t="s">
        <v>1497</v>
      </c>
      <c r="G1035" s="82" t="b">
        <f t="shared" si="0"/>
        <v>0</v>
      </c>
      <c r="H1035" s="82" t="b">
        <v>0</v>
      </c>
      <c r="I1035" s="82" t="s">
        <v>25</v>
      </c>
      <c r="J1035" s="82" t="s">
        <v>26</v>
      </c>
      <c r="K1035" s="82" t="s">
        <v>50</v>
      </c>
      <c r="L1035" s="82" t="s">
        <v>160</v>
      </c>
      <c r="M1035" s="82">
        <v>6</v>
      </c>
    </row>
    <row r="1036" ht="15.75" customHeight="1" spans="1:13">
      <c r="A1036" s="16" t="s">
        <v>1498</v>
      </c>
      <c r="B1036" s="16" t="s">
        <v>147</v>
      </c>
      <c r="C1036" s="16"/>
      <c r="D1036" s="79"/>
      <c r="E1036" s="75"/>
      <c r="F1036" s="16" t="s">
        <v>1499</v>
      </c>
      <c r="G1036" s="75" t="b">
        <f t="shared" si="0"/>
        <v>0</v>
      </c>
      <c r="H1036" s="16" t="b">
        <v>0</v>
      </c>
      <c r="I1036" s="16" t="s">
        <v>25</v>
      </c>
      <c r="J1036" s="16" t="s">
        <v>26</v>
      </c>
      <c r="K1036" s="16" t="s">
        <v>159</v>
      </c>
      <c r="L1036" s="16" t="s">
        <v>21</v>
      </c>
      <c r="M1036" s="16">
        <v>605</v>
      </c>
    </row>
    <row r="1037" ht="15.75" customHeight="1" spans="1:13">
      <c r="A1037" s="84" t="s">
        <v>1500</v>
      </c>
      <c r="B1037" s="84" t="s">
        <v>14</v>
      </c>
      <c r="C1037" s="84"/>
      <c r="D1037" s="85"/>
      <c r="E1037" s="84"/>
      <c r="F1037" s="84"/>
      <c r="G1037" s="84" t="b">
        <f t="shared" si="0"/>
        <v>0</v>
      </c>
      <c r="H1037" s="84" t="b">
        <v>0</v>
      </c>
      <c r="I1037" s="84" t="s">
        <v>25</v>
      </c>
      <c r="J1037" s="84" t="s">
        <v>26</v>
      </c>
      <c r="K1037" s="84" t="s">
        <v>50</v>
      </c>
      <c r="L1037" s="84" t="s">
        <v>39</v>
      </c>
      <c r="M1037" s="84">
        <v>616</v>
      </c>
    </row>
    <row r="1038" ht="15.75" customHeight="1" spans="1:13">
      <c r="A1038" s="16" t="s">
        <v>1501</v>
      </c>
      <c r="B1038" s="16" t="s">
        <v>147</v>
      </c>
      <c r="C1038" s="16"/>
      <c r="D1038" s="74"/>
      <c r="E1038" s="16"/>
      <c r="F1038" s="16" t="s">
        <v>1502</v>
      </c>
      <c r="G1038" s="75" t="b">
        <f t="shared" si="0"/>
        <v>0</v>
      </c>
      <c r="H1038" s="16" t="b">
        <v>0</v>
      </c>
      <c r="I1038" s="16" t="s">
        <v>25</v>
      </c>
      <c r="J1038" s="16" t="s">
        <v>26</v>
      </c>
      <c r="K1038" s="16" t="s">
        <v>159</v>
      </c>
      <c r="L1038" s="16" t="s">
        <v>160</v>
      </c>
      <c r="M1038" s="16">
        <v>629</v>
      </c>
    </row>
    <row r="1039" ht="15.75" customHeight="1" spans="1:13">
      <c r="A1039" s="16" t="s">
        <v>1503</v>
      </c>
      <c r="B1039" s="16" t="s">
        <v>147</v>
      </c>
      <c r="C1039" s="16"/>
      <c r="D1039" s="74"/>
      <c r="E1039" s="16"/>
      <c r="F1039" s="16" t="s">
        <v>1504</v>
      </c>
      <c r="G1039" s="75" t="b">
        <f t="shared" si="0"/>
        <v>0</v>
      </c>
      <c r="H1039" s="16" t="b">
        <v>0</v>
      </c>
      <c r="I1039" s="16" t="s">
        <v>25</v>
      </c>
      <c r="J1039" s="16" t="s">
        <v>26</v>
      </c>
      <c r="K1039" s="16" t="s">
        <v>159</v>
      </c>
      <c r="L1039" s="16" t="s">
        <v>160</v>
      </c>
      <c r="M1039" s="16">
        <v>636</v>
      </c>
    </row>
    <row r="1040" ht="15.75" customHeight="1" spans="1:13">
      <c r="A1040" s="16" t="s">
        <v>1505</v>
      </c>
      <c r="B1040" s="16" t="s">
        <v>147</v>
      </c>
      <c r="C1040" s="16"/>
      <c r="D1040" s="74"/>
      <c r="E1040" s="16"/>
      <c r="F1040" s="16" t="s">
        <v>1506</v>
      </c>
      <c r="G1040" s="75" t="b">
        <f t="shared" si="0"/>
        <v>0</v>
      </c>
      <c r="H1040" s="16" t="b">
        <v>0</v>
      </c>
      <c r="I1040" s="16" t="s">
        <v>25</v>
      </c>
      <c r="J1040" s="16" t="s">
        <v>26</v>
      </c>
      <c r="K1040" s="16" t="s">
        <v>77</v>
      </c>
      <c r="L1040" s="16" t="s">
        <v>39</v>
      </c>
      <c r="M1040" s="16">
        <v>639</v>
      </c>
    </row>
    <row r="1041" ht="15.75" customHeight="1" spans="1:13">
      <c r="A1041" s="16" t="s">
        <v>1507</v>
      </c>
      <c r="B1041" s="16" t="s">
        <v>147</v>
      </c>
      <c r="C1041" s="16"/>
      <c r="D1041" s="79"/>
      <c r="E1041" s="75"/>
      <c r="F1041" s="16" t="s">
        <v>1508</v>
      </c>
      <c r="G1041" s="75" t="b">
        <f t="shared" si="0"/>
        <v>0</v>
      </c>
      <c r="H1041" s="16" t="b">
        <v>0</v>
      </c>
      <c r="I1041" s="16" t="s">
        <v>25</v>
      </c>
      <c r="J1041" s="16" t="s">
        <v>26</v>
      </c>
      <c r="K1041" s="16" t="s">
        <v>43</v>
      </c>
      <c r="L1041" s="16" t="s">
        <v>21</v>
      </c>
      <c r="M1041" s="16">
        <v>646</v>
      </c>
    </row>
    <row r="1042" ht="15.75" customHeight="1" spans="1:13">
      <c r="A1042" s="16" t="s">
        <v>1509</v>
      </c>
      <c r="B1042" s="16" t="s">
        <v>147</v>
      </c>
      <c r="C1042" s="16"/>
      <c r="D1042" s="79"/>
      <c r="E1042" s="75"/>
      <c r="F1042" s="16" t="s">
        <v>1510</v>
      </c>
      <c r="G1042" s="75" t="b">
        <f t="shared" si="0"/>
        <v>0</v>
      </c>
      <c r="H1042" s="16" t="b">
        <v>0</v>
      </c>
      <c r="I1042" s="16" t="s">
        <v>25</v>
      </c>
      <c r="J1042" s="16" t="s">
        <v>26</v>
      </c>
      <c r="K1042" s="16" t="s">
        <v>43</v>
      </c>
      <c r="L1042" s="16" t="s">
        <v>21</v>
      </c>
      <c r="M1042" s="16">
        <v>648</v>
      </c>
    </row>
    <row r="1043" ht="15.75" customHeight="1" spans="1:13">
      <c r="A1043" s="16" t="s">
        <v>1511</v>
      </c>
      <c r="B1043" s="16" t="s">
        <v>147</v>
      </c>
      <c r="C1043" s="16" t="s">
        <v>15</v>
      </c>
      <c r="D1043" s="74"/>
      <c r="E1043" s="16" t="s">
        <v>1208</v>
      </c>
      <c r="F1043" s="16" t="s">
        <v>1512</v>
      </c>
      <c r="G1043" s="75" t="b">
        <f t="shared" si="0"/>
        <v>0</v>
      </c>
      <c r="H1043" s="16" t="b">
        <v>1</v>
      </c>
      <c r="I1043" s="16" t="s">
        <v>72</v>
      </c>
      <c r="J1043" s="16" t="s">
        <v>30</v>
      </c>
      <c r="K1043" s="16" t="s">
        <v>31</v>
      </c>
      <c r="L1043" s="16" t="s">
        <v>21</v>
      </c>
      <c r="M1043" s="16">
        <v>697</v>
      </c>
    </row>
    <row r="1044" ht="15.75" customHeight="1" spans="1:13">
      <c r="A1044" s="16" t="s">
        <v>1513</v>
      </c>
      <c r="B1044" s="16" t="s">
        <v>147</v>
      </c>
      <c r="C1044" s="16"/>
      <c r="D1044" s="74"/>
      <c r="E1044" s="16"/>
      <c r="F1044" s="16" t="s">
        <v>1514</v>
      </c>
      <c r="G1044" s="75" t="b">
        <f t="shared" si="0"/>
        <v>0</v>
      </c>
      <c r="H1044" s="16" t="b">
        <v>0</v>
      </c>
      <c r="I1044" s="16" t="s">
        <v>230</v>
      </c>
      <c r="J1044" s="16" t="s">
        <v>54</v>
      </c>
      <c r="K1044" s="16" t="s">
        <v>124</v>
      </c>
      <c r="L1044" s="16" t="s">
        <v>160</v>
      </c>
      <c r="M1044" s="16">
        <v>723</v>
      </c>
    </row>
    <row r="1045" ht="15.75" customHeight="1" spans="1:13">
      <c r="A1045" s="16" t="s">
        <v>1515</v>
      </c>
      <c r="B1045" s="16" t="s">
        <v>147</v>
      </c>
      <c r="C1045" s="16"/>
      <c r="D1045" s="79"/>
      <c r="E1045" s="75"/>
      <c r="F1045" s="16" t="s">
        <v>1516</v>
      </c>
      <c r="G1045" s="75" t="b">
        <f t="shared" si="0"/>
        <v>0</v>
      </c>
      <c r="H1045" s="16" t="b">
        <v>1</v>
      </c>
      <c r="I1045" s="16" t="s">
        <v>25</v>
      </c>
      <c r="J1045" s="16" t="s">
        <v>26</v>
      </c>
      <c r="K1045" s="16" t="s">
        <v>399</v>
      </c>
      <c r="L1045" s="16" t="s">
        <v>21</v>
      </c>
      <c r="M1045" s="16">
        <v>744</v>
      </c>
    </row>
    <row r="1046" ht="15.75" customHeight="1" spans="1:13">
      <c r="A1046" s="16" t="s">
        <v>1517</v>
      </c>
      <c r="B1046" s="16" t="s">
        <v>147</v>
      </c>
      <c r="C1046" s="16"/>
      <c r="D1046" s="79"/>
      <c r="E1046" s="75"/>
      <c r="F1046" s="16" t="s">
        <v>1518</v>
      </c>
      <c r="G1046" s="75" t="b">
        <f t="shared" si="0"/>
        <v>0</v>
      </c>
      <c r="H1046" s="16" t="b">
        <v>1</v>
      </c>
      <c r="I1046" s="16" t="s">
        <v>25</v>
      </c>
      <c r="J1046" s="16" t="s">
        <v>26</v>
      </c>
      <c r="K1046" s="16" t="s">
        <v>399</v>
      </c>
      <c r="L1046" s="16" t="s">
        <v>21</v>
      </c>
      <c r="M1046" s="16">
        <v>745</v>
      </c>
    </row>
    <row r="1047" ht="15.75" customHeight="1" spans="1:13">
      <c r="A1047" s="16" t="s">
        <v>1519</v>
      </c>
      <c r="B1047" s="16" t="s">
        <v>147</v>
      </c>
      <c r="C1047" s="16"/>
      <c r="D1047" s="79"/>
      <c r="E1047" s="75"/>
      <c r="F1047" s="16" t="s">
        <v>1520</v>
      </c>
      <c r="G1047" s="75" t="b">
        <f t="shared" si="0"/>
        <v>0</v>
      </c>
      <c r="H1047" s="16" t="b">
        <v>1</v>
      </c>
      <c r="I1047" s="16" t="s">
        <v>25</v>
      </c>
      <c r="J1047" s="16" t="s">
        <v>26</v>
      </c>
      <c r="K1047" s="16" t="s">
        <v>399</v>
      </c>
      <c r="L1047" s="16" t="s">
        <v>21</v>
      </c>
      <c r="M1047" s="16">
        <v>748</v>
      </c>
    </row>
    <row r="1048" ht="15.75" customHeight="1" spans="1:13">
      <c r="A1048" s="16" t="s">
        <v>1521</v>
      </c>
      <c r="B1048" s="16" t="s">
        <v>23</v>
      </c>
      <c r="C1048" s="16"/>
      <c r="D1048" s="79"/>
      <c r="E1048" s="75"/>
      <c r="F1048" s="16" t="s">
        <v>1521</v>
      </c>
      <c r="G1048" s="75" t="b">
        <f t="shared" si="0"/>
        <v>1</v>
      </c>
      <c r="H1048" s="16" t="b">
        <v>1</v>
      </c>
      <c r="I1048" s="16" t="s">
        <v>131</v>
      </c>
      <c r="J1048" s="16" t="s">
        <v>374</v>
      </c>
      <c r="K1048" s="16" t="s">
        <v>375</v>
      </c>
      <c r="L1048" s="16" t="s">
        <v>21</v>
      </c>
      <c r="M1048" s="16">
        <v>807</v>
      </c>
    </row>
    <row r="1049" ht="15.75" customHeight="1" spans="1:13">
      <c r="A1049" s="16" t="s">
        <v>1522</v>
      </c>
      <c r="B1049" s="16" t="s">
        <v>23</v>
      </c>
      <c r="C1049" s="16" t="s">
        <v>15</v>
      </c>
      <c r="D1049" s="79"/>
      <c r="E1049" s="75" t="s">
        <v>1523</v>
      </c>
      <c r="F1049" s="16" t="s">
        <v>1522</v>
      </c>
      <c r="G1049" s="75" t="b">
        <f t="shared" si="0"/>
        <v>1</v>
      </c>
      <c r="H1049" s="16" t="b">
        <v>1</v>
      </c>
      <c r="I1049" s="16" t="s">
        <v>118</v>
      </c>
      <c r="J1049" s="16" t="s">
        <v>83</v>
      </c>
      <c r="K1049" s="16" t="s">
        <v>451</v>
      </c>
      <c r="L1049" s="16" t="s">
        <v>21</v>
      </c>
      <c r="M1049" s="16">
        <v>810</v>
      </c>
    </row>
    <row r="1050" ht="15.75" customHeight="1" spans="1:13">
      <c r="A1050" s="16" t="s">
        <v>1524</v>
      </c>
      <c r="B1050" s="16" t="s">
        <v>147</v>
      </c>
      <c r="C1050" s="16" t="s">
        <v>183</v>
      </c>
      <c r="D1050" s="79" t="s">
        <v>1525</v>
      </c>
      <c r="E1050" s="75"/>
      <c r="F1050" s="16" t="s">
        <v>1526</v>
      </c>
      <c r="G1050" s="75" t="b">
        <f t="shared" si="0"/>
        <v>0</v>
      </c>
      <c r="H1050" s="16" t="b">
        <v>1</v>
      </c>
      <c r="I1050" s="16" t="s">
        <v>319</v>
      </c>
      <c r="J1050" s="16" t="s">
        <v>63</v>
      </c>
      <c r="K1050" s="16" t="s">
        <v>288</v>
      </c>
      <c r="L1050" s="16" t="s">
        <v>160</v>
      </c>
      <c r="M1050" s="16">
        <v>844</v>
      </c>
    </row>
    <row r="1051" ht="15.75" customHeight="1" spans="1:13">
      <c r="A1051" s="16" t="s">
        <v>1527</v>
      </c>
      <c r="B1051" s="16" t="s">
        <v>147</v>
      </c>
      <c r="C1051" s="16"/>
      <c r="D1051" s="79"/>
      <c r="E1051" s="75"/>
      <c r="F1051" s="16" t="s">
        <v>1528</v>
      </c>
      <c r="G1051" s="75" t="b">
        <f t="shared" si="0"/>
        <v>0</v>
      </c>
      <c r="H1051" s="16" t="b">
        <v>1</v>
      </c>
      <c r="I1051" s="16" t="s">
        <v>141</v>
      </c>
      <c r="J1051" s="16" t="s">
        <v>126</v>
      </c>
      <c r="K1051" s="16" t="s">
        <v>142</v>
      </c>
      <c r="L1051" s="16" t="s">
        <v>21</v>
      </c>
      <c r="M1051" s="16">
        <v>845</v>
      </c>
    </row>
    <row r="1052" ht="15.75" customHeight="1" spans="1:13">
      <c r="A1052" s="16" t="s">
        <v>1529</v>
      </c>
      <c r="B1052" s="16" t="s">
        <v>147</v>
      </c>
      <c r="C1052" s="16" t="s">
        <v>15</v>
      </c>
      <c r="D1052" s="79"/>
      <c r="E1052" s="75"/>
      <c r="F1052" s="16" t="s">
        <v>1529</v>
      </c>
      <c r="G1052" s="75" t="b">
        <f t="shared" si="0"/>
        <v>1</v>
      </c>
      <c r="H1052" s="16" t="b">
        <v>1</v>
      </c>
      <c r="I1052" s="16" t="s">
        <v>358</v>
      </c>
      <c r="J1052" s="16" t="s">
        <v>63</v>
      </c>
      <c r="K1052" s="16" t="s">
        <v>93</v>
      </c>
      <c r="L1052" s="16" t="s">
        <v>21</v>
      </c>
      <c r="M1052" s="16">
        <v>860</v>
      </c>
    </row>
    <row r="1053" ht="15.75" customHeight="1" spans="1:13">
      <c r="A1053" s="16" t="s">
        <v>1530</v>
      </c>
      <c r="B1053" s="16" t="s">
        <v>23</v>
      </c>
      <c r="C1053" s="16" t="s">
        <v>15</v>
      </c>
      <c r="D1053" s="79"/>
      <c r="E1053" s="75"/>
      <c r="F1053" s="84" t="s">
        <v>1531</v>
      </c>
      <c r="G1053" s="75" t="b">
        <f t="shared" si="0"/>
        <v>0</v>
      </c>
      <c r="H1053" s="16" t="b">
        <v>0</v>
      </c>
      <c r="I1053" s="16" t="s">
        <v>1532</v>
      </c>
      <c r="J1053" s="16" t="s">
        <v>19</v>
      </c>
      <c r="K1053" s="16" t="s">
        <v>119</v>
      </c>
      <c r="L1053" s="16" t="s">
        <v>160</v>
      </c>
      <c r="M1053" s="16">
        <v>869</v>
      </c>
    </row>
    <row r="1054" ht="15.75" customHeight="1" spans="1:13">
      <c r="A1054" s="16" t="s">
        <v>1533</v>
      </c>
      <c r="B1054" s="16" t="s">
        <v>147</v>
      </c>
      <c r="C1054" s="16"/>
      <c r="D1054" s="79"/>
      <c r="E1054" s="75"/>
      <c r="F1054" s="86" t="s">
        <v>1533</v>
      </c>
      <c r="G1054" s="75" t="b">
        <f t="shared" si="0"/>
        <v>1</v>
      </c>
      <c r="H1054" s="16" t="b">
        <v>1</v>
      </c>
      <c r="I1054" s="16" t="s">
        <v>41</v>
      </c>
      <c r="J1054" s="16" t="s">
        <v>132</v>
      </c>
      <c r="K1054" s="16" t="s">
        <v>295</v>
      </c>
      <c r="L1054" s="16" t="s">
        <v>21</v>
      </c>
      <c r="M1054" s="16">
        <v>878</v>
      </c>
    </row>
    <row r="1055" ht="15.75" customHeight="1" spans="1:13">
      <c r="A1055" s="16" t="s">
        <v>1534</v>
      </c>
      <c r="B1055" s="16" t="s">
        <v>147</v>
      </c>
      <c r="C1055" s="16" t="s">
        <v>15</v>
      </c>
      <c r="D1055" s="79"/>
      <c r="E1055" s="75"/>
      <c r="F1055" s="16" t="s">
        <v>1535</v>
      </c>
      <c r="G1055" s="75" t="b">
        <f t="shared" si="0"/>
        <v>0</v>
      </c>
      <c r="H1055" s="16" t="b">
        <v>1</v>
      </c>
      <c r="I1055" s="16" t="s">
        <v>53</v>
      </c>
      <c r="J1055" s="16" t="s">
        <v>30</v>
      </c>
      <c r="K1055" s="16" t="s">
        <v>378</v>
      </c>
      <c r="L1055" s="16" t="s">
        <v>21</v>
      </c>
      <c r="M1055" s="16">
        <v>902</v>
      </c>
    </row>
    <row r="1056" ht="15.75" customHeight="1" spans="1:13">
      <c r="A1056" s="16" t="s">
        <v>1536</v>
      </c>
      <c r="B1056" s="16" t="s">
        <v>147</v>
      </c>
      <c r="C1056" s="16"/>
      <c r="D1056" s="79"/>
      <c r="E1056" s="75"/>
      <c r="F1056" s="16" t="s">
        <v>1537</v>
      </c>
      <c r="G1056" s="75" t="b">
        <f t="shared" si="0"/>
        <v>0</v>
      </c>
      <c r="H1056" s="16" t="b">
        <v>1</v>
      </c>
      <c r="I1056" s="16" t="s">
        <v>144</v>
      </c>
      <c r="J1056" s="16" t="s">
        <v>54</v>
      </c>
      <c r="K1056" s="16" t="s">
        <v>75</v>
      </c>
      <c r="L1056" s="16" t="s">
        <v>21</v>
      </c>
      <c r="M1056" s="16">
        <v>939</v>
      </c>
    </row>
    <row r="1057" ht="15.75" customHeight="1" spans="1:13">
      <c r="A1057" s="16" t="s">
        <v>1538</v>
      </c>
      <c r="B1057" s="16" t="s">
        <v>14</v>
      </c>
      <c r="C1057" s="16" t="s">
        <v>183</v>
      </c>
      <c r="D1057" s="79" t="s">
        <v>1176</v>
      </c>
      <c r="E1057" s="75" t="s">
        <v>1539</v>
      </c>
      <c r="F1057" s="16" t="s">
        <v>1540</v>
      </c>
      <c r="G1057" s="75" t="b">
        <f t="shared" si="0"/>
        <v>0</v>
      </c>
      <c r="H1057" s="16" t="b">
        <v>0</v>
      </c>
      <c r="I1057" s="16" t="s">
        <v>92</v>
      </c>
      <c r="J1057" s="16" t="s">
        <v>63</v>
      </c>
      <c r="K1057" s="16" t="s">
        <v>169</v>
      </c>
      <c r="L1057" s="16" t="s">
        <v>160</v>
      </c>
      <c r="M1057" s="16">
        <v>970</v>
      </c>
    </row>
    <row r="1058" ht="15.75" customHeight="1" spans="1:13">
      <c r="A1058" s="16" t="s">
        <v>1541</v>
      </c>
      <c r="B1058" s="16" t="s">
        <v>147</v>
      </c>
      <c r="C1058" s="16"/>
      <c r="D1058" s="79"/>
      <c r="E1058" s="75"/>
      <c r="F1058" s="86" t="s">
        <v>1541</v>
      </c>
      <c r="G1058" s="75" t="b">
        <f t="shared" si="0"/>
        <v>1</v>
      </c>
      <c r="H1058" s="16" t="b">
        <v>1</v>
      </c>
      <c r="I1058" s="16" t="s">
        <v>41</v>
      </c>
      <c r="J1058" s="16" t="s">
        <v>132</v>
      </c>
      <c r="K1058" s="16" t="s">
        <v>295</v>
      </c>
      <c r="L1058" s="16" t="s">
        <v>21</v>
      </c>
      <c r="M1058" s="16">
        <v>994</v>
      </c>
    </row>
    <row r="1059" ht="15.75" customHeight="1" spans="1:13">
      <c r="A1059" s="16" t="s">
        <v>1542</v>
      </c>
      <c r="B1059" s="16" t="s">
        <v>14</v>
      </c>
      <c r="C1059" s="16" t="s">
        <v>15</v>
      </c>
      <c r="D1059" s="79"/>
      <c r="E1059" s="75" t="s">
        <v>1543</v>
      </c>
      <c r="F1059" s="16" t="s">
        <v>1544</v>
      </c>
      <c r="G1059" s="75" t="b">
        <f t="shared" si="0"/>
        <v>0</v>
      </c>
      <c r="H1059" s="16" t="b">
        <v>1</v>
      </c>
      <c r="I1059" s="16" t="s">
        <v>870</v>
      </c>
      <c r="J1059" s="16" t="s">
        <v>211</v>
      </c>
      <c r="K1059" s="16" t="s">
        <v>871</v>
      </c>
      <c r="L1059" s="16" t="s">
        <v>21</v>
      </c>
      <c r="M1059" s="16">
        <v>1005</v>
      </c>
    </row>
    <row r="1060" ht="15.75" customHeight="1" spans="1:13">
      <c r="A1060" s="16" t="s">
        <v>1545</v>
      </c>
      <c r="B1060" s="16" t="s">
        <v>147</v>
      </c>
      <c r="C1060" s="16"/>
      <c r="D1060" s="79"/>
      <c r="E1060" s="75"/>
      <c r="F1060" s="16" t="s">
        <v>1546</v>
      </c>
      <c r="G1060" s="75" t="b">
        <f t="shared" si="0"/>
        <v>0</v>
      </c>
      <c r="H1060" s="16" t="b">
        <v>1</v>
      </c>
      <c r="I1060" s="16" t="s">
        <v>144</v>
      </c>
      <c r="J1060" s="16" t="s">
        <v>54</v>
      </c>
      <c r="K1060" s="16" t="s">
        <v>75</v>
      </c>
      <c r="L1060" s="16" t="s">
        <v>21</v>
      </c>
      <c r="M1060" s="16">
        <v>1062</v>
      </c>
    </row>
    <row r="1061" ht="15.75" customHeight="1" spans="1:13">
      <c r="A1061" s="75" t="s">
        <v>1547</v>
      </c>
      <c r="B1061" s="75" t="s">
        <v>147</v>
      </c>
      <c r="C1061" s="75" t="s">
        <v>15</v>
      </c>
      <c r="D1061" s="79"/>
      <c r="E1061" s="75"/>
      <c r="F1061" s="75"/>
      <c r="G1061" s="75" t="b">
        <f t="shared" si="0"/>
        <v>0</v>
      </c>
      <c r="H1061" s="16" t="b">
        <v>0</v>
      </c>
      <c r="I1061" s="75" t="s">
        <v>186</v>
      </c>
      <c r="J1061" s="75" t="s">
        <v>187</v>
      </c>
      <c r="K1061" s="75" t="s">
        <v>227</v>
      </c>
      <c r="L1061" s="75" t="s">
        <v>21</v>
      </c>
      <c r="M1061" s="75">
        <v>1064</v>
      </c>
    </row>
    <row r="1062" ht="15.75" customHeight="1" spans="1:13">
      <c r="A1062" s="16" t="s">
        <v>16</v>
      </c>
      <c r="B1062" s="16" t="s">
        <v>14</v>
      </c>
      <c r="C1062" s="16" t="s">
        <v>15</v>
      </c>
      <c r="D1062" s="74" t="s">
        <v>16</v>
      </c>
      <c r="E1062" s="16" t="s">
        <v>1548</v>
      </c>
      <c r="F1062" s="16"/>
      <c r="G1062" s="75" t="b">
        <f t="shared" si="0"/>
        <v>0</v>
      </c>
      <c r="H1062" s="16" t="b">
        <v>0</v>
      </c>
      <c r="I1062" s="16" t="s">
        <v>18</v>
      </c>
      <c r="J1062" s="16" t="s">
        <v>38</v>
      </c>
      <c r="K1062" s="16"/>
      <c r="L1062" s="16" t="s">
        <v>39</v>
      </c>
      <c r="M1062" s="16">
        <v>433</v>
      </c>
    </row>
    <row r="1063" ht="15.75" customHeight="1" spans="1:13">
      <c r="A1063" s="16" t="s">
        <v>122</v>
      </c>
      <c r="B1063" s="16" t="s">
        <v>14</v>
      </c>
      <c r="C1063" s="16" t="s">
        <v>15</v>
      </c>
      <c r="D1063" s="74" t="s">
        <v>122</v>
      </c>
      <c r="E1063" s="16" t="s">
        <v>1548</v>
      </c>
      <c r="F1063" s="16"/>
      <c r="G1063" s="75" t="b">
        <f t="shared" si="0"/>
        <v>0</v>
      </c>
      <c r="H1063" s="16" t="b">
        <v>0</v>
      </c>
      <c r="I1063" s="16" t="s">
        <v>18</v>
      </c>
      <c r="J1063" s="16" t="s">
        <v>38</v>
      </c>
      <c r="K1063" s="16"/>
      <c r="L1063" s="16" t="s">
        <v>39</v>
      </c>
      <c r="M1063" s="16">
        <v>481</v>
      </c>
    </row>
    <row r="1064" ht="15.75" customHeight="1" spans="1:13">
      <c r="A1064" s="16" t="s">
        <v>1549</v>
      </c>
      <c r="B1064" s="16" t="s">
        <v>14</v>
      </c>
      <c r="C1064" s="16" t="s">
        <v>15</v>
      </c>
      <c r="D1064" s="74" t="s">
        <v>1549</v>
      </c>
      <c r="E1064" s="16" t="s">
        <v>1548</v>
      </c>
      <c r="F1064" s="16"/>
      <c r="G1064" s="75" t="b">
        <f t="shared" si="0"/>
        <v>0</v>
      </c>
      <c r="H1064" s="16" t="b">
        <v>0</v>
      </c>
      <c r="I1064" s="16" t="s">
        <v>18</v>
      </c>
      <c r="J1064" s="16" t="s">
        <v>38</v>
      </c>
      <c r="K1064" s="16"/>
      <c r="L1064" s="16" t="s">
        <v>39</v>
      </c>
      <c r="M1064" s="16">
        <v>479</v>
      </c>
    </row>
    <row r="1065" ht="15.75" customHeight="1" spans="1:13">
      <c r="A1065" s="16" t="s">
        <v>1550</v>
      </c>
      <c r="B1065" s="16" t="s">
        <v>14</v>
      </c>
      <c r="C1065" s="16" t="s">
        <v>15</v>
      </c>
      <c r="D1065" s="74" t="s">
        <v>1550</v>
      </c>
      <c r="E1065" s="16" t="s">
        <v>1548</v>
      </c>
      <c r="F1065" s="16"/>
      <c r="G1065" s="75" t="b">
        <f t="shared" si="0"/>
        <v>0</v>
      </c>
      <c r="H1065" s="16" t="b">
        <v>0</v>
      </c>
      <c r="I1065" s="16" t="s">
        <v>18</v>
      </c>
      <c r="J1065" s="16" t="s">
        <v>38</v>
      </c>
      <c r="K1065" s="16"/>
      <c r="L1065" s="16" t="s">
        <v>39</v>
      </c>
      <c r="M1065" s="16">
        <v>337</v>
      </c>
    </row>
    <row r="1066" ht="15.75" customHeight="1" spans="1:13">
      <c r="A1066" s="16" t="s">
        <v>1551</v>
      </c>
      <c r="B1066" s="16" t="s">
        <v>14</v>
      </c>
      <c r="C1066" s="16" t="s">
        <v>15</v>
      </c>
      <c r="D1066" s="74" t="s">
        <v>1551</v>
      </c>
      <c r="E1066" s="16" t="s">
        <v>1548</v>
      </c>
      <c r="F1066" s="16"/>
      <c r="G1066" s="75" t="b">
        <f t="shared" si="0"/>
        <v>0</v>
      </c>
      <c r="H1066" s="16" t="b">
        <v>0</v>
      </c>
      <c r="I1066" s="16" t="s">
        <v>18</v>
      </c>
      <c r="J1066" s="16" t="s">
        <v>38</v>
      </c>
      <c r="K1066" s="16"/>
      <c r="L1066" s="16" t="s">
        <v>39</v>
      </c>
      <c r="M1066" s="16">
        <v>498</v>
      </c>
    </row>
  </sheetData>
  <customSheetViews>
    <customSheetView guid="{719E6F43-DA1C-4EBA-863C-73B0DC8061C2}" filter="1" showAutoFilter="1">
      <autoFilter ref="A1:AQ1066">
        <filterColumn colId="1">
          <customFilters>
            <customFilter operator="equal" val="Ana Flávia"/>
          </customFilters>
        </filterColumn>
      </autoFilter>
    </customSheetView>
    <customSheetView guid="{78EEAC16-F2F5-47E0-8883-81398F3465BE}" filter="1" showAutoFilter="1">
      <autoFilter ref="A1:AQ1066">
        <filterColumn colId="2">
          <customFilters>
            <customFilter operator="equal" val="Fica - Validado"/>
            <customFilter operator="equal" val="Não fica - validado"/>
          </customFilters>
        </filterColumn>
      </autoFilter>
    </customSheetView>
  </customSheetViews>
  <dataValidations count="2">
    <dataValidation type="list" allowBlank="1" showErrorMessage="1" sqref="B2:B1066">
      <formula1>"Fica - Validado,Não fica - validado,Fica,Não fica,Provavelmente fica,Provavelmente não fica"</formula1>
    </dataValidation>
    <dataValidation type="list" allowBlank="1" showErrorMessage="1" sqref="C2:C1066">
      <formula1>"Não,Sim,Talvez"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67"/>
  <sheetViews>
    <sheetView showGridLines="0" workbookViewId="0">
      <selection activeCell="A1" sqref="A1"/>
    </sheetView>
  </sheetViews>
  <sheetFormatPr defaultColWidth="14.4259259259259" defaultRowHeight="15" customHeight="1" outlineLevelCol="3"/>
  <cols>
    <col min="1" max="1" width="53.712962962963" customWidth="1"/>
    <col min="2" max="2" width="124.287037037037" customWidth="1"/>
    <col min="3" max="3" width="23.8611111111111" customWidth="1"/>
    <col min="4" max="4" width="160.712962962963" customWidth="1"/>
    <col min="5" max="5" width="16.287037037037" customWidth="1"/>
    <col min="6" max="6" width="17" customWidth="1"/>
    <col min="7" max="7" width="18.712962962963" customWidth="1"/>
    <col min="8" max="8" width="22" customWidth="1"/>
    <col min="9" max="9" width="16.5740740740741" customWidth="1"/>
  </cols>
  <sheetData>
    <row r="1" customHeight="1" spans="1:4">
      <c r="A1" s="1" t="s">
        <v>8</v>
      </c>
      <c r="B1" s="1" t="s">
        <v>0</v>
      </c>
      <c r="C1" s="1" t="s">
        <v>1552</v>
      </c>
      <c r="D1" s="5" t="s">
        <v>1553</v>
      </c>
    </row>
    <row r="2" customHeight="1" spans="1:4">
      <c r="A2" s="1" t="s">
        <v>173</v>
      </c>
      <c r="B2" s="1" t="s">
        <v>1152</v>
      </c>
      <c r="C2" s="1" t="s">
        <v>147</v>
      </c>
      <c r="D2" s="5" t="s">
        <v>1554</v>
      </c>
    </row>
    <row r="3" customHeight="1" spans="1:4">
      <c r="A3" s="6"/>
      <c r="B3" s="1" t="s">
        <v>739</v>
      </c>
      <c r="C3" s="1" t="s">
        <v>147</v>
      </c>
      <c r="D3" s="5" t="s">
        <v>1554</v>
      </c>
    </row>
    <row r="4" customHeight="1" spans="1:4">
      <c r="A4" s="6"/>
      <c r="B4" s="1" t="s">
        <v>490</v>
      </c>
      <c r="C4" s="1" t="s">
        <v>147</v>
      </c>
      <c r="D4" s="5" t="s">
        <v>1554</v>
      </c>
    </row>
    <row r="5" customHeight="1" spans="1:4">
      <c r="A5" s="6"/>
      <c r="B5" s="1" t="s">
        <v>965</v>
      </c>
      <c r="C5" s="1" t="s">
        <v>23</v>
      </c>
      <c r="D5" s="5" t="s">
        <v>966</v>
      </c>
    </row>
    <row r="6" customHeight="1" spans="1:4">
      <c r="A6" s="6"/>
      <c r="B6" s="1" t="s">
        <v>547</v>
      </c>
      <c r="C6" s="1" t="s">
        <v>147</v>
      </c>
      <c r="D6" s="5" t="s">
        <v>1554</v>
      </c>
    </row>
    <row r="7" customHeight="1" spans="1:4">
      <c r="A7" s="6"/>
      <c r="B7" s="1" t="s">
        <v>916</v>
      </c>
      <c r="C7" s="1" t="s">
        <v>147</v>
      </c>
      <c r="D7" s="5" t="s">
        <v>1554</v>
      </c>
    </row>
    <row r="8" customHeight="1" spans="1:4">
      <c r="A8" s="6"/>
      <c r="B8" s="1" t="s">
        <v>905</v>
      </c>
      <c r="C8" s="1" t="s">
        <v>147</v>
      </c>
      <c r="D8" s="5" t="s">
        <v>1554</v>
      </c>
    </row>
    <row r="9" customHeight="1" spans="1:4">
      <c r="A9" s="6"/>
      <c r="B9" s="1" t="s">
        <v>331</v>
      </c>
      <c r="C9" s="1" t="s">
        <v>147</v>
      </c>
      <c r="D9" s="5" t="s">
        <v>1554</v>
      </c>
    </row>
    <row r="10" customHeight="1" spans="1:4">
      <c r="A10" s="6"/>
      <c r="B10" s="1" t="s">
        <v>813</v>
      </c>
      <c r="C10" s="1" t="s">
        <v>147</v>
      </c>
      <c r="D10" s="5" t="s">
        <v>1554</v>
      </c>
    </row>
    <row r="11" customHeight="1" spans="1:4">
      <c r="A11" s="6"/>
      <c r="B11" s="1" t="s">
        <v>918</v>
      </c>
      <c r="C11" s="1" t="s">
        <v>147</v>
      </c>
      <c r="D11" s="5" t="s">
        <v>1554</v>
      </c>
    </row>
    <row r="12" customHeight="1" spans="1:4">
      <c r="A12" s="6"/>
      <c r="B12" s="1" t="s">
        <v>541</v>
      </c>
      <c r="C12" s="1" t="s">
        <v>147</v>
      </c>
      <c r="D12" s="5" t="s">
        <v>1554</v>
      </c>
    </row>
    <row r="13" customHeight="1" spans="1:4">
      <c r="A13" s="6"/>
      <c r="B13" s="1" t="s">
        <v>1300</v>
      </c>
      <c r="C13" s="1" t="s">
        <v>147</v>
      </c>
      <c r="D13" s="5" t="s">
        <v>1554</v>
      </c>
    </row>
    <row r="14" customHeight="1" spans="1:4">
      <c r="A14" s="6"/>
      <c r="B14" s="1" t="s">
        <v>438</v>
      </c>
      <c r="C14" s="1" t="s">
        <v>147</v>
      </c>
      <c r="D14" s="5" t="s">
        <v>1554</v>
      </c>
    </row>
    <row r="15" customHeight="1" spans="1:4">
      <c r="A15" s="6"/>
      <c r="B15" s="1" t="s">
        <v>172</v>
      </c>
      <c r="C15" s="1" t="s">
        <v>23</v>
      </c>
      <c r="D15" s="5" t="s">
        <v>1554</v>
      </c>
    </row>
    <row r="16" customHeight="1" spans="1:4">
      <c r="A16" s="6"/>
      <c r="B16" s="1" t="s">
        <v>467</v>
      </c>
      <c r="C16" s="1" t="s">
        <v>147</v>
      </c>
      <c r="D16" s="5" t="s">
        <v>1554</v>
      </c>
    </row>
    <row r="17" customHeight="1" spans="1:4">
      <c r="A17" s="6"/>
      <c r="B17" s="1" t="s">
        <v>755</v>
      </c>
      <c r="C17" s="1" t="s">
        <v>147</v>
      </c>
      <c r="D17" s="5" t="s">
        <v>1554</v>
      </c>
    </row>
    <row r="18" customHeight="1" spans="1:4">
      <c r="A18" s="6"/>
      <c r="B18" s="1" t="s">
        <v>672</v>
      </c>
      <c r="C18" s="1" t="s">
        <v>147</v>
      </c>
      <c r="D18" s="5" t="s">
        <v>1554</v>
      </c>
    </row>
    <row r="19" customHeight="1" spans="1:4">
      <c r="A19" s="6"/>
      <c r="B19" s="1" t="s">
        <v>663</v>
      </c>
      <c r="C19" s="1" t="s">
        <v>147</v>
      </c>
      <c r="D19" s="5" t="s">
        <v>1554</v>
      </c>
    </row>
    <row r="20" customHeight="1" spans="1:4">
      <c r="A20" s="6"/>
      <c r="B20" s="1" t="s">
        <v>653</v>
      </c>
      <c r="C20" s="1" t="s">
        <v>147</v>
      </c>
      <c r="D20" s="5" t="s">
        <v>1554</v>
      </c>
    </row>
    <row r="21" customHeight="1" spans="1:4">
      <c r="A21" s="6"/>
      <c r="B21" s="1" t="s">
        <v>668</v>
      </c>
      <c r="C21" s="1" t="s">
        <v>147</v>
      </c>
      <c r="D21" s="5" t="s">
        <v>1554</v>
      </c>
    </row>
    <row r="22" customHeight="1" spans="1:4">
      <c r="A22" s="6"/>
      <c r="B22" s="1" t="s">
        <v>1179</v>
      </c>
      <c r="C22" s="1" t="s">
        <v>147</v>
      </c>
      <c r="D22" s="5" t="s">
        <v>1554</v>
      </c>
    </row>
    <row r="23" customHeight="1" spans="1:4">
      <c r="A23" s="6"/>
      <c r="B23" s="1" t="s">
        <v>425</v>
      </c>
      <c r="C23" s="1" t="s">
        <v>147</v>
      </c>
      <c r="D23" s="5" t="s">
        <v>1554</v>
      </c>
    </row>
    <row r="24" customHeight="1" spans="1:4">
      <c r="A24" s="1" t="s">
        <v>72</v>
      </c>
      <c r="B24" s="1" t="s">
        <v>842</v>
      </c>
      <c r="C24" s="1" t="s">
        <v>147</v>
      </c>
      <c r="D24" s="5" t="s">
        <v>1554</v>
      </c>
    </row>
    <row r="25" customHeight="1" spans="1:4">
      <c r="A25" s="6"/>
      <c r="B25" s="1" t="s">
        <v>1081</v>
      </c>
      <c r="C25" s="1" t="s">
        <v>147</v>
      </c>
      <c r="D25" s="5" t="s">
        <v>1554</v>
      </c>
    </row>
    <row r="26" customHeight="1" spans="1:4">
      <c r="A26" s="6"/>
      <c r="B26" s="1" t="s">
        <v>989</v>
      </c>
      <c r="C26" s="1" t="s">
        <v>147</v>
      </c>
      <c r="D26" s="5" t="s">
        <v>1554</v>
      </c>
    </row>
    <row r="27" customHeight="1" spans="1:4">
      <c r="A27" s="6"/>
      <c r="B27" s="1" t="s">
        <v>1017</v>
      </c>
      <c r="C27" s="1" t="s">
        <v>23</v>
      </c>
      <c r="D27" s="5" t="s">
        <v>1554</v>
      </c>
    </row>
    <row r="28" customHeight="1" spans="1:4">
      <c r="A28" s="6"/>
      <c r="B28" s="1" t="s">
        <v>775</v>
      </c>
      <c r="C28" s="1" t="s">
        <v>147</v>
      </c>
      <c r="D28" s="5" t="s">
        <v>1554</v>
      </c>
    </row>
    <row r="29" customHeight="1" spans="1:4">
      <c r="A29" s="6"/>
      <c r="B29" s="1" t="s">
        <v>1511</v>
      </c>
      <c r="C29" s="1" t="s">
        <v>147</v>
      </c>
      <c r="D29" s="5" t="s">
        <v>1554</v>
      </c>
    </row>
    <row r="30" customHeight="1" spans="1:4">
      <c r="A30" s="6"/>
      <c r="B30" s="1" t="s">
        <v>705</v>
      </c>
      <c r="C30" s="1" t="s">
        <v>147</v>
      </c>
      <c r="D30" s="5" t="s">
        <v>1554</v>
      </c>
    </row>
    <row r="31" customHeight="1" spans="1:4">
      <c r="A31" s="6"/>
      <c r="B31" s="1" t="s">
        <v>913</v>
      </c>
      <c r="C31" s="1" t="s">
        <v>147</v>
      </c>
      <c r="D31" s="5" t="s">
        <v>1554</v>
      </c>
    </row>
    <row r="32" customHeight="1" spans="1:4">
      <c r="A32" s="6"/>
      <c r="B32" s="1" t="s">
        <v>368</v>
      </c>
      <c r="C32" s="1" t="s">
        <v>147</v>
      </c>
      <c r="D32" s="5" t="s">
        <v>1554</v>
      </c>
    </row>
    <row r="33" customHeight="1" spans="1:4">
      <c r="A33" s="6"/>
      <c r="B33" s="1" t="s">
        <v>328</v>
      </c>
      <c r="C33" s="1" t="s">
        <v>147</v>
      </c>
      <c r="D33" s="5" t="s">
        <v>1554</v>
      </c>
    </row>
    <row r="34" customHeight="1" spans="1:4">
      <c r="A34" s="6"/>
      <c r="B34" s="1" t="s">
        <v>71</v>
      </c>
      <c r="C34" s="1" t="s">
        <v>23</v>
      </c>
      <c r="D34" s="5" t="s">
        <v>1554</v>
      </c>
    </row>
    <row r="35" customHeight="1" spans="1:4">
      <c r="A35" s="6"/>
      <c r="B35" s="1" t="s">
        <v>702</v>
      </c>
      <c r="C35" s="1" t="s">
        <v>147</v>
      </c>
      <c r="D35" s="5" t="s">
        <v>71</v>
      </c>
    </row>
    <row r="36" customHeight="1" spans="1:4">
      <c r="A36" s="6"/>
      <c r="B36" s="1" t="s">
        <v>376</v>
      </c>
      <c r="C36" s="1" t="s">
        <v>147</v>
      </c>
      <c r="D36" s="5" t="s">
        <v>1554</v>
      </c>
    </row>
    <row r="37" customHeight="1" spans="1:4">
      <c r="A37" s="6"/>
      <c r="B37" s="1" t="s">
        <v>716</v>
      </c>
      <c r="C37" s="1" t="s">
        <v>147</v>
      </c>
      <c r="D37" s="5" t="s">
        <v>1554</v>
      </c>
    </row>
    <row r="38" customHeight="1" spans="1:4">
      <c r="A38" s="6"/>
      <c r="B38" s="1" t="s">
        <v>590</v>
      </c>
      <c r="C38" s="1" t="s">
        <v>23</v>
      </c>
      <c r="D38" s="5" t="s">
        <v>1554</v>
      </c>
    </row>
    <row r="39" customHeight="1" spans="1:4">
      <c r="A39" s="6"/>
      <c r="B39" s="1" t="s">
        <v>354</v>
      </c>
      <c r="C39" s="1" t="s">
        <v>147</v>
      </c>
      <c r="D39" s="5" t="s">
        <v>1554</v>
      </c>
    </row>
    <row r="40" customHeight="1" spans="1:4">
      <c r="A40" s="6"/>
      <c r="B40" s="1" t="s">
        <v>1415</v>
      </c>
      <c r="C40" s="1" t="s">
        <v>147</v>
      </c>
      <c r="D40" s="5" t="s">
        <v>1554</v>
      </c>
    </row>
    <row r="41" customHeight="1" spans="1:4">
      <c r="A41" s="6"/>
      <c r="B41" s="1" t="s">
        <v>1430</v>
      </c>
      <c r="C41" s="1" t="s">
        <v>147</v>
      </c>
      <c r="D41" s="5" t="s">
        <v>1554</v>
      </c>
    </row>
    <row r="42" customHeight="1" spans="1:4">
      <c r="A42" s="6"/>
      <c r="B42" s="1" t="s">
        <v>1410</v>
      </c>
      <c r="C42" s="1" t="s">
        <v>14</v>
      </c>
      <c r="D42" s="5" t="s">
        <v>1554</v>
      </c>
    </row>
    <row r="43" customHeight="1" spans="1:4">
      <c r="A43" s="6"/>
      <c r="B43" s="1" t="s">
        <v>1193</v>
      </c>
      <c r="C43" s="1" t="s">
        <v>147</v>
      </c>
      <c r="D43" s="5" t="s">
        <v>1554</v>
      </c>
    </row>
    <row r="44" customHeight="1" spans="1:4">
      <c r="A44" s="6"/>
      <c r="B44" s="1" t="s">
        <v>1215</v>
      </c>
      <c r="C44" s="1" t="s">
        <v>147</v>
      </c>
      <c r="D44" s="5" t="s">
        <v>1554</v>
      </c>
    </row>
    <row r="45" customHeight="1" spans="1:4">
      <c r="A45" s="6"/>
      <c r="B45" s="1" t="s">
        <v>1334</v>
      </c>
      <c r="C45" s="1" t="s">
        <v>147</v>
      </c>
      <c r="D45" s="5" t="s">
        <v>1554</v>
      </c>
    </row>
    <row r="46" customHeight="1" spans="1:4">
      <c r="A46" s="6"/>
      <c r="B46" s="1" t="s">
        <v>1416</v>
      </c>
      <c r="C46" s="1" t="s">
        <v>147</v>
      </c>
      <c r="D46" s="5" t="s">
        <v>1554</v>
      </c>
    </row>
    <row r="47" customHeight="1" spans="1:4">
      <c r="A47" s="1" t="s">
        <v>62</v>
      </c>
      <c r="B47" s="1" t="s">
        <v>300</v>
      </c>
      <c r="C47" s="1" t="s">
        <v>147</v>
      </c>
      <c r="D47" s="5" t="s">
        <v>1554</v>
      </c>
    </row>
    <row r="48" customHeight="1" spans="1:4">
      <c r="A48" s="6"/>
      <c r="B48" s="1" t="s">
        <v>462</v>
      </c>
      <c r="C48" s="1" t="s">
        <v>14</v>
      </c>
      <c r="D48" s="5" t="s">
        <v>1554</v>
      </c>
    </row>
    <row r="49" customHeight="1" spans="1:4">
      <c r="A49" s="6"/>
      <c r="B49" s="1" t="s">
        <v>162</v>
      </c>
      <c r="C49" s="1" t="s">
        <v>23</v>
      </c>
      <c r="D49" s="5" t="s">
        <v>1554</v>
      </c>
    </row>
    <row r="50" customHeight="1" spans="1:4">
      <c r="A50" s="6"/>
      <c r="B50" s="1" t="s">
        <v>115</v>
      </c>
      <c r="C50" s="1" t="s">
        <v>23</v>
      </c>
      <c r="D50" s="5" t="s">
        <v>1554</v>
      </c>
    </row>
    <row r="51" customHeight="1" spans="1:4">
      <c r="A51" s="6"/>
      <c r="B51" s="1" t="s">
        <v>1458</v>
      </c>
      <c r="C51" s="1" t="s">
        <v>147</v>
      </c>
      <c r="D51" s="5" t="s">
        <v>1554</v>
      </c>
    </row>
    <row r="52" customHeight="1" spans="1:4">
      <c r="A52" s="6"/>
      <c r="B52" s="1" t="s">
        <v>640</v>
      </c>
      <c r="C52" s="1" t="s">
        <v>147</v>
      </c>
      <c r="D52" s="5" t="s">
        <v>1554</v>
      </c>
    </row>
    <row r="53" customHeight="1" spans="1:4">
      <c r="A53" s="6"/>
      <c r="B53" s="1" t="s">
        <v>429</v>
      </c>
      <c r="C53" s="1" t="s">
        <v>147</v>
      </c>
      <c r="D53" s="5" t="s">
        <v>1554</v>
      </c>
    </row>
    <row r="54" customHeight="1" spans="1:4">
      <c r="A54" s="6"/>
      <c r="B54" s="1" t="s">
        <v>608</v>
      </c>
      <c r="C54" s="1" t="s">
        <v>23</v>
      </c>
      <c r="D54" s="5" t="s">
        <v>1554</v>
      </c>
    </row>
    <row r="55" customHeight="1" spans="1:4">
      <c r="A55" s="6"/>
      <c r="B55" s="1" t="s">
        <v>776</v>
      </c>
      <c r="C55" s="1" t="s">
        <v>147</v>
      </c>
      <c r="D55" s="5" t="s">
        <v>1554</v>
      </c>
    </row>
    <row r="56" customHeight="1" spans="1:4">
      <c r="A56" s="6"/>
      <c r="B56" s="1" t="s">
        <v>336</v>
      </c>
      <c r="C56" s="1" t="s">
        <v>147</v>
      </c>
      <c r="D56" s="5" t="s">
        <v>1554</v>
      </c>
    </row>
    <row r="57" customHeight="1" spans="1:4">
      <c r="A57" s="6"/>
      <c r="B57" s="1" t="s">
        <v>287</v>
      </c>
      <c r="C57" s="1" t="s">
        <v>147</v>
      </c>
      <c r="D57" s="5" t="s">
        <v>1554</v>
      </c>
    </row>
    <row r="58" customHeight="1" spans="1:4">
      <c r="A58" s="6"/>
      <c r="B58" s="1" t="s">
        <v>603</v>
      </c>
      <c r="C58" s="1" t="s">
        <v>147</v>
      </c>
      <c r="D58" s="5" t="s">
        <v>1554</v>
      </c>
    </row>
    <row r="59" customHeight="1" spans="1:4">
      <c r="A59" s="6"/>
      <c r="B59" s="1" t="s">
        <v>286</v>
      </c>
      <c r="C59" s="1" t="s">
        <v>147</v>
      </c>
      <c r="D59" s="5" t="s">
        <v>1554</v>
      </c>
    </row>
    <row r="60" customHeight="1" spans="1:4">
      <c r="A60" s="6"/>
      <c r="B60" s="1" t="s">
        <v>365</v>
      </c>
      <c r="C60" s="1" t="s">
        <v>147</v>
      </c>
      <c r="D60" s="5" t="s">
        <v>1554</v>
      </c>
    </row>
    <row r="61" customHeight="1" spans="1:4">
      <c r="A61" s="6"/>
      <c r="B61" s="1" t="s">
        <v>345</v>
      </c>
      <c r="C61" s="1" t="s">
        <v>147</v>
      </c>
      <c r="D61" s="5" t="s">
        <v>1554</v>
      </c>
    </row>
    <row r="62" customHeight="1" spans="1:4">
      <c r="A62" s="6"/>
      <c r="B62" s="1" t="s">
        <v>1255</v>
      </c>
      <c r="C62" s="1" t="s">
        <v>147</v>
      </c>
      <c r="D62" s="5" t="s">
        <v>1554</v>
      </c>
    </row>
    <row r="63" customHeight="1" spans="1:4">
      <c r="A63" s="6"/>
      <c r="B63" s="1" t="s">
        <v>125</v>
      </c>
      <c r="C63" s="1" t="s">
        <v>23</v>
      </c>
      <c r="D63" s="5" t="s">
        <v>1554</v>
      </c>
    </row>
    <row r="64" customHeight="1" spans="1:4">
      <c r="A64" s="6"/>
      <c r="B64" s="1" t="s">
        <v>710</v>
      </c>
      <c r="C64" s="1" t="s">
        <v>147</v>
      </c>
      <c r="D64" s="5" t="s">
        <v>1554</v>
      </c>
    </row>
    <row r="65" customHeight="1" spans="1:4">
      <c r="A65" s="6"/>
      <c r="B65" s="1" t="s">
        <v>401</v>
      </c>
      <c r="C65" s="1" t="s">
        <v>147</v>
      </c>
      <c r="D65" s="5" t="s">
        <v>1554</v>
      </c>
    </row>
    <row r="66" customHeight="1" spans="1:4">
      <c r="A66" s="6"/>
      <c r="B66" s="1" t="s">
        <v>360</v>
      </c>
      <c r="C66" s="1" t="s">
        <v>147</v>
      </c>
      <c r="D66" s="5" t="s">
        <v>1554</v>
      </c>
    </row>
    <row r="67" customHeight="1" spans="1:4">
      <c r="A67" s="6"/>
      <c r="B67" s="1" t="s">
        <v>61</v>
      </c>
      <c r="C67" s="1" t="s">
        <v>23</v>
      </c>
      <c r="D67" s="5" t="s">
        <v>1554</v>
      </c>
    </row>
    <row r="68" customHeight="1" spans="1:4">
      <c r="A68" s="6"/>
      <c r="B68" s="1" t="s">
        <v>255</v>
      </c>
      <c r="C68" s="1" t="s">
        <v>147</v>
      </c>
      <c r="D68" s="5" t="s">
        <v>1554</v>
      </c>
    </row>
    <row r="69" customHeight="1" spans="1:4">
      <c r="A69" s="6"/>
      <c r="B69" s="1" t="s">
        <v>120</v>
      </c>
      <c r="C69" s="1" t="s">
        <v>23</v>
      </c>
      <c r="D69" s="5" t="s">
        <v>1554</v>
      </c>
    </row>
    <row r="70" customHeight="1" spans="1:4">
      <c r="A70" s="6"/>
      <c r="B70" s="1" t="s">
        <v>477</v>
      </c>
      <c r="C70" s="1" t="s">
        <v>147</v>
      </c>
      <c r="D70" s="5" t="s">
        <v>1554</v>
      </c>
    </row>
    <row r="71" customHeight="1" spans="1:4">
      <c r="A71" s="6"/>
      <c r="B71" s="1" t="s">
        <v>896</v>
      </c>
      <c r="C71" s="1" t="s">
        <v>147</v>
      </c>
      <c r="D71" s="5" t="s">
        <v>1554</v>
      </c>
    </row>
    <row r="72" customHeight="1" spans="1:4">
      <c r="A72" s="6"/>
      <c r="B72" s="1" t="s">
        <v>466</v>
      </c>
      <c r="C72" s="1" t="s">
        <v>147</v>
      </c>
      <c r="D72" s="5" t="s">
        <v>1554</v>
      </c>
    </row>
    <row r="73" customHeight="1" spans="1:4">
      <c r="A73" s="6"/>
      <c r="B73" s="1" t="s">
        <v>654</v>
      </c>
      <c r="C73" s="1" t="s">
        <v>147</v>
      </c>
      <c r="D73" s="5" t="s">
        <v>1554</v>
      </c>
    </row>
    <row r="74" customHeight="1" spans="1:4">
      <c r="A74" s="6"/>
      <c r="B74" s="1" t="s">
        <v>161</v>
      </c>
      <c r="C74" s="1" t="s">
        <v>23</v>
      </c>
      <c r="D74" s="5" t="s">
        <v>1554</v>
      </c>
    </row>
    <row r="75" customHeight="1" spans="1:4">
      <c r="A75" s="6"/>
      <c r="B75" s="1" t="s">
        <v>128</v>
      </c>
      <c r="C75" s="1" t="s">
        <v>23</v>
      </c>
      <c r="D75" s="5" t="s">
        <v>129</v>
      </c>
    </row>
    <row r="76" customHeight="1" spans="1:4">
      <c r="A76" s="1" t="s">
        <v>732</v>
      </c>
      <c r="B76" s="1" t="s">
        <v>793</v>
      </c>
      <c r="C76" s="1" t="s">
        <v>147</v>
      </c>
      <c r="D76" s="5" t="s">
        <v>1554</v>
      </c>
    </row>
    <row r="77" customHeight="1" spans="1:4">
      <c r="A77" s="6"/>
      <c r="B77" s="1" t="s">
        <v>1372</v>
      </c>
      <c r="C77" s="1" t="s">
        <v>147</v>
      </c>
      <c r="D77" s="5" t="s">
        <v>1554</v>
      </c>
    </row>
    <row r="78" customHeight="1" spans="1:4">
      <c r="A78" s="6"/>
      <c r="B78" s="1" t="s">
        <v>731</v>
      </c>
      <c r="C78" s="1" t="s">
        <v>147</v>
      </c>
      <c r="D78" s="5" t="s">
        <v>1554</v>
      </c>
    </row>
    <row r="79" customHeight="1" spans="1:4">
      <c r="A79" s="6"/>
      <c r="B79" s="1" t="s">
        <v>1295</v>
      </c>
      <c r="C79" s="1" t="s">
        <v>147</v>
      </c>
      <c r="D79" s="5" t="s">
        <v>1554</v>
      </c>
    </row>
    <row r="80" customHeight="1" spans="1:4">
      <c r="A80" s="6"/>
      <c r="B80" s="1" t="s">
        <v>1042</v>
      </c>
      <c r="C80" s="1" t="s">
        <v>147</v>
      </c>
      <c r="D80" s="5" t="s">
        <v>1554</v>
      </c>
    </row>
    <row r="81" customHeight="1" spans="1:4">
      <c r="A81" s="1" t="s">
        <v>627</v>
      </c>
      <c r="B81" s="1" t="s">
        <v>626</v>
      </c>
      <c r="C81" s="1" t="s">
        <v>147</v>
      </c>
      <c r="D81" s="5" t="s">
        <v>1554</v>
      </c>
    </row>
    <row r="82" customHeight="1" spans="1:4">
      <c r="A82" s="6"/>
      <c r="B82" s="1" t="s">
        <v>1369</v>
      </c>
      <c r="C82" s="1" t="s">
        <v>147</v>
      </c>
      <c r="D82" s="5" t="s">
        <v>1554</v>
      </c>
    </row>
    <row r="83" customHeight="1" spans="1:4">
      <c r="A83" s="6"/>
      <c r="B83" s="1" t="s">
        <v>1126</v>
      </c>
      <c r="C83" s="1" t="s">
        <v>147</v>
      </c>
      <c r="D83" s="5" t="s">
        <v>1554</v>
      </c>
    </row>
    <row r="84" customHeight="1" spans="1:4">
      <c r="A84" s="1" t="s">
        <v>168</v>
      </c>
      <c r="B84" s="1" t="s">
        <v>165</v>
      </c>
      <c r="C84" s="1" t="s">
        <v>23</v>
      </c>
      <c r="D84" s="5" t="s">
        <v>166</v>
      </c>
    </row>
    <row r="85" customHeight="1" spans="1:4">
      <c r="A85" s="6"/>
      <c r="B85" s="1" t="s">
        <v>885</v>
      </c>
      <c r="C85" s="1" t="s">
        <v>147</v>
      </c>
      <c r="D85" s="5" t="s">
        <v>1554</v>
      </c>
    </row>
    <row r="86" customHeight="1" spans="1:4">
      <c r="A86" s="1" t="s">
        <v>29</v>
      </c>
      <c r="B86" s="1" t="s">
        <v>770</v>
      </c>
      <c r="C86" s="1" t="s">
        <v>147</v>
      </c>
      <c r="D86" s="5" t="s">
        <v>1554</v>
      </c>
    </row>
    <row r="87" customHeight="1" spans="1:4">
      <c r="A87" s="6"/>
      <c r="B87" s="1" t="s">
        <v>1105</v>
      </c>
      <c r="C87" s="1" t="s">
        <v>147</v>
      </c>
      <c r="D87" s="5" t="s">
        <v>1554</v>
      </c>
    </row>
    <row r="88" customHeight="1" spans="1:4">
      <c r="A88" s="6"/>
      <c r="B88" s="1" t="s">
        <v>28</v>
      </c>
      <c r="C88" s="1" t="s">
        <v>23</v>
      </c>
      <c r="D88" s="5" t="s">
        <v>1554</v>
      </c>
    </row>
    <row r="89" customHeight="1" spans="1:4">
      <c r="A89" s="6"/>
      <c r="B89" s="1" t="s">
        <v>671</v>
      </c>
      <c r="C89" s="1" t="s">
        <v>147</v>
      </c>
      <c r="D89" s="5" t="s">
        <v>1554</v>
      </c>
    </row>
    <row r="90" customHeight="1" spans="1:4">
      <c r="A90" s="6"/>
      <c r="B90" s="1" t="s">
        <v>442</v>
      </c>
      <c r="C90" s="1" t="s">
        <v>147</v>
      </c>
      <c r="D90" s="5" t="s">
        <v>1554</v>
      </c>
    </row>
    <row r="91" customHeight="1" spans="1:4">
      <c r="A91" s="6"/>
      <c r="B91" s="1" t="s">
        <v>107</v>
      </c>
      <c r="C91" s="1" t="s">
        <v>23</v>
      </c>
      <c r="D91" s="5" t="s">
        <v>1554</v>
      </c>
    </row>
    <row r="92" customHeight="1" spans="1:4">
      <c r="A92" s="6"/>
      <c r="B92" s="1" t="s">
        <v>527</v>
      </c>
      <c r="C92" s="1" t="s">
        <v>147</v>
      </c>
      <c r="D92" s="5" t="s">
        <v>528</v>
      </c>
    </row>
    <row r="93" customHeight="1" spans="1:4">
      <c r="A93" s="6"/>
      <c r="B93" s="1" t="s">
        <v>139</v>
      </c>
      <c r="C93" s="1" t="s">
        <v>23</v>
      </c>
      <c r="D93" s="5" t="s">
        <v>1554</v>
      </c>
    </row>
    <row r="94" customHeight="1" spans="1:4">
      <c r="A94" s="6"/>
      <c r="B94" s="1" t="s">
        <v>299</v>
      </c>
      <c r="C94" s="1" t="s">
        <v>147</v>
      </c>
      <c r="D94" s="5" t="s">
        <v>1554</v>
      </c>
    </row>
    <row r="95" customHeight="1" spans="1:4">
      <c r="A95" s="6"/>
      <c r="B95" s="1" t="s">
        <v>189</v>
      </c>
      <c r="C95" s="1" t="s">
        <v>23</v>
      </c>
      <c r="D95" s="5" t="s">
        <v>1554</v>
      </c>
    </row>
    <row r="96" customHeight="1" spans="1:4">
      <c r="A96" s="6"/>
      <c r="B96" s="1" t="s">
        <v>841</v>
      </c>
      <c r="C96" s="1" t="s">
        <v>147</v>
      </c>
      <c r="D96" s="5" t="s">
        <v>1554</v>
      </c>
    </row>
    <row r="97" customHeight="1" spans="1:4">
      <c r="A97" s="6"/>
      <c r="B97" s="1" t="s">
        <v>538</v>
      </c>
      <c r="C97" s="1" t="s">
        <v>147</v>
      </c>
      <c r="D97" s="5" t="s">
        <v>1554</v>
      </c>
    </row>
    <row r="98" customHeight="1" spans="1:4">
      <c r="A98" s="6"/>
      <c r="B98" s="1" t="s">
        <v>245</v>
      </c>
      <c r="C98" s="1" t="s">
        <v>147</v>
      </c>
      <c r="D98" s="5" t="s">
        <v>1554</v>
      </c>
    </row>
    <row r="99" customHeight="1" spans="1:4">
      <c r="A99" s="6"/>
      <c r="B99" s="1" t="s">
        <v>202</v>
      </c>
      <c r="C99" s="1" t="s">
        <v>23</v>
      </c>
      <c r="D99" s="5" t="s">
        <v>203</v>
      </c>
    </row>
    <row r="100" customHeight="1" spans="1:4">
      <c r="A100" s="6"/>
      <c r="B100" s="1" t="s">
        <v>1044</v>
      </c>
      <c r="C100" s="1" t="s">
        <v>147</v>
      </c>
      <c r="D100" s="5" t="s">
        <v>1554</v>
      </c>
    </row>
    <row r="101" customHeight="1" spans="1:4">
      <c r="A101" s="6"/>
      <c r="B101" s="1" t="s">
        <v>480</v>
      </c>
      <c r="C101" s="1" t="s">
        <v>14</v>
      </c>
      <c r="D101" s="5" t="s">
        <v>481</v>
      </c>
    </row>
    <row r="102" customHeight="1" spans="1:4">
      <c r="A102" s="6"/>
      <c r="B102" s="1" t="s">
        <v>800</v>
      </c>
      <c r="C102" s="1" t="s">
        <v>147</v>
      </c>
      <c r="D102" s="5" t="s">
        <v>1554</v>
      </c>
    </row>
    <row r="103" customHeight="1" spans="1:4">
      <c r="A103" s="6"/>
      <c r="B103" s="1" t="s">
        <v>330</v>
      </c>
      <c r="C103" s="1" t="s">
        <v>23</v>
      </c>
      <c r="D103" s="5" t="s">
        <v>1554</v>
      </c>
    </row>
    <row r="104" customHeight="1" spans="1:4">
      <c r="A104" s="6"/>
      <c r="B104" s="1" t="s">
        <v>284</v>
      </c>
      <c r="C104" s="1" t="s">
        <v>23</v>
      </c>
      <c r="D104" s="5" t="s">
        <v>1554</v>
      </c>
    </row>
    <row r="105" customHeight="1" spans="1:4">
      <c r="A105" s="6"/>
      <c r="B105" s="1" t="s">
        <v>605</v>
      </c>
      <c r="C105" s="1" t="s">
        <v>147</v>
      </c>
      <c r="D105" s="5" t="s">
        <v>1554</v>
      </c>
    </row>
    <row r="106" customHeight="1" spans="1:4">
      <c r="A106" s="6"/>
      <c r="B106" s="1" t="s">
        <v>836</v>
      </c>
      <c r="C106" s="1" t="s">
        <v>147</v>
      </c>
      <c r="D106" s="5" t="s">
        <v>1554</v>
      </c>
    </row>
    <row r="107" customHeight="1" spans="1:4">
      <c r="A107" s="6"/>
      <c r="B107" s="1" t="s">
        <v>397</v>
      </c>
      <c r="C107" s="1" t="s">
        <v>147</v>
      </c>
      <c r="D107" s="5" t="s">
        <v>1554</v>
      </c>
    </row>
    <row r="108" customHeight="1" spans="1:4">
      <c r="A108" s="6"/>
      <c r="B108" s="1" t="s">
        <v>418</v>
      </c>
      <c r="C108" s="1" t="s">
        <v>14</v>
      </c>
      <c r="D108" s="5" t="s">
        <v>1554</v>
      </c>
    </row>
    <row r="109" customHeight="1" spans="1:4">
      <c r="A109" s="6"/>
      <c r="B109" s="1" t="s">
        <v>727</v>
      </c>
      <c r="C109" s="1" t="s">
        <v>147</v>
      </c>
      <c r="D109" s="5" t="s">
        <v>1554</v>
      </c>
    </row>
    <row r="110" customHeight="1" spans="1:4">
      <c r="A110" s="6"/>
      <c r="B110" s="1" t="s">
        <v>170</v>
      </c>
      <c r="C110" s="1" t="s">
        <v>23</v>
      </c>
      <c r="D110" s="5" t="s">
        <v>1554</v>
      </c>
    </row>
    <row r="111" customHeight="1" spans="1:4">
      <c r="A111" s="6"/>
      <c r="B111" s="1" t="s">
        <v>1063</v>
      </c>
      <c r="C111" s="1" t="s">
        <v>147</v>
      </c>
      <c r="D111" s="5" t="s">
        <v>1554</v>
      </c>
    </row>
    <row r="112" customHeight="1" spans="1:4">
      <c r="A112" s="6"/>
      <c r="B112" s="1" t="s">
        <v>1269</v>
      </c>
      <c r="C112" s="1" t="s">
        <v>147</v>
      </c>
      <c r="D112" s="5" t="s">
        <v>1554</v>
      </c>
    </row>
    <row r="113" customHeight="1" spans="1:4">
      <c r="A113" s="6"/>
      <c r="B113" s="1" t="s">
        <v>1134</v>
      </c>
      <c r="C113" s="1" t="s">
        <v>147</v>
      </c>
      <c r="D113" s="5" t="s">
        <v>1554</v>
      </c>
    </row>
    <row r="114" customHeight="1" spans="1:4">
      <c r="A114" s="6"/>
      <c r="B114" s="1" t="s">
        <v>753</v>
      </c>
      <c r="C114" s="1" t="s">
        <v>147</v>
      </c>
      <c r="D114" s="5" t="s">
        <v>1554</v>
      </c>
    </row>
    <row r="115" customHeight="1" spans="1:4">
      <c r="A115" s="6"/>
      <c r="B115" s="1" t="s">
        <v>239</v>
      </c>
      <c r="C115" s="1" t="s">
        <v>23</v>
      </c>
      <c r="D115" s="5" t="s">
        <v>1554</v>
      </c>
    </row>
    <row r="116" customHeight="1" spans="1:4">
      <c r="A116" s="6"/>
      <c r="B116" s="1" t="s">
        <v>1555</v>
      </c>
      <c r="C116" s="1" t="s">
        <v>23</v>
      </c>
      <c r="D116" s="5" t="s">
        <v>88</v>
      </c>
    </row>
    <row r="117" customHeight="1" spans="1:4">
      <c r="A117" s="6"/>
      <c r="B117" s="1" t="s">
        <v>979</v>
      </c>
      <c r="C117" s="1" t="s">
        <v>147</v>
      </c>
      <c r="D117" s="5" t="s">
        <v>1554</v>
      </c>
    </row>
    <row r="118" customHeight="1" spans="1:4">
      <c r="A118" s="1" t="s">
        <v>338</v>
      </c>
      <c r="B118" s="1" t="s">
        <v>1212</v>
      </c>
      <c r="C118" s="1" t="s">
        <v>147</v>
      </c>
      <c r="D118" s="5" t="s">
        <v>1554</v>
      </c>
    </row>
    <row r="119" customHeight="1" spans="1:4">
      <c r="A119" s="6"/>
      <c r="B119" s="1" t="s">
        <v>990</v>
      </c>
      <c r="C119" s="1" t="s">
        <v>147</v>
      </c>
      <c r="D119" s="5" t="s">
        <v>1554</v>
      </c>
    </row>
    <row r="120" customHeight="1" spans="1:4">
      <c r="A120" s="6"/>
      <c r="B120" s="1" t="s">
        <v>1011</v>
      </c>
      <c r="C120" s="1" t="s">
        <v>147</v>
      </c>
      <c r="D120" s="5" t="s">
        <v>1554</v>
      </c>
    </row>
    <row r="121" customHeight="1" spans="1:4">
      <c r="A121" s="6"/>
      <c r="B121" s="1" t="s">
        <v>1420</v>
      </c>
      <c r="C121" s="1" t="s">
        <v>14</v>
      </c>
      <c r="D121" s="5" t="s">
        <v>1554</v>
      </c>
    </row>
    <row r="122" customHeight="1" spans="1:4">
      <c r="A122" s="6"/>
      <c r="B122" s="1" t="s">
        <v>1388</v>
      </c>
      <c r="C122" s="1" t="s">
        <v>147</v>
      </c>
      <c r="D122" s="5" t="s">
        <v>1554</v>
      </c>
    </row>
    <row r="123" customHeight="1" spans="1:4">
      <c r="A123" s="6"/>
      <c r="B123" s="1" t="s">
        <v>1374</v>
      </c>
      <c r="C123" s="1" t="s">
        <v>147</v>
      </c>
      <c r="D123" s="5" t="s">
        <v>1554</v>
      </c>
    </row>
    <row r="124" customHeight="1" spans="1:4">
      <c r="A124" s="6"/>
      <c r="B124" s="1" t="s">
        <v>337</v>
      </c>
      <c r="C124" s="1" t="s">
        <v>147</v>
      </c>
      <c r="D124" s="5" t="s">
        <v>1554</v>
      </c>
    </row>
    <row r="125" customHeight="1" spans="1:4">
      <c r="A125" s="1" t="s">
        <v>870</v>
      </c>
      <c r="B125" s="1" t="s">
        <v>1167</v>
      </c>
      <c r="C125" s="1" t="s">
        <v>14</v>
      </c>
      <c r="D125" s="5" t="s">
        <v>1168</v>
      </c>
    </row>
    <row r="126" customHeight="1" spans="1:4">
      <c r="A126" s="6"/>
      <c r="B126" s="1" t="s">
        <v>1146</v>
      </c>
      <c r="C126" s="1" t="s">
        <v>14</v>
      </c>
      <c r="D126" s="5" t="s">
        <v>1147</v>
      </c>
    </row>
    <row r="127" customHeight="1" spans="1:4">
      <c r="A127" s="6"/>
      <c r="B127" s="1" t="s">
        <v>1471</v>
      </c>
      <c r="C127" s="1" t="s">
        <v>14</v>
      </c>
      <c r="D127" s="5" t="s">
        <v>1554</v>
      </c>
    </row>
    <row r="128" customHeight="1" spans="1:4">
      <c r="A128" s="6"/>
      <c r="B128" s="1" t="s">
        <v>1061</v>
      </c>
      <c r="C128" s="1" t="s">
        <v>14</v>
      </c>
      <c r="D128" s="5" t="s">
        <v>1554</v>
      </c>
    </row>
    <row r="129" customHeight="1" spans="1:4">
      <c r="A129" s="6"/>
      <c r="B129" s="1" t="s">
        <v>1348</v>
      </c>
      <c r="C129" s="1" t="s">
        <v>14</v>
      </c>
      <c r="D129" s="5" t="s">
        <v>1554</v>
      </c>
    </row>
    <row r="130" customHeight="1" spans="1:4">
      <c r="A130" s="6"/>
      <c r="B130" s="1" t="s">
        <v>1272</v>
      </c>
      <c r="C130" s="1" t="s">
        <v>14</v>
      </c>
      <c r="D130" s="5" t="s">
        <v>1554</v>
      </c>
    </row>
    <row r="131" customHeight="1" spans="1:4">
      <c r="A131" s="6"/>
      <c r="B131" s="1" t="s">
        <v>1003</v>
      </c>
      <c r="C131" s="1" t="s">
        <v>147</v>
      </c>
      <c r="D131" s="5" t="s">
        <v>1554</v>
      </c>
    </row>
    <row r="132" customHeight="1" spans="1:4">
      <c r="A132" s="6"/>
      <c r="B132" s="1" t="s">
        <v>1327</v>
      </c>
      <c r="C132" s="1" t="s">
        <v>23</v>
      </c>
      <c r="D132" s="5" t="s">
        <v>1554</v>
      </c>
    </row>
    <row r="133" customHeight="1" spans="1:4">
      <c r="A133" s="6"/>
      <c r="B133" s="1" t="s">
        <v>1118</v>
      </c>
      <c r="C133" s="1" t="s">
        <v>14</v>
      </c>
      <c r="D133" s="5" t="s">
        <v>1119</v>
      </c>
    </row>
    <row r="134" customHeight="1" spans="1:4">
      <c r="A134" s="6"/>
      <c r="B134" s="1" t="s">
        <v>867</v>
      </c>
      <c r="C134" s="1" t="s">
        <v>14</v>
      </c>
      <c r="D134" s="5" t="s">
        <v>868</v>
      </c>
    </row>
    <row r="135" customHeight="1" spans="1:4">
      <c r="A135" s="6"/>
      <c r="B135" s="1" t="s">
        <v>1413</v>
      </c>
      <c r="C135" s="1" t="s">
        <v>147</v>
      </c>
      <c r="D135" s="5" t="s">
        <v>1554</v>
      </c>
    </row>
    <row r="136" customHeight="1" spans="1:4">
      <c r="A136" s="6"/>
      <c r="B136" s="1" t="s">
        <v>1029</v>
      </c>
      <c r="C136" s="1" t="s">
        <v>147</v>
      </c>
      <c r="D136" s="5" t="s">
        <v>1554</v>
      </c>
    </row>
    <row r="137" customHeight="1" spans="1:4">
      <c r="A137" s="6"/>
      <c r="B137" s="1" t="s">
        <v>1102</v>
      </c>
      <c r="C137" s="1" t="s">
        <v>147</v>
      </c>
      <c r="D137" s="5" t="s">
        <v>1554</v>
      </c>
    </row>
    <row r="138" customHeight="1" spans="1:4">
      <c r="A138" s="6"/>
      <c r="B138" s="1" t="s">
        <v>1387</v>
      </c>
      <c r="C138" s="1" t="s">
        <v>147</v>
      </c>
      <c r="D138" s="5" t="s">
        <v>1554</v>
      </c>
    </row>
    <row r="139" customHeight="1" spans="1:4">
      <c r="A139" s="6"/>
      <c r="B139" s="1" t="s">
        <v>1542</v>
      </c>
      <c r="C139" s="1" t="s">
        <v>14</v>
      </c>
      <c r="D139" s="5" t="s">
        <v>1554</v>
      </c>
    </row>
    <row r="140" customHeight="1" spans="1:4">
      <c r="A140" s="1" t="s">
        <v>392</v>
      </c>
      <c r="B140" s="1" t="s">
        <v>390</v>
      </c>
      <c r="C140" s="1" t="s">
        <v>14</v>
      </c>
      <c r="D140" s="5" t="s">
        <v>1554</v>
      </c>
    </row>
    <row r="141" customHeight="1" spans="1:4">
      <c r="A141" s="6"/>
      <c r="B141" s="1" t="s">
        <v>1047</v>
      </c>
      <c r="C141" s="1" t="s">
        <v>147</v>
      </c>
      <c r="D141" s="5" t="s">
        <v>1554</v>
      </c>
    </row>
    <row r="142" customHeight="1" spans="1:4">
      <c r="A142" s="6"/>
      <c r="B142" s="1" t="s">
        <v>749</v>
      </c>
      <c r="C142" s="1" t="s">
        <v>147</v>
      </c>
      <c r="D142" s="5" t="s">
        <v>1554</v>
      </c>
    </row>
    <row r="143" customHeight="1" spans="1:4">
      <c r="A143" s="6"/>
      <c r="B143" s="1" t="s">
        <v>1196</v>
      </c>
      <c r="C143" s="1" t="s">
        <v>147</v>
      </c>
      <c r="D143" s="5" t="s">
        <v>1554</v>
      </c>
    </row>
    <row r="144" customHeight="1" spans="1:4">
      <c r="A144" s="6"/>
      <c r="B144" s="1" t="s">
        <v>1391</v>
      </c>
      <c r="C144" s="1" t="s">
        <v>147</v>
      </c>
      <c r="D144" s="5" t="s">
        <v>1554</v>
      </c>
    </row>
    <row r="145" customHeight="1" spans="1:4">
      <c r="A145" s="6"/>
      <c r="B145" s="1" t="s">
        <v>837</v>
      </c>
      <c r="C145" s="1" t="s">
        <v>147</v>
      </c>
      <c r="D145" s="5" t="s">
        <v>1554</v>
      </c>
    </row>
    <row r="146" customHeight="1" spans="1:4">
      <c r="A146" s="1" t="s">
        <v>840</v>
      </c>
      <c r="B146" s="1" t="s">
        <v>1312</v>
      </c>
      <c r="C146" s="1" t="s">
        <v>147</v>
      </c>
      <c r="D146" s="5" t="s">
        <v>1554</v>
      </c>
    </row>
    <row r="147" customHeight="1" spans="1:4">
      <c r="A147" s="6"/>
      <c r="B147" s="1" t="s">
        <v>839</v>
      </c>
      <c r="C147" s="1" t="s">
        <v>147</v>
      </c>
      <c r="D147" s="5" t="s">
        <v>1554</v>
      </c>
    </row>
    <row r="148" customHeight="1" spans="1:4">
      <c r="A148" s="6"/>
      <c r="B148" s="1" t="s">
        <v>1389</v>
      </c>
      <c r="C148" s="1" t="s">
        <v>147</v>
      </c>
      <c r="D148" s="5" t="s">
        <v>1554</v>
      </c>
    </row>
    <row r="149" customHeight="1" spans="1:4">
      <c r="A149" s="1" t="s">
        <v>1251</v>
      </c>
      <c r="B149" s="1" t="s">
        <v>1250</v>
      </c>
      <c r="C149" s="1" t="s">
        <v>147</v>
      </c>
      <c r="D149" s="5" t="s">
        <v>1554</v>
      </c>
    </row>
    <row r="150" customHeight="1" spans="1:4">
      <c r="A150" s="6"/>
      <c r="B150" s="1" t="s">
        <v>1370</v>
      </c>
      <c r="C150" s="1" t="s">
        <v>147</v>
      </c>
      <c r="D150" s="5" t="s">
        <v>1554</v>
      </c>
    </row>
    <row r="151" customHeight="1" spans="1:4">
      <c r="A151" s="1" t="s">
        <v>358</v>
      </c>
      <c r="B151" s="1" t="s">
        <v>1066</v>
      </c>
      <c r="C151" s="1" t="s">
        <v>147</v>
      </c>
      <c r="D151" s="5" t="s">
        <v>1554</v>
      </c>
    </row>
    <row r="152" customHeight="1" spans="1:4">
      <c r="A152" s="6"/>
      <c r="B152" s="1" t="s">
        <v>516</v>
      </c>
      <c r="C152" s="1" t="s">
        <v>147</v>
      </c>
      <c r="D152" s="5" t="s">
        <v>1554</v>
      </c>
    </row>
    <row r="153" customHeight="1" spans="1:4">
      <c r="A153" s="6"/>
      <c r="B153" s="1" t="s">
        <v>1294</v>
      </c>
      <c r="C153" s="1" t="s">
        <v>147</v>
      </c>
      <c r="D153" s="5" t="s">
        <v>1554</v>
      </c>
    </row>
    <row r="154" customHeight="1" spans="1:4">
      <c r="A154" s="6"/>
      <c r="B154" s="1" t="s">
        <v>1373</v>
      </c>
      <c r="C154" s="1" t="s">
        <v>147</v>
      </c>
      <c r="D154" s="5" t="s">
        <v>1554</v>
      </c>
    </row>
    <row r="155" customHeight="1" spans="1:4">
      <c r="A155" s="6"/>
      <c r="B155" s="1" t="s">
        <v>1287</v>
      </c>
      <c r="C155" s="1" t="s">
        <v>14</v>
      </c>
      <c r="D155" s="5" t="s">
        <v>1554</v>
      </c>
    </row>
    <row r="156" customHeight="1" spans="1:4">
      <c r="A156" s="6"/>
      <c r="B156" s="1" t="s">
        <v>1380</v>
      </c>
      <c r="C156" s="1" t="s">
        <v>147</v>
      </c>
      <c r="D156" s="5" t="s">
        <v>1554</v>
      </c>
    </row>
    <row r="157" customHeight="1" spans="1:4">
      <c r="A157" s="6"/>
      <c r="B157" s="1" t="s">
        <v>1274</v>
      </c>
      <c r="C157" s="1" t="s">
        <v>147</v>
      </c>
      <c r="D157" s="5" t="s">
        <v>1554</v>
      </c>
    </row>
    <row r="158" customHeight="1" spans="1:4">
      <c r="A158" s="6"/>
      <c r="B158" s="1" t="s">
        <v>1425</v>
      </c>
      <c r="C158" s="1" t="s">
        <v>147</v>
      </c>
      <c r="D158" s="5" t="s">
        <v>1554</v>
      </c>
    </row>
    <row r="159" customHeight="1" spans="1:4">
      <c r="A159" s="6"/>
      <c r="B159" s="1" t="s">
        <v>645</v>
      </c>
      <c r="C159" s="1" t="s">
        <v>14</v>
      </c>
      <c r="D159" s="5" t="s">
        <v>1554</v>
      </c>
    </row>
    <row r="160" customHeight="1" spans="1:4">
      <c r="A160" s="6"/>
      <c r="B160" s="1" t="s">
        <v>465</v>
      </c>
      <c r="C160" s="1" t="s">
        <v>147</v>
      </c>
      <c r="D160" s="5" t="s">
        <v>1554</v>
      </c>
    </row>
    <row r="161" customHeight="1" spans="1:4">
      <c r="A161" s="6"/>
      <c r="B161" s="1" t="s">
        <v>1422</v>
      </c>
      <c r="C161" s="1" t="s">
        <v>147</v>
      </c>
      <c r="D161" s="5" t="s">
        <v>1554</v>
      </c>
    </row>
    <row r="162" customHeight="1" spans="1:4">
      <c r="A162" s="6"/>
      <c r="B162" s="1" t="s">
        <v>847</v>
      </c>
      <c r="C162" s="1" t="s">
        <v>147</v>
      </c>
      <c r="D162" s="5" t="s">
        <v>1554</v>
      </c>
    </row>
    <row r="163" customHeight="1" spans="1:4">
      <c r="A163" s="6"/>
      <c r="B163" s="1" t="s">
        <v>357</v>
      </c>
      <c r="C163" s="1" t="s">
        <v>147</v>
      </c>
      <c r="D163" s="5" t="s">
        <v>1554</v>
      </c>
    </row>
    <row r="164" customHeight="1" spans="1:4">
      <c r="A164" s="6"/>
      <c r="B164" s="1" t="s">
        <v>879</v>
      </c>
      <c r="C164" s="1" t="s">
        <v>14</v>
      </c>
      <c r="D164" s="5" t="s">
        <v>357</v>
      </c>
    </row>
    <row r="165" customHeight="1" spans="1:4">
      <c r="A165" s="6"/>
      <c r="B165" s="1" t="s">
        <v>1431</v>
      </c>
      <c r="C165" s="1" t="s">
        <v>14</v>
      </c>
      <c r="D165" s="5" t="s">
        <v>1554</v>
      </c>
    </row>
    <row r="166" customHeight="1" spans="1:4">
      <c r="A166" s="6"/>
      <c r="B166" s="1" t="s">
        <v>555</v>
      </c>
      <c r="C166" s="1" t="s">
        <v>14</v>
      </c>
      <c r="D166" s="5" t="s">
        <v>1554</v>
      </c>
    </row>
    <row r="167" customHeight="1" spans="1:4">
      <c r="A167" s="6"/>
      <c r="B167" s="1" t="s">
        <v>740</v>
      </c>
      <c r="C167" s="1" t="s">
        <v>147</v>
      </c>
      <c r="D167" s="5" t="s">
        <v>357</v>
      </c>
    </row>
    <row r="168" customHeight="1" spans="1:4">
      <c r="A168" s="6"/>
      <c r="B168" s="1" t="s">
        <v>1247</v>
      </c>
      <c r="C168" s="1" t="s">
        <v>14</v>
      </c>
      <c r="D168" s="5" t="s">
        <v>1554</v>
      </c>
    </row>
    <row r="169" customHeight="1" spans="1:4">
      <c r="A169" s="6"/>
      <c r="B169" s="1" t="s">
        <v>923</v>
      </c>
      <c r="C169" s="1" t="s">
        <v>23</v>
      </c>
      <c r="D169" s="5" t="s">
        <v>924</v>
      </c>
    </row>
    <row r="170" customHeight="1" spans="1:4">
      <c r="A170" s="6"/>
      <c r="B170" s="1" t="s">
        <v>1064</v>
      </c>
      <c r="C170" s="1" t="s">
        <v>147</v>
      </c>
      <c r="D170" s="5" t="s">
        <v>1554</v>
      </c>
    </row>
    <row r="171" customHeight="1" spans="1:4">
      <c r="A171" s="6"/>
      <c r="B171" s="1" t="s">
        <v>1337</v>
      </c>
      <c r="C171" s="1" t="s">
        <v>147</v>
      </c>
      <c r="D171" s="5" t="s">
        <v>1554</v>
      </c>
    </row>
    <row r="172" customHeight="1" spans="1:4">
      <c r="A172" s="6"/>
      <c r="B172" s="1" t="s">
        <v>1237</v>
      </c>
      <c r="C172" s="1" t="s">
        <v>147</v>
      </c>
      <c r="D172" s="5" t="s">
        <v>1554</v>
      </c>
    </row>
    <row r="173" customHeight="1" spans="1:4">
      <c r="A173" s="6"/>
      <c r="B173" s="1" t="s">
        <v>1171</v>
      </c>
      <c r="C173" s="1" t="s">
        <v>147</v>
      </c>
      <c r="D173" s="5" t="s">
        <v>1554</v>
      </c>
    </row>
    <row r="174" customHeight="1" spans="1:4">
      <c r="A174" s="6"/>
      <c r="B174" s="1" t="s">
        <v>1529</v>
      </c>
      <c r="C174" s="1" t="s">
        <v>147</v>
      </c>
      <c r="D174" s="5" t="s">
        <v>1554</v>
      </c>
    </row>
    <row r="175" customHeight="1" spans="1:4">
      <c r="A175" s="6"/>
      <c r="B175" s="1" t="s">
        <v>1409</v>
      </c>
      <c r="C175" s="1" t="s">
        <v>147</v>
      </c>
      <c r="D175" s="5" t="s">
        <v>1554</v>
      </c>
    </row>
    <row r="176" customHeight="1" spans="1:4">
      <c r="A176" s="6"/>
      <c r="B176" s="1" t="s">
        <v>1138</v>
      </c>
      <c r="C176" s="1" t="s">
        <v>147</v>
      </c>
      <c r="D176" s="5" t="s">
        <v>1554</v>
      </c>
    </row>
    <row r="177" customHeight="1" spans="1:4">
      <c r="A177" s="1" t="s">
        <v>957</v>
      </c>
      <c r="B177" s="1" t="s">
        <v>1303</v>
      </c>
      <c r="C177" s="1" t="s">
        <v>147</v>
      </c>
      <c r="D177" s="5" t="s">
        <v>1554</v>
      </c>
    </row>
    <row r="178" customHeight="1" spans="1:4">
      <c r="A178" s="6"/>
      <c r="B178" s="1" t="s">
        <v>956</v>
      </c>
      <c r="C178" s="1" t="s">
        <v>147</v>
      </c>
      <c r="D178" s="5" t="s">
        <v>1554</v>
      </c>
    </row>
    <row r="179" customHeight="1" spans="1:4">
      <c r="A179" s="6"/>
      <c r="B179" s="1" t="s">
        <v>1053</v>
      </c>
      <c r="C179" s="1" t="s">
        <v>147</v>
      </c>
      <c r="D179" s="5" t="s">
        <v>1554</v>
      </c>
    </row>
    <row r="180" customHeight="1" spans="1:4">
      <c r="A180" s="6"/>
      <c r="B180" s="1" t="s">
        <v>1354</v>
      </c>
      <c r="C180" s="1" t="s">
        <v>147</v>
      </c>
      <c r="D180" s="5" t="s">
        <v>1554</v>
      </c>
    </row>
    <row r="181" customHeight="1" spans="1:4">
      <c r="A181" s="6"/>
      <c r="B181" s="1" t="s">
        <v>1371</v>
      </c>
      <c r="C181" s="1" t="s">
        <v>147</v>
      </c>
      <c r="D181" s="5" t="s">
        <v>1554</v>
      </c>
    </row>
    <row r="182" customHeight="1" spans="1:4">
      <c r="A182" s="6"/>
      <c r="B182" s="1" t="s">
        <v>1381</v>
      </c>
      <c r="C182" s="1" t="s">
        <v>147</v>
      </c>
      <c r="D182" s="5" t="s">
        <v>1554</v>
      </c>
    </row>
    <row r="183" customHeight="1" spans="1:4">
      <c r="A183" s="1" t="s">
        <v>1353</v>
      </c>
      <c r="B183" s="1" t="s">
        <v>1352</v>
      </c>
      <c r="C183" s="1" t="s">
        <v>147</v>
      </c>
      <c r="D183" s="5" t="s">
        <v>1554</v>
      </c>
    </row>
    <row r="184" customHeight="1" spans="1:4">
      <c r="A184" s="1" t="s">
        <v>319</v>
      </c>
      <c r="B184" s="1" t="s">
        <v>975</v>
      </c>
      <c r="C184" s="1" t="s">
        <v>147</v>
      </c>
      <c r="D184" s="5" t="s">
        <v>1554</v>
      </c>
    </row>
    <row r="185" customHeight="1" spans="1:4">
      <c r="A185" s="6"/>
      <c r="B185" s="1" t="s">
        <v>318</v>
      </c>
      <c r="C185" s="1" t="s">
        <v>147</v>
      </c>
      <c r="D185" s="5" t="s">
        <v>1554</v>
      </c>
    </row>
    <row r="186" customHeight="1" spans="1:4">
      <c r="A186" s="6"/>
      <c r="B186" s="1" t="s">
        <v>393</v>
      </c>
      <c r="C186" s="1" t="s">
        <v>147</v>
      </c>
      <c r="D186" s="5" t="s">
        <v>1554</v>
      </c>
    </row>
    <row r="187" customHeight="1" spans="1:4">
      <c r="A187" s="6"/>
      <c r="B187" s="1" t="s">
        <v>1311</v>
      </c>
      <c r="C187" s="1" t="s">
        <v>147</v>
      </c>
      <c r="D187" s="5" t="s">
        <v>1554</v>
      </c>
    </row>
    <row r="188" customHeight="1" spans="1:4">
      <c r="A188" s="6"/>
      <c r="B188" s="1" t="s">
        <v>692</v>
      </c>
      <c r="C188" s="1" t="s">
        <v>147</v>
      </c>
      <c r="D188" s="5" t="s">
        <v>1554</v>
      </c>
    </row>
    <row r="189" customHeight="1" spans="1:4">
      <c r="A189" s="6"/>
      <c r="B189" s="1" t="s">
        <v>1204</v>
      </c>
      <c r="C189" s="1" t="s">
        <v>147</v>
      </c>
      <c r="D189" s="5" t="s">
        <v>1554</v>
      </c>
    </row>
    <row r="190" customHeight="1" spans="1:4">
      <c r="A190" s="6"/>
      <c r="B190" s="1" t="s">
        <v>1078</v>
      </c>
      <c r="C190" s="1" t="s">
        <v>147</v>
      </c>
      <c r="D190" s="5" t="s">
        <v>1554</v>
      </c>
    </row>
    <row r="191" customHeight="1" spans="1:4">
      <c r="A191" s="6"/>
      <c r="B191" s="1" t="s">
        <v>1379</v>
      </c>
      <c r="C191" s="1" t="s">
        <v>147</v>
      </c>
      <c r="D191" s="5" t="s">
        <v>1554</v>
      </c>
    </row>
    <row r="192" customHeight="1" spans="1:4">
      <c r="A192" s="6"/>
      <c r="B192" s="1" t="s">
        <v>1206</v>
      </c>
      <c r="C192" s="1" t="s">
        <v>147</v>
      </c>
      <c r="D192" s="5" t="s">
        <v>1204</v>
      </c>
    </row>
    <row r="193" customHeight="1" spans="1:4">
      <c r="A193" s="6"/>
      <c r="B193" s="1" t="s">
        <v>827</v>
      </c>
      <c r="C193" s="1" t="s">
        <v>147</v>
      </c>
      <c r="D193" s="5" t="s">
        <v>1554</v>
      </c>
    </row>
    <row r="194" customHeight="1" spans="1:4">
      <c r="A194" s="6"/>
      <c r="B194" s="1" t="s">
        <v>898</v>
      </c>
      <c r="C194" s="1" t="s">
        <v>147</v>
      </c>
      <c r="D194" s="5" t="s">
        <v>1554</v>
      </c>
    </row>
    <row r="195" customHeight="1" spans="1:4">
      <c r="A195" s="6"/>
      <c r="B195" s="1" t="s">
        <v>1238</v>
      </c>
      <c r="C195" s="1" t="s">
        <v>14</v>
      </c>
      <c r="D195" s="5" t="s">
        <v>1554</v>
      </c>
    </row>
    <row r="196" customHeight="1" spans="1:4">
      <c r="A196" s="6"/>
      <c r="B196" s="1" t="s">
        <v>615</v>
      </c>
      <c r="C196" s="1" t="s">
        <v>147</v>
      </c>
      <c r="D196" s="5" t="s">
        <v>1554</v>
      </c>
    </row>
    <row r="197" customHeight="1" spans="1:4">
      <c r="A197" s="6"/>
      <c r="B197" s="1" t="s">
        <v>1333</v>
      </c>
      <c r="C197" s="1" t="s">
        <v>147</v>
      </c>
      <c r="D197" s="5" t="s">
        <v>1554</v>
      </c>
    </row>
    <row r="198" customHeight="1" spans="1:4">
      <c r="A198" s="6"/>
      <c r="B198" s="1" t="s">
        <v>1524</v>
      </c>
      <c r="C198" s="1" t="s">
        <v>147</v>
      </c>
      <c r="D198" s="5" t="s">
        <v>1525</v>
      </c>
    </row>
    <row r="199" customHeight="1" spans="1:4">
      <c r="A199" s="6"/>
      <c r="B199" s="1" t="s">
        <v>1317</v>
      </c>
      <c r="C199" s="1" t="s">
        <v>147</v>
      </c>
      <c r="D199" s="5" t="s">
        <v>1554</v>
      </c>
    </row>
    <row r="200" customHeight="1" spans="1:4">
      <c r="A200" s="6"/>
      <c r="B200" s="1" t="s">
        <v>1188</v>
      </c>
      <c r="C200" s="1" t="s">
        <v>147</v>
      </c>
      <c r="D200" s="5" t="s">
        <v>1554</v>
      </c>
    </row>
    <row r="201" customHeight="1" spans="1:4">
      <c r="A201" s="6"/>
      <c r="B201" s="1" t="s">
        <v>1112</v>
      </c>
      <c r="C201" s="1" t="s">
        <v>147</v>
      </c>
      <c r="D201" s="5" t="s">
        <v>1554</v>
      </c>
    </row>
    <row r="202" customHeight="1" spans="1:4">
      <c r="A202" s="6"/>
      <c r="B202" s="1" t="s">
        <v>460</v>
      </c>
      <c r="C202" s="1" t="s">
        <v>147</v>
      </c>
      <c r="D202" s="5" t="s">
        <v>1554</v>
      </c>
    </row>
    <row r="203" customHeight="1" spans="1:4">
      <c r="A203" s="6"/>
      <c r="B203" s="1" t="s">
        <v>691</v>
      </c>
      <c r="C203" s="1" t="s">
        <v>147</v>
      </c>
      <c r="D203" s="5" t="s">
        <v>1554</v>
      </c>
    </row>
    <row r="204" customHeight="1" spans="1:4">
      <c r="A204" s="1" t="s">
        <v>210</v>
      </c>
      <c r="B204" s="1" t="s">
        <v>637</v>
      </c>
      <c r="C204" s="1" t="s">
        <v>147</v>
      </c>
      <c r="D204" s="5" t="s">
        <v>1554</v>
      </c>
    </row>
    <row r="205" customHeight="1" spans="1:4">
      <c r="A205" s="6"/>
      <c r="B205" s="1" t="s">
        <v>908</v>
      </c>
      <c r="C205" s="1" t="s">
        <v>147</v>
      </c>
      <c r="D205" s="5" t="s">
        <v>1554</v>
      </c>
    </row>
    <row r="206" customHeight="1" spans="1:4">
      <c r="A206" s="6"/>
      <c r="B206" s="1" t="s">
        <v>676</v>
      </c>
      <c r="C206" s="1" t="s">
        <v>147</v>
      </c>
      <c r="D206" s="5" t="s">
        <v>1554</v>
      </c>
    </row>
    <row r="207" customHeight="1" spans="1:4">
      <c r="A207" s="6"/>
      <c r="B207" s="1" t="s">
        <v>458</v>
      </c>
      <c r="C207" s="1" t="s">
        <v>147</v>
      </c>
      <c r="D207" s="5" t="s">
        <v>1554</v>
      </c>
    </row>
    <row r="208" customHeight="1" spans="1:4">
      <c r="A208" s="6"/>
      <c r="B208" s="1" t="s">
        <v>209</v>
      </c>
      <c r="C208" s="1" t="s">
        <v>23</v>
      </c>
      <c r="D208" s="5" t="s">
        <v>1554</v>
      </c>
    </row>
    <row r="209" customHeight="1" spans="1:4">
      <c r="A209" s="1" t="s">
        <v>45</v>
      </c>
      <c r="B209" s="1" t="s">
        <v>408</v>
      </c>
      <c r="C209" s="1" t="s">
        <v>147</v>
      </c>
      <c r="D209" s="5" t="s">
        <v>1554</v>
      </c>
    </row>
    <row r="210" customHeight="1" spans="1:4">
      <c r="A210" s="6"/>
      <c r="B210" s="1" t="s">
        <v>423</v>
      </c>
      <c r="C210" s="1" t="s">
        <v>147</v>
      </c>
      <c r="D210" s="5" t="s">
        <v>1554</v>
      </c>
    </row>
    <row r="211" customHeight="1" spans="1:4">
      <c r="A211" s="6"/>
      <c r="B211" s="1" t="s">
        <v>743</v>
      </c>
      <c r="C211" s="1" t="s">
        <v>147</v>
      </c>
      <c r="D211" s="5" t="s">
        <v>1554</v>
      </c>
    </row>
    <row r="212" customHeight="1" spans="1:4">
      <c r="A212" s="6"/>
      <c r="B212" s="1" t="s">
        <v>44</v>
      </c>
      <c r="C212" s="1" t="s">
        <v>23</v>
      </c>
      <c r="D212" s="5" t="s">
        <v>1554</v>
      </c>
    </row>
    <row r="213" customHeight="1" spans="1:4">
      <c r="A213" s="6"/>
      <c r="B213" s="1" t="s">
        <v>89</v>
      </c>
      <c r="C213" s="1" t="s">
        <v>23</v>
      </c>
      <c r="D213" s="5" t="s">
        <v>1554</v>
      </c>
    </row>
    <row r="214" customHeight="1" spans="1:4">
      <c r="A214" s="6"/>
      <c r="B214" s="1" t="s">
        <v>1364</v>
      </c>
      <c r="C214" s="1" t="s">
        <v>147</v>
      </c>
      <c r="D214" s="5" t="s">
        <v>1554</v>
      </c>
    </row>
    <row r="215" customHeight="1" spans="1:4">
      <c r="A215" s="6"/>
      <c r="B215" s="1" t="s">
        <v>291</v>
      </c>
      <c r="C215" s="1" t="s">
        <v>147</v>
      </c>
      <c r="D215" s="5" t="s">
        <v>1554</v>
      </c>
    </row>
    <row r="216" customHeight="1" spans="1:4">
      <c r="A216" s="1" t="s">
        <v>109</v>
      </c>
      <c r="B216" s="1" t="s">
        <v>677</v>
      </c>
      <c r="C216" s="1" t="s">
        <v>14</v>
      </c>
      <c r="D216" s="5" t="s">
        <v>1554</v>
      </c>
    </row>
    <row r="217" customHeight="1" spans="1:4">
      <c r="A217" s="6"/>
      <c r="B217" s="1" t="s">
        <v>426</v>
      </c>
      <c r="C217" s="1" t="s">
        <v>147</v>
      </c>
      <c r="D217" s="5" t="s">
        <v>1554</v>
      </c>
    </row>
    <row r="218" customHeight="1" spans="1:4">
      <c r="A218" s="6"/>
      <c r="B218" s="1" t="s">
        <v>441</v>
      </c>
      <c r="C218" s="1" t="s">
        <v>147</v>
      </c>
      <c r="D218" s="5" t="s">
        <v>1554</v>
      </c>
    </row>
    <row r="219" customHeight="1" spans="1:4">
      <c r="A219" s="6"/>
      <c r="B219" s="1" t="s">
        <v>958</v>
      </c>
      <c r="C219" s="1" t="s">
        <v>14</v>
      </c>
      <c r="D219" s="5" t="s">
        <v>1554</v>
      </c>
    </row>
    <row r="220" customHeight="1" spans="1:4">
      <c r="A220" s="6"/>
      <c r="B220" s="1" t="s">
        <v>171</v>
      </c>
      <c r="C220" s="1" t="s">
        <v>23</v>
      </c>
      <c r="D220" s="5" t="s">
        <v>1554</v>
      </c>
    </row>
    <row r="221" customHeight="1" spans="1:4">
      <c r="A221" s="6"/>
      <c r="B221" s="1" t="s">
        <v>887</v>
      </c>
      <c r="C221" s="1" t="s">
        <v>147</v>
      </c>
      <c r="D221" s="5" t="s">
        <v>1554</v>
      </c>
    </row>
    <row r="222" customHeight="1" spans="1:4">
      <c r="A222" s="6"/>
      <c r="B222" s="1" t="s">
        <v>108</v>
      </c>
      <c r="C222" s="1" t="s">
        <v>23</v>
      </c>
      <c r="D222" s="5" t="s">
        <v>1554</v>
      </c>
    </row>
    <row r="223" customHeight="1" spans="1:4">
      <c r="A223" s="6"/>
      <c r="B223" s="1" t="s">
        <v>110</v>
      </c>
      <c r="C223" s="1" t="s">
        <v>23</v>
      </c>
      <c r="D223" s="5" t="s">
        <v>1554</v>
      </c>
    </row>
    <row r="224" customHeight="1" spans="1:4">
      <c r="A224" s="6"/>
      <c r="B224" s="1" t="s">
        <v>934</v>
      </c>
      <c r="C224" s="1" t="s">
        <v>147</v>
      </c>
      <c r="D224" s="5" t="s">
        <v>1554</v>
      </c>
    </row>
    <row r="225" customHeight="1" spans="1:4">
      <c r="A225" s="6"/>
      <c r="B225" s="1" t="s">
        <v>719</v>
      </c>
      <c r="C225" s="1" t="s">
        <v>147</v>
      </c>
      <c r="D225" s="5" t="s">
        <v>1554</v>
      </c>
    </row>
    <row r="226" customHeight="1" spans="1:4">
      <c r="A226" s="6"/>
      <c r="B226" s="1" t="s">
        <v>968</v>
      </c>
      <c r="C226" s="1" t="s">
        <v>147</v>
      </c>
      <c r="D226" s="5" t="s">
        <v>1554</v>
      </c>
    </row>
    <row r="227" customHeight="1" spans="1:4">
      <c r="A227" s="6"/>
      <c r="B227" s="1" t="s">
        <v>942</v>
      </c>
      <c r="C227" s="1" t="s">
        <v>147</v>
      </c>
      <c r="D227" s="5" t="s">
        <v>1554</v>
      </c>
    </row>
    <row r="228" customHeight="1" spans="1:4">
      <c r="A228" s="6"/>
      <c r="B228" s="1" t="s">
        <v>734</v>
      </c>
      <c r="C228" s="1" t="s">
        <v>147</v>
      </c>
      <c r="D228" s="5" t="s">
        <v>1554</v>
      </c>
    </row>
    <row r="229" customHeight="1" spans="1:4">
      <c r="A229" s="6"/>
      <c r="B229" s="1" t="s">
        <v>562</v>
      </c>
      <c r="C229" s="1" t="s">
        <v>147</v>
      </c>
      <c r="D229" s="5" t="s">
        <v>1554</v>
      </c>
    </row>
    <row r="230" customHeight="1" spans="1:4">
      <c r="A230" s="6"/>
      <c r="B230" s="1" t="s">
        <v>1249</v>
      </c>
      <c r="C230" s="1" t="s">
        <v>147</v>
      </c>
      <c r="D230" s="5" t="s">
        <v>1554</v>
      </c>
    </row>
    <row r="231" customHeight="1" spans="1:4">
      <c r="A231" s="6"/>
      <c r="B231" s="1" t="s">
        <v>1083</v>
      </c>
      <c r="C231" s="1" t="s">
        <v>147</v>
      </c>
      <c r="D231" s="5" t="s">
        <v>1554</v>
      </c>
    </row>
    <row r="232" customHeight="1" spans="1:4">
      <c r="A232" s="6"/>
      <c r="B232" s="1" t="s">
        <v>951</v>
      </c>
      <c r="C232" s="1" t="s">
        <v>147</v>
      </c>
      <c r="D232" s="5" t="s">
        <v>1554</v>
      </c>
    </row>
    <row r="233" customHeight="1" spans="1:4">
      <c r="A233" s="6"/>
      <c r="B233" s="1" t="s">
        <v>613</v>
      </c>
      <c r="C233" s="1" t="s">
        <v>147</v>
      </c>
      <c r="D233" s="5" t="s">
        <v>1554</v>
      </c>
    </row>
    <row r="234" customHeight="1" spans="1:4">
      <c r="A234" s="6"/>
      <c r="B234" s="1" t="s">
        <v>273</v>
      </c>
      <c r="C234" s="1" t="s">
        <v>147</v>
      </c>
      <c r="D234" s="5" t="s">
        <v>1554</v>
      </c>
    </row>
    <row r="235" customHeight="1" spans="1:4">
      <c r="A235" s="6"/>
      <c r="B235" s="1" t="s">
        <v>433</v>
      </c>
      <c r="C235" s="1" t="s">
        <v>147</v>
      </c>
      <c r="D235" s="5" t="s">
        <v>1554</v>
      </c>
    </row>
    <row r="236" customHeight="1" spans="1:4">
      <c r="A236" s="6"/>
      <c r="B236" s="1" t="s">
        <v>550</v>
      </c>
      <c r="C236" s="1" t="s">
        <v>147</v>
      </c>
      <c r="D236" s="5" t="s">
        <v>1554</v>
      </c>
    </row>
    <row r="237" customHeight="1" spans="1:4">
      <c r="A237" s="6"/>
      <c r="B237" s="1" t="s">
        <v>405</v>
      </c>
      <c r="C237" s="1" t="s">
        <v>147</v>
      </c>
      <c r="D237" s="5" t="s">
        <v>1554</v>
      </c>
    </row>
    <row r="238" customHeight="1" spans="1:4">
      <c r="A238" s="6"/>
      <c r="B238" s="1" t="s">
        <v>667</v>
      </c>
      <c r="C238" s="1" t="s">
        <v>147</v>
      </c>
      <c r="D238" s="5" t="s">
        <v>1554</v>
      </c>
    </row>
    <row r="239" customHeight="1" spans="1:4">
      <c r="A239" s="6"/>
      <c r="B239" s="1" t="s">
        <v>163</v>
      </c>
      <c r="C239" s="1" t="s">
        <v>23</v>
      </c>
      <c r="D239" s="5" t="s">
        <v>1554</v>
      </c>
    </row>
    <row r="240" customHeight="1" spans="1:4">
      <c r="A240" s="6"/>
      <c r="B240" s="1" t="s">
        <v>366</v>
      </c>
      <c r="C240" s="1" t="s">
        <v>147</v>
      </c>
      <c r="D240" s="5" t="s">
        <v>1554</v>
      </c>
    </row>
    <row r="241" customHeight="1" spans="1:4">
      <c r="A241" s="6"/>
      <c r="B241" s="1" t="s">
        <v>902</v>
      </c>
      <c r="C241" s="1" t="s">
        <v>147</v>
      </c>
      <c r="D241" s="5" t="s">
        <v>1554</v>
      </c>
    </row>
    <row r="242" customHeight="1" spans="1:4">
      <c r="A242" s="6"/>
      <c r="B242" s="1" t="s">
        <v>697</v>
      </c>
      <c r="C242" s="1" t="s">
        <v>147</v>
      </c>
      <c r="D242" s="5" t="s">
        <v>1554</v>
      </c>
    </row>
    <row r="243" customHeight="1" spans="1:4">
      <c r="A243" s="6"/>
      <c r="B243" s="1" t="s">
        <v>1192</v>
      </c>
      <c r="C243" s="1" t="s">
        <v>147</v>
      </c>
      <c r="D243" s="5" t="s">
        <v>1554</v>
      </c>
    </row>
    <row r="244" customHeight="1" spans="1:4">
      <c r="A244" s="6"/>
      <c r="B244" s="1" t="s">
        <v>766</v>
      </c>
      <c r="C244" s="1" t="s">
        <v>147</v>
      </c>
      <c r="D244" s="5" t="s">
        <v>1554</v>
      </c>
    </row>
    <row r="245" customHeight="1" spans="1:4">
      <c r="A245" s="6"/>
      <c r="B245" s="1" t="s">
        <v>969</v>
      </c>
      <c r="C245" s="1" t="s">
        <v>147</v>
      </c>
      <c r="D245" s="5" t="s">
        <v>1554</v>
      </c>
    </row>
    <row r="246" customHeight="1" spans="1:4">
      <c r="A246" s="6"/>
      <c r="B246" s="1" t="s">
        <v>323</v>
      </c>
      <c r="C246" s="1" t="s">
        <v>147</v>
      </c>
      <c r="D246" s="5" t="s">
        <v>1554</v>
      </c>
    </row>
    <row r="247" customHeight="1" spans="1:4">
      <c r="A247" s="6"/>
      <c r="B247" s="1" t="s">
        <v>1406</v>
      </c>
      <c r="C247" s="1" t="s">
        <v>147</v>
      </c>
      <c r="D247" s="5" t="s">
        <v>1554</v>
      </c>
    </row>
    <row r="248" customHeight="1" spans="1:4">
      <c r="A248" s="6"/>
      <c r="B248" s="1" t="s">
        <v>1037</v>
      </c>
      <c r="C248" s="1" t="s">
        <v>147</v>
      </c>
      <c r="D248" s="5" t="s">
        <v>1554</v>
      </c>
    </row>
    <row r="249" customHeight="1" spans="1:4">
      <c r="A249" s="6"/>
      <c r="B249" s="1" t="s">
        <v>798</v>
      </c>
      <c r="C249" s="1" t="s">
        <v>147</v>
      </c>
      <c r="D249" s="5" t="s">
        <v>1554</v>
      </c>
    </row>
    <row r="250" customHeight="1" spans="1:4">
      <c r="A250" s="6"/>
      <c r="B250" s="1" t="s">
        <v>325</v>
      </c>
      <c r="C250" s="1" t="s">
        <v>147</v>
      </c>
      <c r="D250" s="5" t="s">
        <v>1554</v>
      </c>
    </row>
    <row r="251" customHeight="1" spans="1:4">
      <c r="A251" s="6"/>
      <c r="B251" s="1" t="s">
        <v>195</v>
      </c>
      <c r="C251" s="1" t="s">
        <v>23</v>
      </c>
      <c r="D251" s="5" t="s">
        <v>1554</v>
      </c>
    </row>
    <row r="252" customHeight="1" spans="1:4">
      <c r="A252" s="6"/>
      <c r="B252" s="1" t="s">
        <v>915</v>
      </c>
      <c r="C252" s="1" t="s">
        <v>147</v>
      </c>
      <c r="D252" s="5" t="s">
        <v>1554</v>
      </c>
    </row>
    <row r="253" customHeight="1" spans="1:4">
      <c r="A253" s="6"/>
      <c r="B253" s="1" t="s">
        <v>1243</v>
      </c>
      <c r="C253" s="1" t="s">
        <v>147</v>
      </c>
      <c r="D253" s="5" t="s">
        <v>1554</v>
      </c>
    </row>
    <row r="254" customHeight="1" spans="1:4">
      <c r="A254" s="6"/>
      <c r="B254" s="1" t="s">
        <v>792</v>
      </c>
      <c r="C254" s="1" t="s">
        <v>147</v>
      </c>
      <c r="D254" s="5" t="s">
        <v>1554</v>
      </c>
    </row>
    <row r="255" customHeight="1" spans="1:4">
      <c r="A255" s="6"/>
      <c r="B255" s="1" t="s">
        <v>1002</v>
      </c>
      <c r="C255" s="1" t="s">
        <v>147</v>
      </c>
      <c r="D255" s="5" t="s">
        <v>1554</v>
      </c>
    </row>
    <row r="256" customHeight="1" spans="1:4">
      <c r="A256" s="6"/>
      <c r="B256" s="1" t="s">
        <v>601</v>
      </c>
      <c r="C256" s="1" t="s">
        <v>147</v>
      </c>
      <c r="D256" s="5" t="s">
        <v>1554</v>
      </c>
    </row>
    <row r="257" customHeight="1" spans="1:4">
      <c r="A257" s="6"/>
      <c r="B257" s="1" t="s">
        <v>1194</v>
      </c>
      <c r="C257" s="1" t="s">
        <v>147</v>
      </c>
      <c r="D257" s="5" t="s">
        <v>1554</v>
      </c>
    </row>
    <row r="258" customHeight="1" spans="1:4">
      <c r="A258" s="1" t="s">
        <v>536</v>
      </c>
      <c r="B258" s="1" t="s">
        <v>1050</v>
      </c>
      <c r="C258" s="1" t="s">
        <v>23</v>
      </c>
      <c r="D258" s="5" t="s">
        <v>1554</v>
      </c>
    </row>
    <row r="259" customHeight="1" spans="1:4">
      <c r="A259" s="6"/>
      <c r="B259" s="1" t="s">
        <v>1165</v>
      </c>
      <c r="C259" s="1" t="s">
        <v>147</v>
      </c>
      <c r="D259" s="5" t="s">
        <v>1554</v>
      </c>
    </row>
    <row r="260" customHeight="1" spans="1:4">
      <c r="A260" s="6"/>
      <c r="B260" s="1" t="s">
        <v>535</v>
      </c>
      <c r="C260" s="1" t="s">
        <v>147</v>
      </c>
      <c r="D260" s="5" t="s">
        <v>1554</v>
      </c>
    </row>
    <row r="261" customHeight="1" spans="1:4">
      <c r="A261" s="1" t="s">
        <v>41</v>
      </c>
      <c r="B261" s="1" t="s">
        <v>828</v>
      </c>
      <c r="C261" s="1" t="s">
        <v>147</v>
      </c>
      <c r="D261" s="5" t="s">
        <v>1554</v>
      </c>
    </row>
    <row r="262" customHeight="1" spans="1:4">
      <c r="A262" s="6"/>
      <c r="B262" s="1" t="s">
        <v>1314</v>
      </c>
      <c r="C262" s="1" t="s">
        <v>147</v>
      </c>
      <c r="D262" s="5" t="s">
        <v>1554</v>
      </c>
    </row>
    <row r="263" customHeight="1" spans="1:4">
      <c r="A263" s="6"/>
      <c r="B263" s="1" t="s">
        <v>674</v>
      </c>
      <c r="C263" s="1" t="s">
        <v>147</v>
      </c>
      <c r="D263" s="5" t="s">
        <v>1554</v>
      </c>
    </row>
    <row r="264" customHeight="1" spans="1:4">
      <c r="A264" s="6"/>
      <c r="B264" s="1" t="s">
        <v>503</v>
      </c>
      <c r="C264" s="1" t="s">
        <v>147</v>
      </c>
      <c r="D264" s="5" t="s">
        <v>1554</v>
      </c>
    </row>
    <row r="265" customHeight="1" spans="1:4">
      <c r="A265" s="6"/>
      <c r="B265" s="1" t="s">
        <v>554</v>
      </c>
      <c r="C265" s="1" t="s">
        <v>147</v>
      </c>
      <c r="D265" s="5" t="s">
        <v>1554</v>
      </c>
    </row>
    <row r="266" customHeight="1" spans="1:4">
      <c r="A266" s="6"/>
      <c r="B266" s="1" t="s">
        <v>1257</v>
      </c>
      <c r="C266" s="1" t="s">
        <v>147</v>
      </c>
      <c r="D266" s="5" t="s">
        <v>1554</v>
      </c>
    </row>
    <row r="267" customHeight="1" spans="1:4">
      <c r="A267" s="6"/>
      <c r="B267" s="1" t="s">
        <v>475</v>
      </c>
      <c r="C267" s="1" t="s">
        <v>147</v>
      </c>
      <c r="D267" s="5" t="s">
        <v>1554</v>
      </c>
    </row>
    <row r="268" customHeight="1" spans="1:4">
      <c r="A268" s="6"/>
      <c r="B268" s="1" t="s">
        <v>1162</v>
      </c>
      <c r="C268" s="1" t="s">
        <v>147</v>
      </c>
      <c r="D268" s="5" t="s">
        <v>1554</v>
      </c>
    </row>
    <row r="269" customHeight="1" spans="1:4">
      <c r="A269" s="6"/>
      <c r="B269" s="1" t="s">
        <v>1155</v>
      </c>
      <c r="C269" s="1" t="s">
        <v>147</v>
      </c>
      <c r="D269" s="5" t="s">
        <v>1554</v>
      </c>
    </row>
    <row r="270" customHeight="1" spans="1:4">
      <c r="A270" s="6"/>
      <c r="B270" s="1" t="s">
        <v>1113</v>
      </c>
      <c r="C270" s="1" t="s">
        <v>147</v>
      </c>
      <c r="D270" s="5" t="s">
        <v>1554</v>
      </c>
    </row>
    <row r="271" customHeight="1" spans="1:4">
      <c r="A271" s="6"/>
      <c r="B271" s="1" t="s">
        <v>1460</v>
      </c>
      <c r="C271" s="1" t="s">
        <v>147</v>
      </c>
      <c r="D271" s="5" t="s">
        <v>1554</v>
      </c>
    </row>
    <row r="272" customHeight="1" spans="1:4">
      <c r="A272" s="6"/>
      <c r="B272" s="1" t="s">
        <v>1277</v>
      </c>
      <c r="C272" s="1" t="s">
        <v>147</v>
      </c>
      <c r="D272" s="5" t="s">
        <v>1554</v>
      </c>
    </row>
    <row r="273" customHeight="1" spans="1:4">
      <c r="A273" s="6"/>
      <c r="B273" s="1" t="s">
        <v>1056</v>
      </c>
      <c r="C273" s="1" t="s">
        <v>147</v>
      </c>
      <c r="D273" s="5" t="s">
        <v>1554</v>
      </c>
    </row>
    <row r="274" customHeight="1" spans="1:4">
      <c r="A274" s="6"/>
      <c r="B274" s="1" t="s">
        <v>294</v>
      </c>
      <c r="C274" s="1" t="s">
        <v>147</v>
      </c>
      <c r="D274" s="5" t="s">
        <v>1554</v>
      </c>
    </row>
    <row r="275" customHeight="1" spans="1:4">
      <c r="A275" s="6"/>
      <c r="B275" s="1" t="s">
        <v>718</v>
      </c>
      <c r="C275" s="1" t="s">
        <v>147</v>
      </c>
      <c r="D275" s="5" t="s">
        <v>1554</v>
      </c>
    </row>
    <row r="276" customHeight="1" spans="1:4">
      <c r="A276" s="6"/>
      <c r="B276" s="1" t="s">
        <v>530</v>
      </c>
      <c r="C276" s="1" t="s">
        <v>147</v>
      </c>
      <c r="D276" s="5" t="s">
        <v>1554</v>
      </c>
    </row>
    <row r="277" customHeight="1" spans="1:4">
      <c r="A277" s="6"/>
      <c r="B277" s="1" t="s">
        <v>799</v>
      </c>
      <c r="C277" s="1" t="s">
        <v>147</v>
      </c>
      <c r="D277" s="5" t="s">
        <v>1554</v>
      </c>
    </row>
    <row r="278" customHeight="1" spans="1:4">
      <c r="A278" s="6"/>
      <c r="B278" s="1" t="s">
        <v>1418</v>
      </c>
      <c r="C278" s="1" t="s">
        <v>14</v>
      </c>
      <c r="D278" s="5" t="s">
        <v>1554</v>
      </c>
    </row>
    <row r="279" customHeight="1" spans="1:4">
      <c r="A279" s="6"/>
      <c r="B279" s="1" t="s">
        <v>40</v>
      </c>
      <c r="C279" s="1" t="s">
        <v>23</v>
      </c>
      <c r="D279" s="5" t="s">
        <v>1554</v>
      </c>
    </row>
    <row r="280" customHeight="1" spans="1:4">
      <c r="A280" s="6"/>
      <c r="B280" s="1" t="s">
        <v>1533</v>
      </c>
      <c r="C280" s="1" t="s">
        <v>147</v>
      </c>
      <c r="D280" s="5" t="s">
        <v>1554</v>
      </c>
    </row>
    <row r="281" customHeight="1" spans="1:4">
      <c r="A281" s="6"/>
      <c r="B281" s="1" t="s">
        <v>1426</v>
      </c>
      <c r="C281" s="1" t="s">
        <v>147</v>
      </c>
      <c r="D281" s="5" t="s">
        <v>1554</v>
      </c>
    </row>
    <row r="282" customHeight="1" spans="1:4">
      <c r="A282" s="6"/>
      <c r="B282" s="1" t="s">
        <v>1129</v>
      </c>
      <c r="C282" s="1" t="s">
        <v>147</v>
      </c>
      <c r="D282" s="5" t="s">
        <v>1554</v>
      </c>
    </row>
    <row r="283" customHeight="1" spans="1:4">
      <c r="A283" s="6"/>
      <c r="B283" s="1" t="s">
        <v>1279</v>
      </c>
      <c r="C283" s="1" t="s">
        <v>23</v>
      </c>
      <c r="D283" s="5" t="s">
        <v>1129</v>
      </c>
    </row>
    <row r="284" customHeight="1" spans="1:4">
      <c r="A284" s="6"/>
      <c r="B284" s="1" t="s">
        <v>935</v>
      </c>
      <c r="C284" s="1" t="s">
        <v>147</v>
      </c>
      <c r="D284" s="5" t="s">
        <v>1554</v>
      </c>
    </row>
    <row r="285" customHeight="1" spans="1:4">
      <c r="A285" s="6"/>
      <c r="B285" s="1" t="s">
        <v>1034</v>
      </c>
      <c r="C285" s="1" t="s">
        <v>147</v>
      </c>
      <c r="D285" s="5" t="s">
        <v>1554</v>
      </c>
    </row>
    <row r="286" customHeight="1" spans="1:4">
      <c r="A286" s="6"/>
      <c r="B286" s="1" t="s">
        <v>1343</v>
      </c>
      <c r="C286" s="1" t="s">
        <v>147</v>
      </c>
      <c r="D286" s="5" t="s">
        <v>1554</v>
      </c>
    </row>
    <row r="287" customHeight="1" spans="1:4">
      <c r="A287" s="6"/>
      <c r="B287" s="1" t="s">
        <v>1541</v>
      </c>
      <c r="C287" s="1" t="s">
        <v>147</v>
      </c>
      <c r="D287" s="5" t="s">
        <v>1554</v>
      </c>
    </row>
    <row r="288" customHeight="1" spans="1:4">
      <c r="A288" s="6"/>
      <c r="B288" s="1" t="s">
        <v>1221</v>
      </c>
      <c r="C288" s="1" t="s">
        <v>147</v>
      </c>
      <c r="D288" s="5" t="s">
        <v>1554</v>
      </c>
    </row>
    <row r="289" customHeight="1" spans="1:4">
      <c r="A289" s="1" t="s">
        <v>1014</v>
      </c>
      <c r="B289" s="1" t="s">
        <v>1075</v>
      </c>
      <c r="C289" s="1" t="s">
        <v>147</v>
      </c>
      <c r="D289" s="5" t="s">
        <v>1554</v>
      </c>
    </row>
    <row r="290" customHeight="1" spans="1:4">
      <c r="A290" s="6"/>
      <c r="B290" s="1" t="s">
        <v>1012</v>
      </c>
      <c r="C290" s="1" t="s">
        <v>14</v>
      </c>
      <c r="D290" s="5" t="s">
        <v>1554</v>
      </c>
    </row>
    <row r="291" customHeight="1" spans="1:4">
      <c r="A291" s="6"/>
      <c r="B291" s="1" t="s">
        <v>1482</v>
      </c>
      <c r="C291" s="1" t="s">
        <v>23</v>
      </c>
      <c r="D291" s="5" t="s">
        <v>1554</v>
      </c>
    </row>
    <row r="292" customHeight="1" spans="1:4">
      <c r="A292" s="6"/>
      <c r="B292" s="1" t="s">
        <v>1090</v>
      </c>
      <c r="C292" s="1" t="s">
        <v>14</v>
      </c>
      <c r="D292" s="5" t="s">
        <v>1091</v>
      </c>
    </row>
    <row r="293" customHeight="1" spans="1:4">
      <c r="A293" s="6"/>
      <c r="B293" s="1" t="s">
        <v>1395</v>
      </c>
      <c r="C293" s="1" t="s">
        <v>147</v>
      </c>
      <c r="D293" s="5" t="s">
        <v>1554</v>
      </c>
    </row>
    <row r="294" customHeight="1" spans="1:4">
      <c r="A294" s="6"/>
      <c r="B294" s="1" t="s">
        <v>1259</v>
      </c>
      <c r="C294" s="1" t="s">
        <v>23</v>
      </c>
      <c r="D294" s="5" t="s">
        <v>1260</v>
      </c>
    </row>
    <row r="295" customHeight="1" spans="1:4">
      <c r="A295" s="1" t="s">
        <v>67</v>
      </c>
      <c r="B295" s="1" t="s">
        <v>748</v>
      </c>
      <c r="C295" s="1" t="s">
        <v>147</v>
      </c>
      <c r="D295" s="5" t="s">
        <v>1554</v>
      </c>
    </row>
    <row r="296" customHeight="1" spans="1:4">
      <c r="A296" s="6"/>
      <c r="B296" s="1" t="s">
        <v>848</v>
      </c>
      <c r="C296" s="1" t="s">
        <v>147</v>
      </c>
      <c r="D296" s="5" t="s">
        <v>1554</v>
      </c>
    </row>
    <row r="297" customHeight="1" spans="1:4">
      <c r="A297" s="6"/>
      <c r="B297" s="1" t="s">
        <v>1084</v>
      </c>
      <c r="C297" s="1" t="s">
        <v>147</v>
      </c>
      <c r="D297" s="5" t="s">
        <v>1554</v>
      </c>
    </row>
    <row r="298" customHeight="1" spans="1:4">
      <c r="A298" s="6"/>
      <c r="B298" s="1" t="s">
        <v>537</v>
      </c>
      <c r="C298" s="1" t="s">
        <v>147</v>
      </c>
      <c r="D298" s="5" t="s">
        <v>1554</v>
      </c>
    </row>
    <row r="299" customHeight="1" spans="1:4">
      <c r="A299" s="6"/>
      <c r="B299" s="1" t="s">
        <v>94</v>
      </c>
      <c r="C299" s="1" t="s">
        <v>23</v>
      </c>
      <c r="D299" s="5" t="s">
        <v>1554</v>
      </c>
    </row>
    <row r="300" customHeight="1" spans="1:4">
      <c r="A300" s="6"/>
      <c r="B300" s="1" t="s">
        <v>994</v>
      </c>
      <c r="C300" s="1" t="s">
        <v>147</v>
      </c>
      <c r="D300" s="5" t="s">
        <v>1554</v>
      </c>
    </row>
    <row r="301" customHeight="1" spans="1:4">
      <c r="A301" s="6"/>
      <c r="B301" s="1" t="s">
        <v>985</v>
      </c>
      <c r="C301" s="1" t="s">
        <v>147</v>
      </c>
      <c r="D301" s="5" t="s">
        <v>1554</v>
      </c>
    </row>
    <row r="302" customHeight="1" spans="1:4">
      <c r="A302" s="6"/>
      <c r="B302" s="1" t="s">
        <v>1198</v>
      </c>
      <c r="C302" s="1" t="s">
        <v>147</v>
      </c>
      <c r="D302" s="5" t="s">
        <v>1554</v>
      </c>
    </row>
    <row r="303" customHeight="1" spans="1:4">
      <c r="A303" s="6"/>
      <c r="B303" s="1" t="s">
        <v>838</v>
      </c>
      <c r="C303" s="1" t="s">
        <v>147</v>
      </c>
      <c r="D303" s="5" t="s">
        <v>1554</v>
      </c>
    </row>
    <row r="304" customHeight="1" spans="1:4">
      <c r="A304" s="6"/>
      <c r="B304" s="1" t="s">
        <v>1201</v>
      </c>
      <c r="C304" s="1" t="s">
        <v>23</v>
      </c>
      <c r="D304" s="5" t="s">
        <v>1202</v>
      </c>
    </row>
    <row r="305" customHeight="1" spans="1:4">
      <c r="A305" s="6"/>
      <c r="B305" s="1" t="s">
        <v>66</v>
      </c>
      <c r="C305" s="1" t="s">
        <v>23</v>
      </c>
      <c r="D305" s="5" t="s">
        <v>1554</v>
      </c>
    </row>
    <row r="306" customHeight="1" spans="1:4">
      <c r="A306" s="6"/>
      <c r="B306" s="1" t="s">
        <v>1455</v>
      </c>
      <c r="C306" s="1" t="s">
        <v>147</v>
      </c>
      <c r="D306" s="5" t="s">
        <v>1554</v>
      </c>
    </row>
    <row r="307" customHeight="1" spans="1:4">
      <c r="A307" s="6"/>
      <c r="B307" s="1" t="s">
        <v>145</v>
      </c>
      <c r="C307" s="1" t="s">
        <v>23</v>
      </c>
      <c r="D307" s="5" t="s">
        <v>1554</v>
      </c>
    </row>
    <row r="308" customHeight="1" spans="1:4">
      <c r="A308" s="6"/>
      <c r="B308" s="1" t="s">
        <v>332</v>
      </c>
      <c r="C308" s="1" t="s">
        <v>147</v>
      </c>
      <c r="D308" s="5" t="s">
        <v>1554</v>
      </c>
    </row>
    <row r="309" customHeight="1" spans="1:4">
      <c r="A309" s="6"/>
      <c r="B309" s="1" t="s">
        <v>930</v>
      </c>
      <c r="C309" s="1" t="s">
        <v>147</v>
      </c>
      <c r="D309" s="5" t="s">
        <v>1554</v>
      </c>
    </row>
    <row r="310" customHeight="1" spans="1:4">
      <c r="A310" s="6"/>
      <c r="B310" s="1" t="s">
        <v>352</v>
      </c>
      <c r="C310" s="1" t="s">
        <v>147</v>
      </c>
      <c r="D310" s="5" t="s">
        <v>1554</v>
      </c>
    </row>
    <row r="311" customHeight="1" spans="1:4">
      <c r="A311" s="6"/>
      <c r="B311" s="1" t="s">
        <v>1463</v>
      </c>
      <c r="C311" s="1" t="s">
        <v>14</v>
      </c>
      <c r="D311" s="5" t="s">
        <v>1554</v>
      </c>
    </row>
    <row r="312" customHeight="1" spans="1:4">
      <c r="A312" s="6"/>
      <c r="B312" s="1" t="s">
        <v>1404</v>
      </c>
      <c r="C312" s="1" t="s">
        <v>14</v>
      </c>
      <c r="D312" s="5" t="s">
        <v>1554</v>
      </c>
    </row>
    <row r="313" customHeight="1" spans="1:4">
      <c r="A313" s="6"/>
      <c r="B313" s="1" t="s">
        <v>1466</v>
      </c>
      <c r="C313" s="1" t="s">
        <v>14</v>
      </c>
      <c r="D313" s="5" t="s">
        <v>1554</v>
      </c>
    </row>
    <row r="314" customHeight="1" spans="1:4">
      <c r="A314" s="6"/>
      <c r="B314" s="1" t="s">
        <v>1433</v>
      </c>
      <c r="C314" s="1" t="s">
        <v>14</v>
      </c>
      <c r="D314" s="5" t="s">
        <v>1554</v>
      </c>
    </row>
    <row r="315" customHeight="1" spans="1:4">
      <c r="A315" s="6"/>
      <c r="B315" s="1" t="s">
        <v>1468</v>
      </c>
      <c r="C315" s="1" t="s">
        <v>14</v>
      </c>
      <c r="D315" s="5" t="s">
        <v>1554</v>
      </c>
    </row>
    <row r="316" customHeight="1" spans="1:4">
      <c r="A316" s="6"/>
      <c r="B316" s="1" t="s">
        <v>1074</v>
      </c>
      <c r="C316" s="1" t="s">
        <v>147</v>
      </c>
      <c r="D316" s="5" t="s">
        <v>1554</v>
      </c>
    </row>
    <row r="317" customHeight="1" spans="1:4">
      <c r="A317" s="6"/>
      <c r="B317" s="1" t="s">
        <v>1099</v>
      </c>
      <c r="C317" s="1" t="s">
        <v>147</v>
      </c>
      <c r="D317" s="5" t="s">
        <v>1554</v>
      </c>
    </row>
    <row r="318" customHeight="1" spans="1:4">
      <c r="A318" s="6"/>
      <c r="B318" s="1" t="s">
        <v>1169</v>
      </c>
      <c r="C318" s="1" t="s">
        <v>147</v>
      </c>
      <c r="D318" s="5" t="s">
        <v>1554</v>
      </c>
    </row>
    <row r="319" customHeight="1" spans="1:4">
      <c r="A319" s="6"/>
      <c r="B319" s="1" t="s">
        <v>1351</v>
      </c>
      <c r="C319" s="1" t="s">
        <v>147</v>
      </c>
      <c r="D319" s="5" t="s">
        <v>1554</v>
      </c>
    </row>
    <row r="320" customHeight="1" spans="1:4">
      <c r="A320" s="6"/>
      <c r="B320" s="1" t="s">
        <v>121</v>
      </c>
      <c r="C320" s="1" t="s">
        <v>23</v>
      </c>
      <c r="D320" s="5" t="s">
        <v>1554</v>
      </c>
    </row>
    <row r="321" customHeight="1" spans="1:4">
      <c r="A321" s="6"/>
      <c r="B321" s="1" t="s">
        <v>1048</v>
      </c>
      <c r="C321" s="1" t="s">
        <v>147</v>
      </c>
      <c r="D321" s="5" t="s">
        <v>1554</v>
      </c>
    </row>
    <row r="322" customHeight="1" spans="1:4">
      <c r="A322" s="6"/>
      <c r="B322" s="1" t="s">
        <v>1035</v>
      </c>
      <c r="C322" s="1" t="s">
        <v>147</v>
      </c>
      <c r="D322" s="5" t="s">
        <v>1554</v>
      </c>
    </row>
    <row r="323" customHeight="1" spans="1:4">
      <c r="A323" s="6"/>
      <c r="B323" s="1" t="s">
        <v>1026</v>
      </c>
      <c r="C323" s="1" t="s">
        <v>147</v>
      </c>
      <c r="D323" s="5" t="s">
        <v>1554</v>
      </c>
    </row>
    <row r="324" customHeight="1" spans="1:4">
      <c r="A324" s="6"/>
      <c r="B324" s="1" t="s">
        <v>1240</v>
      </c>
      <c r="C324" s="1" t="s">
        <v>14</v>
      </c>
      <c r="D324" s="5" t="s">
        <v>1554</v>
      </c>
    </row>
    <row r="325" customHeight="1" spans="1:4">
      <c r="A325" s="6"/>
      <c r="B325" s="1" t="s">
        <v>669</v>
      </c>
      <c r="C325" s="1" t="s">
        <v>147</v>
      </c>
      <c r="D325" s="5" t="s">
        <v>1554</v>
      </c>
    </row>
    <row r="326" customHeight="1" spans="1:4">
      <c r="A326" s="6"/>
      <c r="B326" s="1" t="s">
        <v>404</v>
      </c>
      <c r="C326" s="1" t="s">
        <v>147</v>
      </c>
      <c r="D326" s="5" t="s">
        <v>1554</v>
      </c>
    </row>
    <row r="327" customHeight="1" spans="1:4">
      <c r="A327" s="6"/>
      <c r="B327" s="1" t="s">
        <v>558</v>
      </c>
      <c r="C327" s="1" t="s">
        <v>147</v>
      </c>
      <c r="D327" s="5" t="s">
        <v>1554</v>
      </c>
    </row>
    <row r="328" customHeight="1" spans="1:4">
      <c r="A328" s="6"/>
      <c r="B328" s="1" t="s">
        <v>1219</v>
      </c>
      <c r="C328" s="1" t="s">
        <v>147</v>
      </c>
      <c r="D328" s="5" t="s">
        <v>1554</v>
      </c>
    </row>
    <row r="329" customHeight="1" spans="1:4">
      <c r="A329" s="6"/>
      <c r="B329" s="1" t="s">
        <v>597</v>
      </c>
      <c r="C329" s="1" t="s">
        <v>147</v>
      </c>
      <c r="D329" s="5" t="s">
        <v>1554</v>
      </c>
    </row>
    <row r="330" customHeight="1" spans="1:4">
      <c r="A330" s="6"/>
      <c r="B330" s="1" t="s">
        <v>631</v>
      </c>
      <c r="C330" s="1" t="s">
        <v>23</v>
      </c>
      <c r="D330" s="5" t="s">
        <v>1554</v>
      </c>
    </row>
    <row r="331" customHeight="1" spans="1:4">
      <c r="A331" s="6"/>
      <c r="B331" s="1" t="s">
        <v>606</v>
      </c>
      <c r="C331" s="1" t="s">
        <v>147</v>
      </c>
      <c r="D331" s="5" t="s">
        <v>1554</v>
      </c>
    </row>
    <row r="332" customHeight="1" spans="1:4">
      <c r="A332" s="1" t="s">
        <v>106</v>
      </c>
      <c r="B332" s="1" t="s">
        <v>618</v>
      </c>
      <c r="C332" s="1" t="s">
        <v>147</v>
      </c>
      <c r="D332" s="5" t="s">
        <v>1554</v>
      </c>
    </row>
    <row r="333" customHeight="1" spans="1:4">
      <c r="A333" s="6"/>
      <c r="B333" s="1" t="s">
        <v>105</v>
      </c>
      <c r="C333" s="1" t="s">
        <v>23</v>
      </c>
      <c r="D333" s="5" t="s">
        <v>1554</v>
      </c>
    </row>
    <row r="334" customHeight="1" spans="1:4">
      <c r="A334" s="6"/>
      <c r="B334" s="1" t="s">
        <v>1359</v>
      </c>
      <c r="C334" s="1" t="s">
        <v>147</v>
      </c>
      <c r="D334" s="5" t="s">
        <v>1554</v>
      </c>
    </row>
    <row r="335" customHeight="1" spans="1:4">
      <c r="A335" s="1" t="s">
        <v>1183</v>
      </c>
      <c r="B335" s="1" t="s">
        <v>1180</v>
      </c>
      <c r="C335" s="1" t="s">
        <v>23</v>
      </c>
      <c r="D335" s="5" t="s">
        <v>1181</v>
      </c>
    </row>
    <row r="336" customHeight="1" spans="1:4">
      <c r="A336" s="6"/>
      <c r="B336" s="1" t="s">
        <v>1407</v>
      </c>
      <c r="C336" s="1" t="s">
        <v>147</v>
      </c>
      <c r="D336" s="5" t="s">
        <v>1554</v>
      </c>
    </row>
    <row r="337" customHeight="1" spans="1:4">
      <c r="A337" s="1" t="s">
        <v>1532</v>
      </c>
      <c r="B337" s="1" t="s">
        <v>1530</v>
      </c>
      <c r="C337" s="1" t="s">
        <v>23</v>
      </c>
      <c r="D337" s="5" t="s">
        <v>1554</v>
      </c>
    </row>
    <row r="338" customHeight="1" spans="1:4">
      <c r="A338" s="1" t="s">
        <v>688</v>
      </c>
      <c r="B338" s="1" t="s">
        <v>687</v>
      </c>
      <c r="C338" s="1" t="s">
        <v>147</v>
      </c>
      <c r="D338" s="5" t="s">
        <v>1554</v>
      </c>
    </row>
    <row r="339" customHeight="1" spans="1:4">
      <c r="A339" s="1" t="s">
        <v>1398</v>
      </c>
      <c r="B339" s="1" t="s">
        <v>1397</v>
      </c>
      <c r="C339" s="1" t="s">
        <v>147</v>
      </c>
      <c r="D339" s="5" t="s">
        <v>1554</v>
      </c>
    </row>
    <row r="340" customHeight="1" spans="1:4">
      <c r="A340" s="1" t="s">
        <v>695</v>
      </c>
      <c r="B340" s="1" t="s">
        <v>693</v>
      </c>
      <c r="C340" s="1" t="s">
        <v>147</v>
      </c>
      <c r="D340" s="5" t="s">
        <v>1554</v>
      </c>
    </row>
    <row r="341" customHeight="1" spans="1:4">
      <c r="A341" s="6"/>
      <c r="B341" s="1" t="s">
        <v>1408</v>
      </c>
      <c r="C341" s="1" t="s">
        <v>147</v>
      </c>
      <c r="D341" s="5" t="s">
        <v>1554</v>
      </c>
    </row>
    <row r="342" customHeight="1" spans="1:4">
      <c r="A342" s="1" t="s">
        <v>746</v>
      </c>
      <c r="B342" s="1" t="s">
        <v>744</v>
      </c>
      <c r="C342" s="1" t="s">
        <v>147</v>
      </c>
      <c r="D342" s="5" t="s">
        <v>745</v>
      </c>
    </row>
    <row r="343" customHeight="1" spans="1:4">
      <c r="A343" s="6"/>
      <c r="B343" s="1" t="s">
        <v>745</v>
      </c>
      <c r="C343" s="1" t="s">
        <v>147</v>
      </c>
      <c r="D343" s="5" t="s">
        <v>745</v>
      </c>
    </row>
    <row r="344" customHeight="1" spans="1:4">
      <c r="A344" s="6"/>
      <c r="B344" s="1" t="s">
        <v>1399</v>
      </c>
      <c r="C344" s="1" t="s">
        <v>147</v>
      </c>
      <c r="D344" s="5" t="s">
        <v>1554</v>
      </c>
    </row>
    <row r="345" customHeight="1" spans="1:4">
      <c r="A345" s="1" t="s">
        <v>305</v>
      </c>
      <c r="B345" s="1" t="s">
        <v>700</v>
      </c>
      <c r="C345" s="1" t="s">
        <v>23</v>
      </c>
      <c r="D345" s="5" t="s">
        <v>1554</v>
      </c>
    </row>
    <row r="346" customHeight="1" spans="1:4">
      <c r="A346" s="6"/>
      <c r="B346" s="1" t="s">
        <v>304</v>
      </c>
      <c r="C346" s="1" t="s">
        <v>147</v>
      </c>
      <c r="D346" s="5" t="s">
        <v>1554</v>
      </c>
    </row>
    <row r="347" customHeight="1" spans="1:4">
      <c r="A347" s="6"/>
      <c r="B347" s="1" t="s">
        <v>945</v>
      </c>
      <c r="C347" s="1" t="s">
        <v>147</v>
      </c>
      <c r="D347" s="5" t="s">
        <v>1554</v>
      </c>
    </row>
    <row r="348" customHeight="1" spans="1:4">
      <c r="A348" s="6"/>
      <c r="B348" s="1" t="s">
        <v>447</v>
      </c>
      <c r="C348" s="1" t="s">
        <v>147</v>
      </c>
      <c r="D348" s="5" t="s">
        <v>1554</v>
      </c>
    </row>
    <row r="349" customHeight="1" spans="1:4">
      <c r="A349" s="1" t="s">
        <v>118</v>
      </c>
      <c r="B349" s="1" t="s">
        <v>860</v>
      </c>
      <c r="C349" s="1" t="s">
        <v>23</v>
      </c>
      <c r="D349" s="5" t="s">
        <v>861</v>
      </c>
    </row>
    <row r="350" customHeight="1" spans="1:4">
      <c r="A350" s="6"/>
      <c r="B350" s="1" t="s">
        <v>1453</v>
      </c>
      <c r="C350" s="1" t="s">
        <v>147</v>
      </c>
      <c r="D350" s="5" t="s">
        <v>381</v>
      </c>
    </row>
    <row r="351" customHeight="1" spans="1:4">
      <c r="A351" s="6"/>
      <c r="B351" s="1" t="s">
        <v>581</v>
      </c>
      <c r="C351" s="1" t="s">
        <v>147</v>
      </c>
      <c r="D351" s="5" t="s">
        <v>1554</v>
      </c>
    </row>
    <row r="352" customHeight="1" spans="1:4">
      <c r="A352" s="6"/>
      <c r="B352" s="1" t="s">
        <v>1049</v>
      </c>
      <c r="C352" s="1" t="s">
        <v>147</v>
      </c>
      <c r="D352" s="5" t="s">
        <v>1554</v>
      </c>
    </row>
    <row r="353" customHeight="1" spans="1:4">
      <c r="A353" s="6"/>
      <c r="B353" s="1" t="s">
        <v>1522</v>
      </c>
      <c r="C353" s="1" t="s">
        <v>23</v>
      </c>
      <c r="D353" s="5" t="s">
        <v>1554</v>
      </c>
    </row>
    <row r="354" customHeight="1" spans="1:4">
      <c r="A354" s="6"/>
      <c r="B354" s="1" t="s">
        <v>1214</v>
      </c>
      <c r="C354" s="1" t="s">
        <v>147</v>
      </c>
      <c r="D354" s="5" t="s">
        <v>1554</v>
      </c>
    </row>
    <row r="355" customHeight="1" spans="1:4">
      <c r="A355" s="6"/>
      <c r="B355" s="1" t="s">
        <v>1184</v>
      </c>
      <c r="C355" s="1" t="s">
        <v>147</v>
      </c>
      <c r="D355" s="5" t="s">
        <v>1554</v>
      </c>
    </row>
    <row r="356" customHeight="1" spans="1:4">
      <c r="A356" s="6"/>
      <c r="B356" s="1" t="s">
        <v>116</v>
      </c>
      <c r="C356" s="1" t="s">
        <v>23</v>
      </c>
      <c r="D356" s="5" t="s">
        <v>117</v>
      </c>
    </row>
    <row r="357" customHeight="1" spans="1:4">
      <c r="A357" s="6"/>
      <c r="B357" s="1" t="s">
        <v>720</v>
      </c>
      <c r="C357" s="1" t="s">
        <v>23</v>
      </c>
      <c r="D357" s="5" t="s">
        <v>721</v>
      </c>
    </row>
    <row r="358" customHeight="1" spans="1:4">
      <c r="A358" s="1" t="s">
        <v>588</v>
      </c>
      <c r="B358" s="1" t="s">
        <v>1197</v>
      </c>
      <c r="C358" s="1" t="s">
        <v>147</v>
      </c>
      <c r="D358" s="5" t="s">
        <v>1554</v>
      </c>
    </row>
    <row r="359" customHeight="1" spans="1:4">
      <c r="A359" s="6"/>
      <c r="B359" s="1" t="s">
        <v>1436</v>
      </c>
      <c r="C359" s="1" t="s">
        <v>147</v>
      </c>
      <c r="D359" s="5" t="s">
        <v>1554</v>
      </c>
    </row>
    <row r="360" customHeight="1" spans="1:4">
      <c r="A360" s="6"/>
      <c r="B360" s="1" t="s">
        <v>949</v>
      </c>
      <c r="C360" s="1" t="s">
        <v>23</v>
      </c>
      <c r="D360" s="5" t="s">
        <v>1554</v>
      </c>
    </row>
    <row r="361" customHeight="1" spans="1:4">
      <c r="A361" s="6"/>
      <c r="B361" s="1" t="s">
        <v>726</v>
      </c>
      <c r="C361" s="1" t="s">
        <v>147</v>
      </c>
      <c r="D361" s="5" t="s">
        <v>1554</v>
      </c>
    </row>
    <row r="362" customHeight="1" spans="1:4">
      <c r="A362" s="6"/>
      <c r="B362" s="1" t="s">
        <v>1267</v>
      </c>
      <c r="C362" s="1" t="s">
        <v>147</v>
      </c>
      <c r="D362" s="5" t="s">
        <v>1554</v>
      </c>
    </row>
    <row r="363" customHeight="1" spans="1:4">
      <c r="A363" s="6"/>
      <c r="B363" s="1" t="s">
        <v>763</v>
      </c>
      <c r="C363" s="1" t="s">
        <v>147</v>
      </c>
      <c r="D363" s="5" t="s">
        <v>1554</v>
      </c>
    </row>
    <row r="364" customHeight="1" spans="1:4">
      <c r="A364" s="6"/>
      <c r="B364" s="1" t="s">
        <v>1330</v>
      </c>
      <c r="C364" s="1" t="s">
        <v>147</v>
      </c>
      <c r="D364" s="5" t="s">
        <v>1554</v>
      </c>
    </row>
    <row r="365" customHeight="1" spans="1:4">
      <c r="A365" s="6"/>
      <c r="B365" s="1" t="s">
        <v>585</v>
      </c>
      <c r="C365" s="1" t="s">
        <v>14</v>
      </c>
      <c r="D365" s="5" t="s">
        <v>586</v>
      </c>
    </row>
    <row r="366" customHeight="1" spans="1:4">
      <c r="A366" s="1" t="s">
        <v>57</v>
      </c>
      <c r="B366" s="1" t="s">
        <v>517</v>
      </c>
      <c r="C366" s="1" t="s">
        <v>147</v>
      </c>
      <c r="D366" s="5" t="s">
        <v>1554</v>
      </c>
    </row>
    <row r="367" customHeight="1" spans="1:4">
      <c r="A367" s="6"/>
      <c r="B367" s="1" t="s">
        <v>502</v>
      </c>
      <c r="C367" s="1" t="s">
        <v>147</v>
      </c>
      <c r="D367" s="5" t="s">
        <v>1554</v>
      </c>
    </row>
    <row r="368" customHeight="1" spans="1:4">
      <c r="A368" s="6"/>
      <c r="B368" s="1" t="s">
        <v>1377</v>
      </c>
      <c r="C368" s="1" t="s">
        <v>147</v>
      </c>
      <c r="D368" s="5" t="s">
        <v>1554</v>
      </c>
    </row>
    <row r="369" customHeight="1" spans="1:4">
      <c r="A369" s="6"/>
      <c r="B369" s="1" t="s">
        <v>445</v>
      </c>
      <c r="C369" s="1" t="s">
        <v>147</v>
      </c>
      <c r="D369" s="5" t="s">
        <v>1554</v>
      </c>
    </row>
    <row r="370" customHeight="1" spans="1:4">
      <c r="A370" s="6"/>
      <c r="B370" s="1" t="s">
        <v>56</v>
      </c>
      <c r="C370" s="1" t="s">
        <v>23</v>
      </c>
      <c r="D370" s="5" t="s">
        <v>1554</v>
      </c>
    </row>
    <row r="371" customHeight="1" spans="1:4">
      <c r="A371" s="6"/>
      <c r="B371" s="1" t="s">
        <v>580</v>
      </c>
      <c r="C371" s="1" t="s">
        <v>147</v>
      </c>
      <c r="D371" s="5" t="s">
        <v>1554</v>
      </c>
    </row>
    <row r="372" customHeight="1" spans="1:4">
      <c r="A372" s="6"/>
      <c r="B372" s="1" t="s">
        <v>998</v>
      </c>
      <c r="C372" s="1" t="s">
        <v>14</v>
      </c>
      <c r="D372" s="5" t="s">
        <v>999</v>
      </c>
    </row>
    <row r="373" customHeight="1" spans="1:4">
      <c r="A373" s="6"/>
      <c r="B373" s="1" t="s">
        <v>321</v>
      </c>
      <c r="C373" s="1" t="s">
        <v>147</v>
      </c>
      <c r="D373" s="5" t="s">
        <v>1554</v>
      </c>
    </row>
    <row r="374" customHeight="1" spans="1:4">
      <c r="A374" s="6"/>
      <c r="B374" s="1" t="s">
        <v>595</v>
      </c>
      <c r="C374" s="1" t="s">
        <v>147</v>
      </c>
      <c r="D374" s="5" t="s">
        <v>1554</v>
      </c>
    </row>
    <row r="375" customHeight="1" spans="1:4">
      <c r="A375" s="6"/>
      <c r="B375" s="1" t="s">
        <v>176</v>
      </c>
      <c r="C375" s="1" t="s">
        <v>23</v>
      </c>
      <c r="D375" s="5" t="s">
        <v>1554</v>
      </c>
    </row>
    <row r="376" customHeight="1" spans="1:4">
      <c r="A376" s="6"/>
      <c r="B376" s="1" t="s">
        <v>1344</v>
      </c>
      <c r="C376" s="1" t="s">
        <v>147</v>
      </c>
      <c r="D376" s="5" t="s">
        <v>1554</v>
      </c>
    </row>
    <row r="377" customHeight="1" spans="1:4">
      <c r="A377" s="6"/>
      <c r="B377" s="1" t="s">
        <v>1006</v>
      </c>
      <c r="C377" s="1" t="s">
        <v>147</v>
      </c>
      <c r="D377" s="5" t="s">
        <v>1554</v>
      </c>
    </row>
    <row r="378" customHeight="1" spans="1:4">
      <c r="A378" s="6"/>
      <c r="B378" s="1" t="s">
        <v>759</v>
      </c>
      <c r="C378" s="1" t="s">
        <v>147</v>
      </c>
      <c r="D378" s="5" t="s">
        <v>1554</v>
      </c>
    </row>
    <row r="379" customHeight="1" spans="1:4">
      <c r="A379" s="6"/>
      <c r="B379" s="1" t="s">
        <v>377</v>
      </c>
      <c r="C379" s="1" t="s">
        <v>147</v>
      </c>
      <c r="D379" s="5" t="s">
        <v>1554</v>
      </c>
    </row>
    <row r="380" customHeight="1" spans="1:4">
      <c r="A380" s="6"/>
      <c r="B380" s="1" t="s">
        <v>1429</v>
      </c>
      <c r="C380" s="1" t="s">
        <v>23</v>
      </c>
      <c r="D380" s="5" t="s">
        <v>1554</v>
      </c>
    </row>
    <row r="381" customHeight="1" spans="1:4">
      <c r="A381" s="6"/>
      <c r="B381" s="1" t="s">
        <v>504</v>
      </c>
      <c r="C381" s="1" t="s">
        <v>147</v>
      </c>
      <c r="D381" s="5" t="s">
        <v>1554</v>
      </c>
    </row>
    <row r="382" customHeight="1" spans="1:4">
      <c r="A382" s="6"/>
      <c r="B382" s="1" t="s">
        <v>1067</v>
      </c>
      <c r="C382" s="1" t="s">
        <v>147</v>
      </c>
      <c r="D382" s="5" t="s">
        <v>1554</v>
      </c>
    </row>
    <row r="383" customHeight="1" spans="1:4">
      <c r="A383" s="6"/>
      <c r="B383" s="1" t="s">
        <v>497</v>
      </c>
      <c r="C383" s="1" t="s">
        <v>147</v>
      </c>
      <c r="D383" s="5" t="s">
        <v>1554</v>
      </c>
    </row>
    <row r="384" customHeight="1" spans="1:4">
      <c r="A384" s="6"/>
      <c r="B384" s="1" t="s">
        <v>1149</v>
      </c>
      <c r="C384" s="1" t="s">
        <v>14</v>
      </c>
      <c r="D384" s="5" t="s">
        <v>1067</v>
      </c>
    </row>
    <row r="385" customHeight="1" spans="1:4">
      <c r="A385" s="6"/>
      <c r="B385" s="1" t="s">
        <v>790</v>
      </c>
      <c r="C385" s="1" t="s">
        <v>14</v>
      </c>
      <c r="D385" s="5" t="s">
        <v>1554</v>
      </c>
    </row>
    <row r="386" customHeight="1" spans="1:4">
      <c r="A386" s="6"/>
      <c r="B386" s="1" t="s">
        <v>1057</v>
      </c>
      <c r="C386" s="1" t="s">
        <v>147</v>
      </c>
      <c r="D386" s="5" t="s">
        <v>1554</v>
      </c>
    </row>
    <row r="387" customHeight="1" spans="1:4">
      <c r="A387" s="6"/>
      <c r="B387" s="1" t="s">
        <v>524</v>
      </c>
      <c r="C387" s="1" t="s">
        <v>147</v>
      </c>
      <c r="D387" s="5" t="s">
        <v>1554</v>
      </c>
    </row>
    <row r="388" customHeight="1" spans="1:4">
      <c r="A388" s="6"/>
      <c r="B388" s="1" t="s">
        <v>1261</v>
      </c>
      <c r="C388" s="1" t="s">
        <v>147</v>
      </c>
      <c r="D388" s="5" t="s">
        <v>1554</v>
      </c>
    </row>
    <row r="389" customHeight="1" spans="1:4">
      <c r="A389" s="6"/>
      <c r="B389" s="1" t="s">
        <v>1417</v>
      </c>
      <c r="C389" s="1" t="s">
        <v>14</v>
      </c>
      <c r="D389" s="5" t="s">
        <v>1554</v>
      </c>
    </row>
    <row r="390" customHeight="1" spans="1:4">
      <c r="A390" s="6"/>
      <c r="B390" s="1" t="s">
        <v>324</v>
      </c>
      <c r="C390" s="1" t="s">
        <v>147</v>
      </c>
      <c r="D390" s="5" t="s">
        <v>1554</v>
      </c>
    </row>
    <row r="391" customHeight="1" spans="1:4">
      <c r="A391" s="6"/>
      <c r="B391" s="1" t="s">
        <v>1028</v>
      </c>
      <c r="C391" s="1" t="s">
        <v>147</v>
      </c>
      <c r="D391" s="5" t="s">
        <v>1554</v>
      </c>
    </row>
    <row r="392" customHeight="1" spans="1:4">
      <c r="A392" s="6"/>
      <c r="B392" s="1" t="s">
        <v>396</v>
      </c>
      <c r="C392" s="1" t="s">
        <v>147</v>
      </c>
      <c r="D392" s="5" t="s">
        <v>1554</v>
      </c>
    </row>
    <row r="393" customHeight="1" spans="1:4">
      <c r="A393" s="6"/>
      <c r="B393" s="1" t="s">
        <v>533</v>
      </c>
      <c r="C393" s="1" t="s">
        <v>147</v>
      </c>
      <c r="D393" s="5" t="s">
        <v>1554</v>
      </c>
    </row>
    <row r="394" customHeight="1" spans="1:4">
      <c r="A394" s="6"/>
      <c r="B394" s="1" t="s">
        <v>372</v>
      </c>
      <c r="C394" s="1" t="s">
        <v>147</v>
      </c>
      <c r="D394" s="5" t="s">
        <v>1554</v>
      </c>
    </row>
    <row r="395" customHeight="1" spans="1:4">
      <c r="A395" s="6"/>
      <c r="B395" s="1" t="s">
        <v>1137</v>
      </c>
      <c r="C395" s="1" t="s">
        <v>147</v>
      </c>
      <c r="D395" s="5" t="s">
        <v>1554</v>
      </c>
    </row>
    <row r="396" customHeight="1" spans="1:4">
      <c r="A396" s="6"/>
      <c r="B396" s="1" t="s">
        <v>876</v>
      </c>
      <c r="C396" s="1" t="s">
        <v>147</v>
      </c>
      <c r="D396" s="5" t="s">
        <v>1554</v>
      </c>
    </row>
    <row r="397" customHeight="1" spans="1:4">
      <c r="A397" s="6"/>
      <c r="B397" s="1" t="s">
        <v>801</v>
      </c>
      <c r="C397" s="1" t="s">
        <v>147</v>
      </c>
      <c r="D397" s="5" t="s">
        <v>1554</v>
      </c>
    </row>
    <row r="398" customHeight="1" spans="1:4">
      <c r="A398" s="6"/>
      <c r="B398" s="1" t="s">
        <v>815</v>
      </c>
      <c r="C398" s="1" t="s">
        <v>147</v>
      </c>
      <c r="D398" s="5" t="s">
        <v>1554</v>
      </c>
    </row>
    <row r="399" customHeight="1" spans="1:4">
      <c r="A399" s="6"/>
      <c r="B399" s="1" t="s">
        <v>563</v>
      </c>
      <c r="C399" s="1" t="s">
        <v>147</v>
      </c>
      <c r="D399" s="5" t="s">
        <v>1554</v>
      </c>
    </row>
    <row r="400" customHeight="1" spans="1:4">
      <c r="A400" s="6"/>
      <c r="B400" s="1" t="s">
        <v>568</v>
      </c>
      <c r="C400" s="1" t="s">
        <v>147</v>
      </c>
      <c r="D400" s="5" t="s">
        <v>1554</v>
      </c>
    </row>
    <row r="401" customHeight="1" spans="1:4">
      <c r="A401" s="6"/>
      <c r="B401" s="1" t="s">
        <v>1252</v>
      </c>
      <c r="C401" s="1" t="s">
        <v>147</v>
      </c>
      <c r="D401" s="5" t="s">
        <v>1554</v>
      </c>
    </row>
    <row r="402" customHeight="1" spans="1:4">
      <c r="A402" s="6"/>
      <c r="B402" s="1" t="s">
        <v>953</v>
      </c>
      <c r="C402" s="1" t="s">
        <v>147</v>
      </c>
      <c r="D402" s="5" t="s">
        <v>1554</v>
      </c>
    </row>
    <row r="403" customHeight="1" spans="1:4">
      <c r="A403" s="6"/>
      <c r="B403" s="1" t="s">
        <v>1222</v>
      </c>
      <c r="C403" s="1" t="s">
        <v>147</v>
      </c>
      <c r="D403" s="5" t="s">
        <v>1554</v>
      </c>
    </row>
    <row r="404" customHeight="1" spans="1:4">
      <c r="A404" s="1" t="s">
        <v>18</v>
      </c>
      <c r="B404" s="1" t="s">
        <v>928</v>
      </c>
      <c r="C404" s="1" t="s">
        <v>14</v>
      </c>
      <c r="D404" s="5" t="s">
        <v>1554</v>
      </c>
    </row>
    <row r="405" customHeight="1" spans="1:4">
      <c r="A405" s="6"/>
      <c r="B405" s="1" t="s">
        <v>13</v>
      </c>
      <c r="C405" s="1" t="s">
        <v>14</v>
      </c>
      <c r="D405" s="5" t="s">
        <v>16</v>
      </c>
    </row>
    <row r="406" customHeight="1" spans="1:4">
      <c r="A406" s="6"/>
      <c r="B406" s="1" t="s">
        <v>642</v>
      </c>
      <c r="C406" s="1" t="s">
        <v>23</v>
      </c>
      <c r="D406" s="5" t="s">
        <v>1554</v>
      </c>
    </row>
    <row r="407" customHeight="1" spans="1:4">
      <c r="A407" s="6"/>
      <c r="B407" s="1" t="s">
        <v>499</v>
      </c>
      <c r="C407" s="1" t="s">
        <v>147</v>
      </c>
      <c r="D407" s="5" t="s">
        <v>1554</v>
      </c>
    </row>
    <row r="408" customHeight="1" spans="1:4">
      <c r="A408" s="6"/>
      <c r="B408" s="1" t="s">
        <v>205</v>
      </c>
      <c r="C408" s="1" t="s">
        <v>23</v>
      </c>
      <c r="D408" s="5" t="s">
        <v>1554</v>
      </c>
    </row>
    <row r="409" customHeight="1" spans="1:4">
      <c r="A409" s="6"/>
      <c r="B409" s="6"/>
      <c r="C409" s="1" t="s">
        <v>14</v>
      </c>
      <c r="D409" s="5" t="s">
        <v>1550</v>
      </c>
    </row>
    <row r="410" customHeight="1" spans="1:4">
      <c r="A410" s="6"/>
      <c r="B410" s="1" t="s">
        <v>987</v>
      </c>
      <c r="C410" s="1" t="s">
        <v>147</v>
      </c>
      <c r="D410" s="5" t="s">
        <v>1554</v>
      </c>
    </row>
    <row r="411" customHeight="1" spans="1:4">
      <c r="A411" s="6"/>
      <c r="B411" s="1" t="s">
        <v>379</v>
      </c>
      <c r="C411" s="1" t="s">
        <v>147</v>
      </c>
      <c r="D411" s="5" t="s">
        <v>1554</v>
      </c>
    </row>
    <row r="412" customHeight="1" spans="1:4">
      <c r="A412" s="6"/>
      <c r="B412" s="1" t="s">
        <v>591</v>
      </c>
      <c r="C412" s="1" t="s">
        <v>14</v>
      </c>
      <c r="D412" s="5" t="s">
        <v>292</v>
      </c>
    </row>
    <row r="413" customHeight="1" spans="1:4">
      <c r="A413" s="6"/>
      <c r="B413" s="1" t="s">
        <v>696</v>
      </c>
      <c r="C413" s="1" t="s">
        <v>147</v>
      </c>
      <c r="D413" s="5" t="s">
        <v>1554</v>
      </c>
    </row>
    <row r="414" customHeight="1" spans="1:4">
      <c r="A414" s="6"/>
      <c r="B414" s="1" t="s">
        <v>1319</v>
      </c>
      <c r="C414" s="1" t="s">
        <v>14</v>
      </c>
      <c r="D414" s="5" t="s">
        <v>1554</v>
      </c>
    </row>
    <row r="415" customHeight="1" spans="1:4">
      <c r="A415" s="6"/>
      <c r="B415" s="1" t="s">
        <v>387</v>
      </c>
      <c r="C415" s="1" t="s">
        <v>14</v>
      </c>
      <c r="D415" s="5" t="s">
        <v>213</v>
      </c>
    </row>
    <row r="416" customHeight="1" spans="1:4">
      <c r="A416" s="6"/>
      <c r="B416" s="1" t="s">
        <v>742</v>
      </c>
      <c r="C416" s="1" t="s">
        <v>23</v>
      </c>
      <c r="D416" s="5" t="s">
        <v>280</v>
      </c>
    </row>
    <row r="417" customHeight="1" spans="1:4">
      <c r="A417" s="6"/>
      <c r="B417" s="1" t="s">
        <v>485</v>
      </c>
      <c r="C417" s="1" t="s">
        <v>147</v>
      </c>
      <c r="D417" s="5" t="s">
        <v>1554</v>
      </c>
    </row>
    <row r="418" customHeight="1" spans="1:4">
      <c r="A418" s="6"/>
      <c r="B418" s="1" t="s">
        <v>34</v>
      </c>
      <c r="C418" s="1" t="s">
        <v>14</v>
      </c>
      <c r="D418" s="5" t="s">
        <v>16</v>
      </c>
    </row>
    <row r="419" customHeight="1" spans="1:4">
      <c r="A419" s="6"/>
      <c r="B419" s="1" t="s">
        <v>413</v>
      </c>
      <c r="C419" s="1" t="s">
        <v>147</v>
      </c>
      <c r="D419" s="5" t="s">
        <v>1554</v>
      </c>
    </row>
    <row r="420" customHeight="1" spans="1:4">
      <c r="A420" s="6"/>
      <c r="B420" s="1" t="s">
        <v>292</v>
      </c>
      <c r="C420" s="1" t="s">
        <v>147</v>
      </c>
      <c r="D420" s="5" t="s">
        <v>1554</v>
      </c>
    </row>
    <row r="421" customHeight="1" spans="1:4">
      <c r="A421" s="6"/>
      <c r="B421" s="1" t="s">
        <v>322</v>
      </c>
      <c r="C421" s="1" t="s">
        <v>147</v>
      </c>
      <c r="D421" s="5" t="s">
        <v>1554</v>
      </c>
    </row>
    <row r="422" customHeight="1" spans="1:4">
      <c r="A422" s="6"/>
      <c r="B422" s="6"/>
      <c r="C422" s="1" t="s">
        <v>14</v>
      </c>
      <c r="D422" s="5" t="s">
        <v>322</v>
      </c>
    </row>
    <row r="423" customHeight="1" spans="1:4">
      <c r="A423" s="6"/>
      <c r="B423" s="1" t="s">
        <v>36</v>
      </c>
      <c r="C423" s="1" t="s">
        <v>14</v>
      </c>
      <c r="D423" s="5" t="s">
        <v>1554</v>
      </c>
    </row>
    <row r="424" customHeight="1" spans="1:4">
      <c r="A424" s="6"/>
      <c r="B424" s="1" t="s">
        <v>926</v>
      </c>
      <c r="C424" s="1" t="s">
        <v>147</v>
      </c>
      <c r="D424" s="5" t="s">
        <v>1554</v>
      </c>
    </row>
    <row r="425" customHeight="1" spans="1:4">
      <c r="A425" s="6"/>
      <c r="B425" s="1" t="s">
        <v>456</v>
      </c>
      <c r="C425" s="1" t="s">
        <v>147</v>
      </c>
      <c r="D425" s="5" t="s">
        <v>1554</v>
      </c>
    </row>
    <row r="426" customHeight="1" spans="1:4">
      <c r="A426" s="6"/>
      <c r="B426" s="1" t="s">
        <v>505</v>
      </c>
      <c r="C426" s="1" t="s">
        <v>14</v>
      </c>
      <c r="D426" s="5" t="s">
        <v>1554</v>
      </c>
    </row>
    <row r="427" customHeight="1" spans="1:4">
      <c r="A427" s="6"/>
      <c r="B427" s="1" t="s">
        <v>416</v>
      </c>
      <c r="C427" s="1" t="s">
        <v>147</v>
      </c>
      <c r="D427" s="5" t="s">
        <v>1554</v>
      </c>
    </row>
    <row r="428" customHeight="1" spans="1:4">
      <c r="A428" s="6"/>
      <c r="B428" s="6"/>
      <c r="C428" s="1" t="s">
        <v>14</v>
      </c>
      <c r="D428" s="5" t="s">
        <v>1549</v>
      </c>
    </row>
    <row r="429" customHeight="1" spans="1:4">
      <c r="A429" s="6"/>
      <c r="B429" s="1" t="s">
        <v>122</v>
      </c>
      <c r="C429" s="1" t="s">
        <v>14</v>
      </c>
      <c r="D429" s="5" t="s">
        <v>122</v>
      </c>
    </row>
    <row r="430" customHeight="1" spans="1:4">
      <c r="A430" s="6"/>
      <c r="B430" s="1" t="s">
        <v>213</v>
      </c>
      <c r="C430" s="1" t="s">
        <v>14</v>
      </c>
      <c r="D430" s="5" t="s">
        <v>1554</v>
      </c>
    </row>
    <row r="431" customHeight="1" spans="1:4">
      <c r="A431" s="6"/>
      <c r="B431" s="1" t="s">
        <v>1030</v>
      </c>
      <c r="C431" s="1" t="s">
        <v>147</v>
      </c>
      <c r="D431" s="5" t="s">
        <v>134</v>
      </c>
    </row>
    <row r="432" customHeight="1" spans="1:4">
      <c r="A432" s="6"/>
      <c r="B432" s="1" t="s">
        <v>891</v>
      </c>
      <c r="C432" s="1" t="s">
        <v>14</v>
      </c>
      <c r="D432" s="5" t="s">
        <v>1551</v>
      </c>
    </row>
    <row r="433" customHeight="1" spans="1:4">
      <c r="A433" s="6"/>
      <c r="B433" s="6"/>
      <c r="C433" s="1" t="s">
        <v>779</v>
      </c>
      <c r="D433" s="5" t="s">
        <v>892</v>
      </c>
    </row>
    <row r="434" customHeight="1" spans="1:4">
      <c r="A434" s="6"/>
      <c r="B434" s="1" t="s">
        <v>995</v>
      </c>
      <c r="C434" s="1" t="s">
        <v>23</v>
      </c>
      <c r="D434" s="5" t="s">
        <v>1554</v>
      </c>
    </row>
    <row r="435" customHeight="1" spans="1:4">
      <c r="A435" s="6"/>
      <c r="B435" s="1" t="s">
        <v>134</v>
      </c>
      <c r="C435" s="1" t="s">
        <v>23</v>
      </c>
      <c r="D435" s="5" t="s">
        <v>1554</v>
      </c>
    </row>
    <row r="436" customHeight="1" spans="1:4">
      <c r="A436" s="6"/>
      <c r="B436" s="1" t="s">
        <v>500</v>
      </c>
      <c r="C436" s="1" t="s">
        <v>147</v>
      </c>
      <c r="D436" s="5" t="s">
        <v>1554</v>
      </c>
    </row>
    <row r="437" customHeight="1" spans="1:4">
      <c r="A437" s="6"/>
      <c r="B437" s="1" t="s">
        <v>1301</v>
      </c>
      <c r="C437" s="1" t="s">
        <v>147</v>
      </c>
      <c r="D437" s="5" t="s">
        <v>1554</v>
      </c>
    </row>
    <row r="438" customHeight="1" spans="1:4">
      <c r="A438" s="6"/>
      <c r="B438" s="1" t="s">
        <v>1059</v>
      </c>
      <c r="C438" s="1" t="s">
        <v>14</v>
      </c>
      <c r="D438" s="5" t="s">
        <v>1554</v>
      </c>
    </row>
    <row r="439" customHeight="1" spans="1:4">
      <c r="A439" s="6"/>
      <c r="B439" s="1" t="s">
        <v>280</v>
      </c>
      <c r="C439" s="1" t="s">
        <v>23</v>
      </c>
      <c r="D439" s="5" t="s">
        <v>281</v>
      </c>
    </row>
    <row r="440" customHeight="1" spans="1:4">
      <c r="A440" s="6"/>
      <c r="B440" s="1" t="s">
        <v>339</v>
      </c>
      <c r="C440" s="1" t="s">
        <v>147</v>
      </c>
      <c r="D440" s="5" t="s">
        <v>1554</v>
      </c>
    </row>
    <row r="441" customHeight="1" spans="1:4">
      <c r="A441" s="1" t="s">
        <v>1008</v>
      </c>
      <c r="B441" s="1" t="s">
        <v>1007</v>
      </c>
      <c r="C441" s="1" t="s">
        <v>147</v>
      </c>
      <c r="D441" s="5" t="s">
        <v>1554</v>
      </c>
    </row>
    <row r="442" customHeight="1" spans="1:4">
      <c r="A442" s="6"/>
      <c r="B442" s="1" t="s">
        <v>1423</v>
      </c>
      <c r="C442" s="1" t="s">
        <v>147</v>
      </c>
      <c r="D442" s="5" t="s">
        <v>1554</v>
      </c>
    </row>
    <row r="443" customHeight="1" spans="1:4">
      <c r="A443" s="6"/>
      <c r="B443" s="1" t="s">
        <v>1393</v>
      </c>
      <c r="C443" s="1" t="s">
        <v>147</v>
      </c>
      <c r="D443" s="5" t="s">
        <v>1554</v>
      </c>
    </row>
    <row r="444" customHeight="1" spans="1:4">
      <c r="A444" s="6"/>
      <c r="B444" s="1" t="s">
        <v>1403</v>
      </c>
      <c r="C444" s="1" t="s">
        <v>147</v>
      </c>
      <c r="D444" s="5" t="s">
        <v>1554</v>
      </c>
    </row>
    <row r="445" customHeight="1" spans="1:4">
      <c r="A445" s="6"/>
      <c r="B445" s="1" t="s">
        <v>1268</v>
      </c>
      <c r="C445" s="1" t="s">
        <v>147</v>
      </c>
      <c r="D445" s="5" t="s">
        <v>1554</v>
      </c>
    </row>
    <row r="446" customHeight="1" spans="1:4">
      <c r="A446" s="1" t="s">
        <v>92</v>
      </c>
      <c r="B446" s="1" t="s">
        <v>1346</v>
      </c>
      <c r="C446" s="1" t="s">
        <v>147</v>
      </c>
      <c r="D446" s="5" t="s">
        <v>1554</v>
      </c>
    </row>
    <row r="447" customHeight="1" spans="1:4">
      <c r="A447" s="6"/>
      <c r="B447" s="1" t="s">
        <v>907</v>
      </c>
      <c r="C447" s="1" t="s">
        <v>147</v>
      </c>
      <c r="D447" s="5" t="s">
        <v>1554</v>
      </c>
    </row>
    <row r="448" customHeight="1" spans="1:4">
      <c r="A448" s="6"/>
      <c r="B448" s="1" t="s">
        <v>243</v>
      </c>
      <c r="C448" s="1" t="s">
        <v>147</v>
      </c>
      <c r="D448" s="5" t="s">
        <v>1554</v>
      </c>
    </row>
    <row r="449" customHeight="1" spans="1:4">
      <c r="A449" s="6"/>
      <c r="B449" s="1" t="s">
        <v>752</v>
      </c>
      <c r="C449" s="1" t="s">
        <v>147</v>
      </c>
      <c r="D449" s="5" t="s">
        <v>1554</v>
      </c>
    </row>
    <row r="450" customHeight="1" spans="1:4">
      <c r="A450" s="6"/>
      <c r="B450" s="1" t="s">
        <v>386</v>
      </c>
      <c r="C450" s="1" t="s">
        <v>147</v>
      </c>
      <c r="D450" s="5" t="s">
        <v>1554</v>
      </c>
    </row>
    <row r="451" customHeight="1" spans="1:4">
      <c r="A451" s="6"/>
      <c r="B451" s="1" t="s">
        <v>283</v>
      </c>
      <c r="C451" s="1" t="s">
        <v>147</v>
      </c>
      <c r="D451" s="5" t="s">
        <v>1554</v>
      </c>
    </row>
    <row r="452" customHeight="1" spans="1:4">
      <c r="A452" s="6"/>
      <c r="B452" s="1" t="s">
        <v>1052</v>
      </c>
      <c r="C452" s="1" t="s">
        <v>147</v>
      </c>
      <c r="D452" s="5" t="s">
        <v>1554</v>
      </c>
    </row>
    <row r="453" customHeight="1" spans="1:4">
      <c r="A453" s="6"/>
      <c r="B453" s="1" t="s">
        <v>515</v>
      </c>
      <c r="C453" s="1" t="s">
        <v>147</v>
      </c>
      <c r="D453" s="5" t="s">
        <v>1554</v>
      </c>
    </row>
    <row r="454" customHeight="1" spans="1:4">
      <c r="A454" s="6"/>
      <c r="B454" s="1" t="s">
        <v>849</v>
      </c>
      <c r="C454" s="1" t="s">
        <v>147</v>
      </c>
      <c r="D454" s="5" t="s">
        <v>850</v>
      </c>
    </row>
    <row r="455" customHeight="1" spans="1:4">
      <c r="A455" s="6"/>
      <c r="B455" s="1" t="s">
        <v>682</v>
      </c>
      <c r="C455" s="1" t="s">
        <v>23</v>
      </c>
      <c r="D455" s="5" t="s">
        <v>1554</v>
      </c>
    </row>
    <row r="456" customHeight="1" spans="1:4">
      <c r="A456" s="6"/>
      <c r="B456" s="1" t="s">
        <v>713</v>
      </c>
      <c r="C456" s="1" t="s">
        <v>23</v>
      </c>
      <c r="D456" s="5" t="s">
        <v>1554</v>
      </c>
    </row>
    <row r="457" customHeight="1" spans="1:4">
      <c r="A457" s="6"/>
      <c r="B457" s="1" t="s">
        <v>1209</v>
      </c>
      <c r="C457" s="1" t="s">
        <v>14</v>
      </c>
      <c r="D457" s="5" t="s">
        <v>1554</v>
      </c>
    </row>
    <row r="458" customHeight="1" spans="1:4">
      <c r="A458" s="6"/>
      <c r="B458" s="1" t="s">
        <v>439</v>
      </c>
      <c r="C458" s="1" t="s">
        <v>147</v>
      </c>
      <c r="D458" s="5" t="s">
        <v>1554</v>
      </c>
    </row>
    <row r="459" customHeight="1" spans="1:4">
      <c r="A459" s="6"/>
      <c r="B459" s="1" t="s">
        <v>850</v>
      </c>
      <c r="C459" s="1" t="s">
        <v>147</v>
      </c>
      <c r="D459" s="5" t="s">
        <v>1554</v>
      </c>
    </row>
    <row r="460" customHeight="1" spans="1:4">
      <c r="A460" s="6"/>
      <c r="B460" s="1" t="s">
        <v>561</v>
      </c>
      <c r="C460" s="1" t="s">
        <v>147</v>
      </c>
      <c r="D460" s="5" t="s">
        <v>1554</v>
      </c>
    </row>
    <row r="461" customHeight="1" spans="1:4">
      <c r="A461" s="6"/>
      <c r="B461" s="1" t="s">
        <v>715</v>
      </c>
      <c r="C461" s="1" t="s">
        <v>147</v>
      </c>
      <c r="D461" s="5" t="s">
        <v>1554</v>
      </c>
    </row>
    <row r="462" customHeight="1" spans="1:4">
      <c r="A462" s="6"/>
      <c r="B462" s="1" t="s">
        <v>1341</v>
      </c>
      <c r="C462" s="1" t="s">
        <v>147</v>
      </c>
      <c r="D462" s="5" t="s">
        <v>1554</v>
      </c>
    </row>
    <row r="463" customHeight="1" spans="1:4">
      <c r="A463" s="6"/>
      <c r="B463" s="1" t="s">
        <v>1016</v>
      </c>
      <c r="C463" s="1" t="s">
        <v>147</v>
      </c>
      <c r="D463" s="5" t="s">
        <v>1554</v>
      </c>
    </row>
    <row r="464" customHeight="1" spans="1:4">
      <c r="A464" s="6"/>
      <c r="B464" s="1" t="s">
        <v>582</v>
      </c>
      <c r="C464" s="1" t="s">
        <v>147</v>
      </c>
      <c r="D464" s="5" t="s">
        <v>1554</v>
      </c>
    </row>
    <row r="465" customHeight="1" spans="1:4">
      <c r="A465" s="6"/>
      <c r="B465" s="1" t="s">
        <v>1225</v>
      </c>
      <c r="C465" s="1" t="s">
        <v>147</v>
      </c>
      <c r="D465" s="5" t="s">
        <v>1554</v>
      </c>
    </row>
    <row r="466" customHeight="1" spans="1:4">
      <c r="A466" s="6"/>
      <c r="B466" s="1" t="s">
        <v>818</v>
      </c>
      <c r="C466" s="1" t="s">
        <v>147</v>
      </c>
      <c r="D466" s="5" t="s">
        <v>1554</v>
      </c>
    </row>
    <row r="467" customHeight="1" spans="1:4">
      <c r="A467" s="6"/>
      <c r="B467" s="1" t="s">
        <v>616</v>
      </c>
      <c r="C467" s="1" t="s">
        <v>147</v>
      </c>
      <c r="D467" s="5" t="s">
        <v>1554</v>
      </c>
    </row>
    <row r="468" customHeight="1" spans="1:4">
      <c r="A468" s="6"/>
      <c r="B468" s="1" t="s">
        <v>414</v>
      </c>
      <c r="C468" s="1" t="s">
        <v>147</v>
      </c>
      <c r="D468" s="5" t="s">
        <v>1554</v>
      </c>
    </row>
    <row r="469" customHeight="1" spans="1:4">
      <c r="A469" s="6"/>
      <c r="B469" s="1" t="s">
        <v>111</v>
      </c>
      <c r="C469" s="1" t="s">
        <v>23</v>
      </c>
      <c r="D469" s="5" t="s">
        <v>1554</v>
      </c>
    </row>
    <row r="470" customHeight="1" spans="1:4">
      <c r="A470" s="6"/>
      <c r="B470" s="1" t="s">
        <v>1386</v>
      </c>
      <c r="C470" s="1" t="s">
        <v>147</v>
      </c>
      <c r="D470" s="5" t="s">
        <v>1554</v>
      </c>
    </row>
    <row r="471" customHeight="1" spans="1:4">
      <c r="A471" s="6"/>
      <c r="B471" s="1" t="s">
        <v>348</v>
      </c>
      <c r="C471" s="1" t="s">
        <v>23</v>
      </c>
      <c r="D471" s="5" t="s">
        <v>349</v>
      </c>
    </row>
    <row r="472" customHeight="1" spans="1:4">
      <c r="A472" s="6"/>
      <c r="B472" s="1" t="s">
        <v>91</v>
      </c>
      <c r="C472" s="1" t="s">
        <v>23</v>
      </c>
      <c r="D472" s="5" t="s">
        <v>1554</v>
      </c>
    </row>
    <row r="473" customHeight="1" spans="1:4">
      <c r="A473" s="6"/>
      <c r="B473" s="1" t="s">
        <v>1216</v>
      </c>
      <c r="C473" s="1" t="s">
        <v>147</v>
      </c>
      <c r="D473" s="5" t="s">
        <v>1554</v>
      </c>
    </row>
    <row r="474" customHeight="1" spans="1:4">
      <c r="A474" s="6"/>
      <c r="B474" s="1" t="s">
        <v>819</v>
      </c>
      <c r="C474" s="1" t="s">
        <v>147</v>
      </c>
      <c r="D474" s="5" t="s">
        <v>1554</v>
      </c>
    </row>
    <row r="475" customHeight="1" spans="1:4">
      <c r="A475" s="6"/>
      <c r="B475" s="1" t="s">
        <v>644</v>
      </c>
      <c r="C475" s="1" t="s">
        <v>147</v>
      </c>
      <c r="D475" s="5" t="s">
        <v>1554</v>
      </c>
    </row>
    <row r="476" customHeight="1" spans="1:4">
      <c r="A476" s="6"/>
      <c r="B476" s="1" t="s">
        <v>248</v>
      </c>
      <c r="C476" s="1" t="s">
        <v>147</v>
      </c>
      <c r="D476" s="5" t="s">
        <v>1554</v>
      </c>
    </row>
    <row r="477" customHeight="1" spans="1:4">
      <c r="A477" s="6"/>
      <c r="B477" s="1" t="s">
        <v>1045</v>
      </c>
      <c r="C477" s="1" t="s">
        <v>147</v>
      </c>
      <c r="D477" s="5" t="s">
        <v>1554</v>
      </c>
    </row>
    <row r="478" customHeight="1" spans="1:4">
      <c r="A478" s="6"/>
      <c r="B478" s="1" t="s">
        <v>1093</v>
      </c>
      <c r="C478" s="1" t="s">
        <v>147</v>
      </c>
      <c r="D478" s="5" t="s">
        <v>1554</v>
      </c>
    </row>
    <row r="479" customHeight="1" spans="1:4">
      <c r="A479" s="6"/>
      <c r="B479" s="1" t="s">
        <v>1205</v>
      </c>
      <c r="C479" s="1" t="s">
        <v>147</v>
      </c>
      <c r="D479" s="5" t="s">
        <v>1554</v>
      </c>
    </row>
    <row r="480" customHeight="1" spans="1:4">
      <c r="A480" s="6"/>
      <c r="B480" s="1" t="s">
        <v>1538</v>
      </c>
      <c r="C480" s="1" t="s">
        <v>14</v>
      </c>
      <c r="D480" s="5" t="s">
        <v>1176</v>
      </c>
    </row>
    <row r="481" customHeight="1" spans="1:4">
      <c r="A481" s="6"/>
      <c r="B481" s="1" t="s">
        <v>1176</v>
      </c>
      <c r="C481" s="1" t="s">
        <v>147</v>
      </c>
      <c r="D481" s="5" t="s">
        <v>1554</v>
      </c>
    </row>
    <row r="482" customHeight="1" spans="1:4">
      <c r="A482" s="6"/>
      <c r="B482" s="1" t="s">
        <v>901</v>
      </c>
      <c r="C482" s="1" t="s">
        <v>147</v>
      </c>
      <c r="D482" s="5" t="s">
        <v>1554</v>
      </c>
    </row>
    <row r="483" customHeight="1" spans="1:4">
      <c r="A483" s="6"/>
      <c r="B483" s="1" t="s">
        <v>843</v>
      </c>
      <c r="C483" s="1" t="s">
        <v>147</v>
      </c>
      <c r="D483" s="5" t="s">
        <v>1554</v>
      </c>
    </row>
    <row r="484" customHeight="1" spans="1:4">
      <c r="A484" s="1" t="s">
        <v>335</v>
      </c>
      <c r="B484" s="1" t="s">
        <v>333</v>
      </c>
      <c r="C484" s="1" t="s">
        <v>14</v>
      </c>
      <c r="D484" s="5" t="s">
        <v>1554</v>
      </c>
    </row>
    <row r="485" customHeight="1" spans="1:4">
      <c r="A485" s="6"/>
      <c r="B485" s="1" t="s">
        <v>1156</v>
      </c>
      <c r="C485" s="1" t="s">
        <v>147</v>
      </c>
      <c r="D485" s="5" t="s">
        <v>1554</v>
      </c>
    </row>
    <row r="486" customHeight="1" spans="1:4">
      <c r="A486" s="1" t="s">
        <v>225</v>
      </c>
      <c r="B486" s="1" t="s">
        <v>777</v>
      </c>
      <c r="C486" s="1" t="s">
        <v>14</v>
      </c>
      <c r="D486" s="5" t="s">
        <v>1554</v>
      </c>
    </row>
    <row r="487" customHeight="1" spans="1:4">
      <c r="A487" s="6"/>
      <c r="B487" s="1" t="s">
        <v>1347</v>
      </c>
      <c r="C487" s="1" t="s">
        <v>14</v>
      </c>
      <c r="D487" s="5" t="s">
        <v>481</v>
      </c>
    </row>
    <row r="488" customHeight="1" spans="1:4">
      <c r="A488" s="6"/>
      <c r="B488" s="1" t="s">
        <v>961</v>
      </c>
      <c r="C488" s="1" t="s">
        <v>14</v>
      </c>
      <c r="D488" s="5" t="s">
        <v>1554</v>
      </c>
    </row>
    <row r="489" customHeight="1" spans="1:4">
      <c r="A489" s="6"/>
      <c r="B489" s="1" t="s">
        <v>577</v>
      </c>
      <c r="C489" s="1" t="s">
        <v>147</v>
      </c>
      <c r="D489" s="5" t="s">
        <v>1554</v>
      </c>
    </row>
    <row r="490" customHeight="1" spans="1:4">
      <c r="A490" s="6"/>
      <c r="B490" s="1" t="s">
        <v>1121</v>
      </c>
      <c r="C490" s="1" t="s">
        <v>14</v>
      </c>
      <c r="D490" s="5" t="s">
        <v>1122</v>
      </c>
    </row>
    <row r="491" customHeight="1" spans="1:4">
      <c r="A491" s="6"/>
      <c r="B491" s="1" t="s">
        <v>1088</v>
      </c>
      <c r="C491" s="1" t="s">
        <v>147</v>
      </c>
      <c r="D491" s="5" t="s">
        <v>1554</v>
      </c>
    </row>
    <row r="492" customHeight="1" spans="1:4">
      <c r="A492" s="6"/>
      <c r="B492" s="1" t="s">
        <v>1087</v>
      </c>
      <c r="C492" s="1" t="s">
        <v>147</v>
      </c>
      <c r="D492" s="5" t="s">
        <v>1554</v>
      </c>
    </row>
    <row r="493" customHeight="1" spans="1:4">
      <c r="A493" s="6"/>
      <c r="B493" s="1" t="s">
        <v>711</v>
      </c>
      <c r="C493" s="1" t="s">
        <v>147</v>
      </c>
      <c r="D493" s="5" t="s">
        <v>1554</v>
      </c>
    </row>
    <row r="494" customHeight="1" spans="1:4">
      <c r="A494" s="6"/>
      <c r="B494" s="1" t="s">
        <v>1383</v>
      </c>
      <c r="C494" s="1" t="s">
        <v>14</v>
      </c>
      <c r="D494" s="5" t="s">
        <v>1554</v>
      </c>
    </row>
    <row r="495" customHeight="1" spans="1:4">
      <c r="A495" s="6"/>
      <c r="B495" s="1" t="s">
        <v>571</v>
      </c>
      <c r="C495" s="1" t="s">
        <v>14</v>
      </c>
      <c r="D495" s="5" t="s">
        <v>1554</v>
      </c>
    </row>
    <row r="496" customHeight="1" spans="1:4">
      <c r="A496" s="6"/>
      <c r="B496" s="1" t="s">
        <v>1254</v>
      </c>
      <c r="C496" s="1" t="s">
        <v>14</v>
      </c>
      <c r="D496" s="5" t="s">
        <v>1554</v>
      </c>
    </row>
    <row r="497" customHeight="1" spans="1:4">
      <c r="A497" s="6"/>
      <c r="B497" s="1" t="s">
        <v>223</v>
      </c>
      <c r="C497" s="1" t="s">
        <v>23</v>
      </c>
      <c r="D497" s="5" t="s">
        <v>1554</v>
      </c>
    </row>
    <row r="498" customHeight="1" spans="1:4">
      <c r="A498" s="6"/>
      <c r="B498" s="1" t="s">
        <v>1390</v>
      </c>
      <c r="C498" s="1" t="s">
        <v>14</v>
      </c>
      <c r="D498" s="5" t="s">
        <v>1554</v>
      </c>
    </row>
    <row r="499" customHeight="1" spans="1:4">
      <c r="A499" s="6"/>
      <c r="B499" s="1" t="s">
        <v>963</v>
      </c>
      <c r="C499" s="1" t="s">
        <v>14</v>
      </c>
      <c r="D499" s="5" t="s">
        <v>1554</v>
      </c>
    </row>
    <row r="500" customHeight="1" spans="1:4">
      <c r="A500" s="6"/>
      <c r="B500" s="1" t="s">
        <v>1150</v>
      </c>
      <c r="C500" s="1" t="s">
        <v>147</v>
      </c>
      <c r="D500" s="5" t="s">
        <v>1554</v>
      </c>
    </row>
    <row r="501" customHeight="1" spans="1:4">
      <c r="A501" s="6"/>
      <c r="B501" s="1" t="s">
        <v>788</v>
      </c>
      <c r="C501" s="1" t="s">
        <v>147</v>
      </c>
      <c r="D501" s="5" t="s">
        <v>1554</v>
      </c>
    </row>
    <row r="502" customHeight="1" spans="1:4">
      <c r="A502" s="6"/>
      <c r="B502" s="1" t="s">
        <v>1432</v>
      </c>
      <c r="C502" s="1" t="s">
        <v>147</v>
      </c>
      <c r="D502" s="5" t="s">
        <v>1554</v>
      </c>
    </row>
    <row r="503" customHeight="1" spans="1:4">
      <c r="A503" s="1" t="s">
        <v>1175</v>
      </c>
      <c r="B503" s="1" t="s">
        <v>1174</v>
      </c>
      <c r="C503" s="1" t="s">
        <v>147</v>
      </c>
      <c r="D503" s="5" t="s">
        <v>1554</v>
      </c>
    </row>
    <row r="504" customHeight="1" spans="1:4">
      <c r="A504" s="6"/>
      <c r="B504" s="1" t="s">
        <v>1396</v>
      </c>
      <c r="C504" s="1" t="s">
        <v>147</v>
      </c>
      <c r="D504" s="5" t="s">
        <v>1554</v>
      </c>
    </row>
    <row r="505" customHeight="1" spans="1:4">
      <c r="A505" s="1" t="s">
        <v>207</v>
      </c>
      <c r="B505" s="1" t="s">
        <v>383</v>
      </c>
      <c r="C505" s="1" t="s">
        <v>23</v>
      </c>
      <c r="D505" s="5" t="s">
        <v>384</v>
      </c>
    </row>
    <row r="506" customHeight="1" spans="1:4">
      <c r="A506" s="6"/>
      <c r="B506" s="1" t="s">
        <v>519</v>
      </c>
      <c r="C506" s="1" t="s">
        <v>147</v>
      </c>
      <c r="D506" s="5" t="s">
        <v>1554</v>
      </c>
    </row>
    <row r="507" customHeight="1" spans="1:4">
      <c r="A507" s="6"/>
      <c r="B507" s="1" t="s">
        <v>730</v>
      </c>
      <c r="C507" s="1" t="s">
        <v>147</v>
      </c>
      <c r="D507" s="5" t="s">
        <v>1554</v>
      </c>
    </row>
    <row r="508" customHeight="1" spans="1:4">
      <c r="A508" s="6"/>
      <c r="B508" s="1" t="s">
        <v>1023</v>
      </c>
      <c r="C508" s="1" t="s">
        <v>147</v>
      </c>
      <c r="D508" s="5" t="s">
        <v>1554</v>
      </c>
    </row>
    <row r="509" customHeight="1" spans="1:4">
      <c r="A509" s="6"/>
      <c r="B509" s="1" t="s">
        <v>1068</v>
      </c>
      <c r="C509" s="1" t="s">
        <v>147</v>
      </c>
      <c r="D509" s="5" t="s">
        <v>1554</v>
      </c>
    </row>
    <row r="510" customHeight="1" spans="1:4">
      <c r="A510" s="6"/>
      <c r="B510" s="1" t="s">
        <v>1038</v>
      </c>
      <c r="C510" s="1" t="s">
        <v>147</v>
      </c>
      <c r="D510" s="5" t="s">
        <v>1554</v>
      </c>
    </row>
    <row r="511" customHeight="1" spans="1:4">
      <c r="A511" s="6"/>
      <c r="B511" s="1" t="s">
        <v>320</v>
      </c>
      <c r="C511" s="1" t="s">
        <v>147</v>
      </c>
      <c r="D511" s="5" t="s">
        <v>1554</v>
      </c>
    </row>
    <row r="512" customHeight="1" spans="1:4">
      <c r="A512" s="6"/>
      <c r="B512" s="1" t="s">
        <v>579</v>
      </c>
      <c r="C512" s="1" t="s">
        <v>147</v>
      </c>
      <c r="D512" s="5" t="s">
        <v>1554</v>
      </c>
    </row>
    <row r="513" customHeight="1" spans="1:4">
      <c r="A513" s="6"/>
      <c r="B513" s="1" t="s">
        <v>498</v>
      </c>
      <c r="C513" s="1" t="s">
        <v>147</v>
      </c>
      <c r="D513" s="5" t="s">
        <v>1554</v>
      </c>
    </row>
    <row r="514" customHeight="1" spans="1:4">
      <c r="A514" s="6"/>
      <c r="B514" s="1" t="s">
        <v>341</v>
      </c>
      <c r="C514" s="1" t="s">
        <v>147</v>
      </c>
      <c r="D514" s="5" t="s">
        <v>1554</v>
      </c>
    </row>
    <row r="515" customHeight="1" spans="1:4">
      <c r="A515" s="6"/>
      <c r="B515" s="1" t="s">
        <v>1191</v>
      </c>
      <c r="C515" s="1" t="s">
        <v>147</v>
      </c>
      <c r="D515" s="5" t="s">
        <v>1554</v>
      </c>
    </row>
    <row r="516" customHeight="1" spans="1:4">
      <c r="A516" s="6"/>
      <c r="B516" s="1" t="s">
        <v>845</v>
      </c>
      <c r="C516" s="1" t="s">
        <v>147</v>
      </c>
      <c r="D516" s="5" t="s">
        <v>1554</v>
      </c>
    </row>
    <row r="517" customHeight="1" spans="1:4">
      <c r="A517" s="6"/>
      <c r="B517" s="1" t="s">
        <v>784</v>
      </c>
      <c r="C517" s="1" t="s">
        <v>147</v>
      </c>
      <c r="D517" s="5" t="s">
        <v>1554</v>
      </c>
    </row>
    <row r="518" customHeight="1" spans="1:4">
      <c r="A518" s="6"/>
      <c r="B518" s="1" t="s">
        <v>1217</v>
      </c>
      <c r="C518" s="1" t="s">
        <v>147</v>
      </c>
      <c r="D518" s="5" t="s">
        <v>1554</v>
      </c>
    </row>
    <row r="519" customHeight="1" spans="1:4">
      <c r="A519" s="6"/>
      <c r="B519" s="1" t="s">
        <v>452</v>
      </c>
      <c r="C519" s="1" t="s">
        <v>147</v>
      </c>
      <c r="D519" s="5" t="s">
        <v>1554</v>
      </c>
    </row>
    <row r="520" customHeight="1" spans="1:4">
      <c r="A520" s="6"/>
      <c r="B520" s="1" t="s">
        <v>714</v>
      </c>
      <c r="C520" s="1" t="s">
        <v>147</v>
      </c>
      <c r="D520" s="5" t="s">
        <v>1554</v>
      </c>
    </row>
    <row r="521" customHeight="1" spans="1:4">
      <c r="A521" s="6"/>
      <c r="B521" s="1" t="s">
        <v>1166</v>
      </c>
      <c r="C521" s="1" t="s">
        <v>147</v>
      </c>
      <c r="D521" s="5" t="s">
        <v>1554</v>
      </c>
    </row>
    <row r="522" customHeight="1" spans="1:4">
      <c r="A522" s="6"/>
      <c r="B522" s="1" t="s">
        <v>1160</v>
      </c>
      <c r="C522" s="1" t="s">
        <v>23</v>
      </c>
      <c r="D522" s="5" t="s">
        <v>1554</v>
      </c>
    </row>
    <row r="523" customHeight="1" spans="1:4">
      <c r="A523" s="6"/>
      <c r="B523" s="1" t="s">
        <v>1385</v>
      </c>
      <c r="C523" s="1" t="s">
        <v>147</v>
      </c>
      <c r="D523" s="5" t="s">
        <v>1554</v>
      </c>
    </row>
    <row r="524" customHeight="1" spans="1:4">
      <c r="A524" s="6"/>
      <c r="B524" s="1" t="s">
        <v>1185</v>
      </c>
      <c r="C524" s="1" t="s">
        <v>23</v>
      </c>
      <c r="D524" s="5" t="s">
        <v>1186</v>
      </c>
    </row>
    <row r="525" customHeight="1" spans="1:4">
      <c r="A525" s="6"/>
      <c r="B525" s="1" t="s">
        <v>313</v>
      </c>
      <c r="C525" s="1" t="s">
        <v>147</v>
      </c>
      <c r="D525" s="5" t="s">
        <v>1554</v>
      </c>
    </row>
    <row r="526" customHeight="1" spans="1:4">
      <c r="A526" s="6"/>
      <c r="B526" s="1" t="s">
        <v>1355</v>
      </c>
      <c r="C526" s="1" t="s">
        <v>147</v>
      </c>
      <c r="D526" s="5" t="s">
        <v>1554</v>
      </c>
    </row>
    <row r="527" customHeight="1" spans="1:4">
      <c r="A527" s="6"/>
      <c r="B527" s="1" t="s">
        <v>296</v>
      </c>
      <c r="C527" s="1" t="s">
        <v>147</v>
      </c>
      <c r="D527" s="5" t="s">
        <v>1554</v>
      </c>
    </row>
    <row r="528" customHeight="1" spans="1:4">
      <c r="A528" s="6"/>
      <c r="B528" s="1" t="s">
        <v>560</v>
      </c>
      <c r="C528" s="1" t="s">
        <v>147</v>
      </c>
      <c r="D528" s="5" t="s">
        <v>1554</v>
      </c>
    </row>
    <row r="529" customHeight="1" spans="1:4">
      <c r="A529" s="6"/>
      <c r="B529" s="1" t="s">
        <v>206</v>
      </c>
      <c r="C529" s="1" t="s">
        <v>23</v>
      </c>
      <c r="D529" s="5" t="s">
        <v>1554</v>
      </c>
    </row>
    <row r="530" customHeight="1" spans="1:4">
      <c r="A530" s="6"/>
      <c r="B530" s="1" t="s">
        <v>384</v>
      </c>
      <c r="C530" s="1" t="s">
        <v>147</v>
      </c>
      <c r="D530" s="5" t="s">
        <v>383</v>
      </c>
    </row>
    <row r="531" customHeight="1" spans="1:4">
      <c r="A531" s="6"/>
      <c r="B531" s="1" t="s">
        <v>523</v>
      </c>
      <c r="C531" s="1" t="s">
        <v>147</v>
      </c>
      <c r="D531" s="5" t="s">
        <v>1554</v>
      </c>
    </row>
    <row r="532" customHeight="1" spans="1:4">
      <c r="A532" s="6"/>
      <c r="B532" s="1" t="s">
        <v>1275</v>
      </c>
      <c r="C532" s="1" t="s">
        <v>14</v>
      </c>
      <c r="D532" s="5" t="s">
        <v>1554</v>
      </c>
    </row>
    <row r="533" customHeight="1" spans="1:4">
      <c r="A533" s="6"/>
      <c r="B533" s="1" t="s">
        <v>910</v>
      </c>
      <c r="C533" s="1" t="s">
        <v>147</v>
      </c>
      <c r="D533" s="5" t="s">
        <v>1554</v>
      </c>
    </row>
    <row r="534" customHeight="1" spans="1:4">
      <c r="A534" s="6"/>
      <c r="B534" s="1" t="s">
        <v>473</v>
      </c>
      <c r="C534" s="1" t="s">
        <v>23</v>
      </c>
      <c r="D534" s="5" t="s">
        <v>1554</v>
      </c>
    </row>
    <row r="535" customHeight="1" spans="1:4">
      <c r="A535" s="6"/>
      <c r="B535" s="1" t="s">
        <v>680</v>
      </c>
      <c r="C535" s="1" t="s">
        <v>14</v>
      </c>
      <c r="D535" s="5" t="s">
        <v>1554</v>
      </c>
    </row>
    <row r="536" customHeight="1" spans="1:4">
      <c r="A536" s="6"/>
      <c r="B536" s="1" t="s">
        <v>937</v>
      </c>
      <c r="C536" s="1" t="s">
        <v>147</v>
      </c>
      <c r="D536" s="5" t="s">
        <v>1554</v>
      </c>
    </row>
    <row r="537" customHeight="1" spans="1:4">
      <c r="A537" s="6"/>
      <c r="B537" s="1" t="s">
        <v>1207</v>
      </c>
      <c r="C537" s="1" t="s">
        <v>147</v>
      </c>
      <c r="D537" s="5" t="s">
        <v>1554</v>
      </c>
    </row>
    <row r="538" customHeight="1" spans="1:4">
      <c r="A538" s="6"/>
      <c r="B538" s="1" t="s">
        <v>970</v>
      </c>
      <c r="C538" s="1" t="s">
        <v>147</v>
      </c>
      <c r="D538" s="5" t="s">
        <v>1554</v>
      </c>
    </row>
    <row r="539" customHeight="1" spans="1:4">
      <c r="A539" s="6"/>
      <c r="B539" s="1" t="s">
        <v>977</v>
      </c>
      <c r="C539" s="1" t="s">
        <v>147</v>
      </c>
      <c r="D539" s="5" t="s">
        <v>1554</v>
      </c>
    </row>
    <row r="540" customHeight="1" spans="1:4">
      <c r="A540" s="6"/>
      <c r="B540" s="1" t="s">
        <v>267</v>
      </c>
      <c r="C540" s="1" t="s">
        <v>147</v>
      </c>
      <c r="D540" s="5" t="s">
        <v>1554</v>
      </c>
    </row>
    <row r="541" customHeight="1" spans="1:4">
      <c r="A541" s="6"/>
      <c r="B541" s="1" t="s">
        <v>797</v>
      </c>
      <c r="C541" s="1" t="s">
        <v>147</v>
      </c>
      <c r="D541" s="5" t="s">
        <v>1554</v>
      </c>
    </row>
    <row r="542" customHeight="1" spans="1:4">
      <c r="A542" s="6"/>
      <c r="B542" s="1" t="s">
        <v>1190</v>
      </c>
      <c r="C542" s="1" t="s">
        <v>147</v>
      </c>
      <c r="D542" s="5" t="s">
        <v>1554</v>
      </c>
    </row>
    <row r="543" customHeight="1" spans="1:4">
      <c r="A543" s="6"/>
      <c r="B543" s="1" t="s">
        <v>931</v>
      </c>
      <c r="C543" s="1" t="s">
        <v>147</v>
      </c>
      <c r="D543" s="5" t="s">
        <v>1554</v>
      </c>
    </row>
    <row r="544" customHeight="1" spans="1:4">
      <c r="A544" s="6"/>
      <c r="B544" s="1" t="s">
        <v>557</v>
      </c>
      <c r="C544" s="1" t="s">
        <v>147</v>
      </c>
      <c r="D544" s="5" t="s">
        <v>1554</v>
      </c>
    </row>
    <row r="545" customHeight="1" spans="1:4">
      <c r="A545" s="6"/>
      <c r="B545" s="1" t="s">
        <v>542</v>
      </c>
      <c r="C545" s="1" t="s">
        <v>147</v>
      </c>
      <c r="D545" s="5" t="s">
        <v>1554</v>
      </c>
    </row>
    <row r="546" customHeight="1" spans="1:4">
      <c r="A546" s="6"/>
      <c r="B546" s="1" t="s">
        <v>980</v>
      </c>
      <c r="C546" s="1" t="s">
        <v>147</v>
      </c>
      <c r="D546" s="5" t="s">
        <v>1554</v>
      </c>
    </row>
    <row r="547" customHeight="1" spans="1:4">
      <c r="A547" s="6"/>
      <c r="B547" s="1" t="s">
        <v>403</v>
      </c>
      <c r="C547" s="1" t="s">
        <v>147</v>
      </c>
      <c r="D547" s="5" t="s">
        <v>1554</v>
      </c>
    </row>
    <row r="548" customHeight="1" spans="1:4">
      <c r="A548" s="6"/>
      <c r="B548" s="1" t="s">
        <v>974</v>
      </c>
      <c r="C548" s="1" t="s">
        <v>147</v>
      </c>
      <c r="D548" s="5" t="s">
        <v>1554</v>
      </c>
    </row>
    <row r="549" customHeight="1" spans="1:4">
      <c r="A549" s="6"/>
      <c r="B549" s="1" t="s">
        <v>982</v>
      </c>
      <c r="C549" s="1" t="s">
        <v>147</v>
      </c>
      <c r="D549" s="5" t="s">
        <v>1554</v>
      </c>
    </row>
    <row r="550" customHeight="1" spans="1:4">
      <c r="A550" s="6"/>
      <c r="B550" s="1" t="s">
        <v>525</v>
      </c>
      <c r="C550" s="1" t="s">
        <v>147</v>
      </c>
      <c r="D550" s="5" t="s">
        <v>1554</v>
      </c>
    </row>
    <row r="551" customHeight="1" spans="1:4">
      <c r="A551" s="6"/>
      <c r="B551" s="1" t="s">
        <v>1218</v>
      </c>
      <c r="C551" s="1" t="s">
        <v>147</v>
      </c>
      <c r="D551" s="5" t="s">
        <v>1554</v>
      </c>
    </row>
    <row r="552" customHeight="1" spans="1:4">
      <c r="A552" s="6"/>
      <c r="B552" s="1" t="s">
        <v>1309</v>
      </c>
      <c r="C552" s="1" t="s">
        <v>147</v>
      </c>
      <c r="D552" s="5" t="s">
        <v>1554</v>
      </c>
    </row>
    <row r="553" customHeight="1" spans="1:4">
      <c r="A553" s="6"/>
      <c r="B553" s="1" t="s">
        <v>1103</v>
      </c>
      <c r="C553" s="1" t="s">
        <v>147</v>
      </c>
      <c r="D553" s="5" t="s">
        <v>1554</v>
      </c>
    </row>
    <row r="554" customHeight="1" spans="1:4">
      <c r="A554" s="6"/>
      <c r="B554" s="1" t="s">
        <v>844</v>
      </c>
      <c r="C554" s="1" t="s">
        <v>147</v>
      </c>
      <c r="D554" s="5" t="s">
        <v>1554</v>
      </c>
    </row>
    <row r="555" customHeight="1" spans="1:4">
      <c r="A555" s="6"/>
      <c r="B555" s="1" t="s">
        <v>610</v>
      </c>
      <c r="C555" s="1" t="s">
        <v>147</v>
      </c>
      <c r="D555" s="5" t="s">
        <v>1554</v>
      </c>
    </row>
    <row r="556" customHeight="1" spans="1:4">
      <c r="A556" s="6"/>
      <c r="B556" s="1" t="s">
        <v>1109</v>
      </c>
      <c r="C556" s="1" t="s">
        <v>147</v>
      </c>
      <c r="D556" s="5" t="s">
        <v>1554</v>
      </c>
    </row>
    <row r="557" customHeight="1" spans="1:4">
      <c r="A557" s="6"/>
      <c r="B557" s="1" t="s">
        <v>623</v>
      </c>
      <c r="C557" s="1" t="s">
        <v>147</v>
      </c>
      <c r="D557" s="5" t="s">
        <v>1554</v>
      </c>
    </row>
    <row r="558" customHeight="1" spans="1:4">
      <c r="A558" s="6"/>
      <c r="B558" s="1" t="s">
        <v>657</v>
      </c>
      <c r="C558" s="1" t="s">
        <v>147</v>
      </c>
      <c r="D558" s="5" t="s">
        <v>1554</v>
      </c>
    </row>
    <row r="559" customHeight="1" spans="1:4">
      <c r="A559" s="6"/>
      <c r="B559" s="1" t="s">
        <v>939</v>
      </c>
      <c r="C559" s="1" t="s">
        <v>147</v>
      </c>
      <c r="D559" s="5" t="s">
        <v>1554</v>
      </c>
    </row>
    <row r="560" customHeight="1" spans="1:4">
      <c r="A560" s="6"/>
      <c r="B560" s="1" t="s">
        <v>1375</v>
      </c>
      <c r="C560" s="1" t="s">
        <v>147</v>
      </c>
      <c r="D560" s="5" t="s">
        <v>1554</v>
      </c>
    </row>
    <row r="561" customHeight="1" spans="1:4">
      <c r="A561" s="6"/>
      <c r="B561" s="1" t="s">
        <v>1158</v>
      </c>
      <c r="C561" s="1" t="s">
        <v>147</v>
      </c>
      <c r="D561" s="5" t="s">
        <v>1554</v>
      </c>
    </row>
    <row r="562" customHeight="1" spans="1:4">
      <c r="A562" s="6"/>
      <c r="B562" s="1" t="s">
        <v>1228</v>
      </c>
      <c r="C562" s="1" t="s">
        <v>14</v>
      </c>
      <c r="D562" s="5" t="s">
        <v>1554</v>
      </c>
    </row>
    <row r="563" customHeight="1" spans="1:4">
      <c r="A563" s="6"/>
      <c r="B563" s="1" t="s">
        <v>829</v>
      </c>
      <c r="C563" s="1" t="s">
        <v>830</v>
      </c>
      <c r="D563" s="5" t="s">
        <v>1554</v>
      </c>
    </row>
    <row r="564" customHeight="1" spans="1:4">
      <c r="A564" s="6"/>
      <c r="B564" s="1" t="s">
        <v>984</v>
      </c>
      <c r="C564" s="1" t="s">
        <v>147</v>
      </c>
      <c r="D564" s="5" t="s">
        <v>1554</v>
      </c>
    </row>
    <row r="565" customHeight="1" spans="1:4">
      <c r="A565" s="6"/>
      <c r="B565" s="1" t="s">
        <v>1036</v>
      </c>
      <c r="C565" s="1" t="s">
        <v>147</v>
      </c>
      <c r="D565" s="5" t="s">
        <v>1554</v>
      </c>
    </row>
    <row r="566" customHeight="1" spans="1:4">
      <c r="A566" s="6"/>
      <c r="B566" s="1" t="s">
        <v>761</v>
      </c>
      <c r="C566" s="1" t="s">
        <v>147</v>
      </c>
      <c r="D566" s="5" t="s">
        <v>1554</v>
      </c>
    </row>
    <row r="567" customHeight="1" spans="1:4">
      <c r="A567" s="6"/>
      <c r="B567" s="1" t="s">
        <v>1282</v>
      </c>
      <c r="C567" s="1" t="s">
        <v>14</v>
      </c>
      <c r="D567" s="5" t="s">
        <v>1554</v>
      </c>
    </row>
    <row r="568" customHeight="1" spans="1:4">
      <c r="A568" s="6"/>
      <c r="B568" s="1" t="s">
        <v>804</v>
      </c>
      <c r="C568" s="1" t="s">
        <v>147</v>
      </c>
      <c r="D568" s="5" t="s">
        <v>1554</v>
      </c>
    </row>
    <row r="569" customHeight="1" spans="1:4">
      <c r="A569" s="6"/>
      <c r="B569" s="1" t="s">
        <v>665</v>
      </c>
      <c r="C569" s="1" t="s">
        <v>147</v>
      </c>
      <c r="D569" s="5" t="s">
        <v>1554</v>
      </c>
    </row>
    <row r="570" customHeight="1" spans="1:4">
      <c r="A570" s="6"/>
      <c r="B570" s="1" t="s">
        <v>437</v>
      </c>
      <c r="C570" s="1" t="s">
        <v>147</v>
      </c>
      <c r="D570" s="5" t="s">
        <v>1554</v>
      </c>
    </row>
    <row r="571" customHeight="1" spans="1:4">
      <c r="A571" s="6"/>
      <c r="B571" s="1" t="s">
        <v>904</v>
      </c>
      <c r="C571" s="1" t="s">
        <v>147</v>
      </c>
      <c r="D571" s="5" t="s">
        <v>1554</v>
      </c>
    </row>
    <row r="572" customHeight="1" spans="1:4">
      <c r="A572" s="6"/>
      <c r="B572" s="1" t="s">
        <v>326</v>
      </c>
      <c r="C572" s="1" t="s">
        <v>23</v>
      </c>
      <c r="D572" s="5" t="s">
        <v>1554</v>
      </c>
    </row>
    <row r="573" customHeight="1" spans="1:4">
      <c r="A573" s="6"/>
      <c r="B573" s="1" t="s">
        <v>1131</v>
      </c>
      <c r="C573" s="1" t="s">
        <v>147</v>
      </c>
      <c r="D573" s="5" t="s">
        <v>1554</v>
      </c>
    </row>
    <row r="574" customHeight="1" spans="1:4">
      <c r="A574" s="6"/>
      <c r="B574" s="1" t="s">
        <v>1021</v>
      </c>
      <c r="C574" s="1" t="s">
        <v>147</v>
      </c>
      <c r="D574" s="5" t="s">
        <v>1554</v>
      </c>
    </row>
    <row r="575" customHeight="1" spans="1:4">
      <c r="A575" s="1" t="s">
        <v>82</v>
      </c>
      <c r="B575" s="1" t="s">
        <v>948</v>
      </c>
      <c r="C575" s="1" t="s">
        <v>147</v>
      </c>
      <c r="D575" s="5" t="s">
        <v>1554</v>
      </c>
    </row>
    <row r="576" customHeight="1" spans="1:4">
      <c r="A576" s="6"/>
      <c r="B576" s="1" t="s">
        <v>80</v>
      </c>
      <c r="C576" s="1" t="s">
        <v>23</v>
      </c>
      <c r="D576" s="5" t="s">
        <v>81</v>
      </c>
    </row>
    <row r="577" customHeight="1" spans="1:4">
      <c r="A577" s="6"/>
      <c r="B577" s="1" t="s">
        <v>240</v>
      </c>
      <c r="C577" s="1" t="s">
        <v>23</v>
      </c>
      <c r="D577" s="5" t="s">
        <v>1554</v>
      </c>
    </row>
    <row r="578" customHeight="1" spans="1:4">
      <c r="A578" s="6"/>
      <c r="B578" s="1" t="s">
        <v>1461</v>
      </c>
      <c r="C578" s="1" t="s">
        <v>147</v>
      </c>
      <c r="D578" s="5" t="s">
        <v>1554</v>
      </c>
    </row>
    <row r="579" customHeight="1" spans="1:4">
      <c r="A579" s="6"/>
      <c r="B579" s="1" t="s">
        <v>650</v>
      </c>
      <c r="C579" s="1" t="s">
        <v>14</v>
      </c>
      <c r="D579" s="5" t="s">
        <v>1554</v>
      </c>
    </row>
    <row r="580" customHeight="1" spans="1:4">
      <c r="A580" s="6"/>
      <c r="B580" s="1" t="s">
        <v>539</v>
      </c>
      <c r="C580" s="1" t="s">
        <v>147</v>
      </c>
      <c r="D580" s="5" t="s">
        <v>1554</v>
      </c>
    </row>
    <row r="581" customHeight="1" spans="1:4">
      <c r="A581" s="6"/>
      <c r="B581" s="1" t="s">
        <v>470</v>
      </c>
      <c r="C581" s="1" t="s">
        <v>147</v>
      </c>
      <c r="D581" s="5" t="s">
        <v>1554</v>
      </c>
    </row>
    <row r="582" customHeight="1" spans="1:4">
      <c r="A582" s="6"/>
      <c r="B582" s="1" t="s">
        <v>810</v>
      </c>
      <c r="C582" s="1" t="s">
        <v>14</v>
      </c>
      <c r="D582" s="5" t="s">
        <v>1554</v>
      </c>
    </row>
    <row r="583" customHeight="1" spans="1:4">
      <c r="A583" s="6"/>
      <c r="B583" s="1" t="s">
        <v>1164</v>
      </c>
      <c r="C583" s="1" t="s">
        <v>147</v>
      </c>
      <c r="D583" s="5" t="s">
        <v>1554</v>
      </c>
    </row>
    <row r="584" customHeight="1" spans="1:4">
      <c r="A584" s="6"/>
      <c r="B584" s="1" t="s">
        <v>1242</v>
      </c>
      <c r="C584" s="1" t="s">
        <v>147</v>
      </c>
      <c r="D584" s="5" t="s">
        <v>1554</v>
      </c>
    </row>
    <row r="585" customHeight="1" spans="1:4">
      <c r="A585" s="6"/>
      <c r="B585" s="1" t="s">
        <v>1106</v>
      </c>
      <c r="C585" s="1" t="s">
        <v>147</v>
      </c>
      <c r="D585" s="5" t="s">
        <v>1554</v>
      </c>
    </row>
    <row r="586" customHeight="1" spans="1:4">
      <c r="A586" s="6"/>
      <c r="B586" s="1" t="s">
        <v>361</v>
      </c>
      <c r="C586" s="1" t="s">
        <v>147</v>
      </c>
      <c r="D586" s="5" t="s">
        <v>1554</v>
      </c>
    </row>
    <row r="587" customHeight="1" spans="1:4">
      <c r="A587" s="6"/>
      <c r="B587" s="1" t="s">
        <v>434</v>
      </c>
      <c r="C587" s="1" t="s">
        <v>147</v>
      </c>
      <c r="D587" s="5" t="s">
        <v>1554</v>
      </c>
    </row>
    <row r="588" customHeight="1" spans="1:4">
      <c r="A588" s="6"/>
      <c r="B588" s="1" t="s">
        <v>865</v>
      </c>
      <c r="C588" s="1" t="s">
        <v>147</v>
      </c>
      <c r="D588" s="5" t="s">
        <v>1554</v>
      </c>
    </row>
    <row r="589" customHeight="1" spans="1:4">
      <c r="A589" s="6"/>
      <c r="B589" s="1" t="s">
        <v>658</v>
      </c>
      <c r="C589" s="1" t="s">
        <v>147</v>
      </c>
      <c r="D589" s="5" t="s">
        <v>1554</v>
      </c>
    </row>
    <row r="590" customHeight="1" spans="1:4">
      <c r="A590" s="6"/>
      <c r="B590" s="1" t="s">
        <v>996</v>
      </c>
      <c r="C590" s="1" t="s">
        <v>147</v>
      </c>
      <c r="D590" s="5" t="s">
        <v>1554</v>
      </c>
    </row>
    <row r="591" customHeight="1" spans="1:4">
      <c r="A591" s="6"/>
      <c r="B591" s="1" t="s">
        <v>825</v>
      </c>
      <c r="C591" s="1" t="s">
        <v>14</v>
      </c>
      <c r="D591" s="5" t="s">
        <v>1554</v>
      </c>
    </row>
    <row r="592" customHeight="1" spans="1:4">
      <c r="A592" s="6"/>
      <c r="B592" s="1" t="s">
        <v>98</v>
      </c>
      <c r="C592" s="1" t="s">
        <v>23</v>
      </c>
      <c r="D592" s="5" t="s">
        <v>1554</v>
      </c>
    </row>
    <row r="593" customHeight="1" spans="1:4">
      <c r="A593" s="6"/>
      <c r="B593" s="1" t="s">
        <v>782</v>
      </c>
      <c r="C593" s="1" t="s">
        <v>14</v>
      </c>
      <c r="D593" s="5" t="s">
        <v>1554</v>
      </c>
    </row>
    <row r="594" customHeight="1" spans="1:4">
      <c r="A594" s="6"/>
      <c r="B594" s="1" t="s">
        <v>412</v>
      </c>
      <c r="C594" s="1" t="s">
        <v>147</v>
      </c>
      <c r="D594" s="5" t="s">
        <v>1554</v>
      </c>
    </row>
    <row r="595" customHeight="1" spans="1:4">
      <c r="A595" s="6"/>
      <c r="B595" s="1" t="s">
        <v>359</v>
      </c>
      <c r="C595" s="1" t="s">
        <v>23</v>
      </c>
      <c r="D595" s="5" t="s">
        <v>1554</v>
      </c>
    </row>
    <row r="596" customHeight="1" spans="1:4">
      <c r="A596" s="6"/>
      <c r="B596" s="1" t="s">
        <v>785</v>
      </c>
      <c r="C596" s="1" t="s">
        <v>147</v>
      </c>
      <c r="D596" s="5" t="s">
        <v>1554</v>
      </c>
    </row>
    <row r="597" customHeight="1" spans="1:4">
      <c r="A597" s="6"/>
      <c r="B597" s="1" t="s">
        <v>1211</v>
      </c>
      <c r="C597" s="1" t="s">
        <v>147</v>
      </c>
      <c r="D597" s="5" t="s">
        <v>1554</v>
      </c>
    </row>
    <row r="598" customHeight="1" spans="1:4">
      <c r="A598" s="1" t="s">
        <v>269</v>
      </c>
      <c r="B598" s="1" t="s">
        <v>268</v>
      </c>
      <c r="C598" s="1" t="s">
        <v>147</v>
      </c>
      <c r="D598" s="5" t="s">
        <v>1554</v>
      </c>
    </row>
    <row r="599" customHeight="1" spans="1:4">
      <c r="A599" s="6"/>
      <c r="B599" s="1" t="s">
        <v>1367</v>
      </c>
      <c r="C599" s="1" t="s">
        <v>147</v>
      </c>
      <c r="D599" s="5" t="s">
        <v>1554</v>
      </c>
    </row>
    <row r="600" customHeight="1" spans="1:4">
      <c r="A600" s="6"/>
      <c r="B600" s="1" t="s">
        <v>532</v>
      </c>
      <c r="C600" s="1" t="s">
        <v>147</v>
      </c>
      <c r="D600" s="5" t="s">
        <v>1554</v>
      </c>
    </row>
    <row r="601" customHeight="1" spans="1:4">
      <c r="A601" s="6"/>
      <c r="B601" s="1" t="s">
        <v>1356</v>
      </c>
      <c r="C601" s="1" t="s">
        <v>147</v>
      </c>
      <c r="D601" s="5" t="s">
        <v>1554</v>
      </c>
    </row>
    <row r="602" customHeight="1" spans="1:4">
      <c r="A602" s="6"/>
      <c r="B602" s="1" t="s">
        <v>269</v>
      </c>
      <c r="C602" s="1" t="s">
        <v>779</v>
      </c>
      <c r="D602" s="5" t="s">
        <v>1554</v>
      </c>
    </row>
    <row r="603" customHeight="1" spans="1:4">
      <c r="A603" s="1" t="s">
        <v>25</v>
      </c>
      <c r="B603" s="1" t="s">
        <v>675</v>
      </c>
      <c r="C603" s="1" t="s">
        <v>147</v>
      </c>
      <c r="D603" s="5" t="s">
        <v>1554</v>
      </c>
    </row>
    <row r="604" customHeight="1" spans="1:4">
      <c r="A604" s="6"/>
      <c r="B604" s="1" t="s">
        <v>635</v>
      </c>
      <c r="C604" s="1" t="s">
        <v>147</v>
      </c>
      <c r="D604" s="5" t="s">
        <v>1554</v>
      </c>
    </row>
    <row r="605" customHeight="1" spans="1:4">
      <c r="A605" s="6"/>
      <c r="B605" s="1" t="s">
        <v>661</v>
      </c>
      <c r="C605" s="1" t="s">
        <v>147</v>
      </c>
      <c r="D605" s="5" t="s">
        <v>1554</v>
      </c>
    </row>
    <row r="606" customHeight="1" spans="1:4">
      <c r="A606" s="6"/>
      <c r="B606" s="1" t="s">
        <v>633</v>
      </c>
      <c r="C606" s="1" t="s">
        <v>147</v>
      </c>
      <c r="D606" s="5" t="s">
        <v>1554</v>
      </c>
    </row>
    <row r="607" customHeight="1" spans="1:4">
      <c r="A607" s="6"/>
      <c r="B607" s="1" t="s">
        <v>242</v>
      </c>
      <c r="C607" s="1" t="s">
        <v>147</v>
      </c>
      <c r="D607" s="5" t="s">
        <v>1554</v>
      </c>
    </row>
    <row r="608" customHeight="1" spans="1:4">
      <c r="A608" s="6"/>
      <c r="B608" s="1" t="s">
        <v>208</v>
      </c>
      <c r="C608" s="1" t="s">
        <v>23</v>
      </c>
      <c r="D608" s="5" t="s">
        <v>1554</v>
      </c>
    </row>
    <row r="609" customHeight="1" spans="1:4">
      <c r="A609" s="6"/>
      <c r="B609" s="1" t="s">
        <v>639</v>
      </c>
      <c r="C609" s="1" t="s">
        <v>147</v>
      </c>
      <c r="D609" s="5" t="s">
        <v>1554</v>
      </c>
    </row>
    <row r="610" customHeight="1" spans="1:4">
      <c r="A610" s="6"/>
      <c r="B610" s="1" t="s">
        <v>279</v>
      </c>
      <c r="C610" s="1" t="s">
        <v>147</v>
      </c>
      <c r="D610" s="5" t="s">
        <v>1554</v>
      </c>
    </row>
    <row r="611" customHeight="1" spans="1:4">
      <c r="A611" s="6"/>
      <c r="B611" s="1" t="s">
        <v>461</v>
      </c>
      <c r="C611" s="1" t="s">
        <v>147</v>
      </c>
      <c r="D611" s="5" t="s">
        <v>1554</v>
      </c>
    </row>
    <row r="612" customHeight="1" spans="1:4">
      <c r="A612" s="6"/>
      <c r="B612" s="1" t="s">
        <v>912</v>
      </c>
      <c r="C612" s="1" t="s">
        <v>147</v>
      </c>
      <c r="D612" s="5" t="s">
        <v>1554</v>
      </c>
    </row>
    <row r="613" customHeight="1" spans="1:4">
      <c r="A613" s="6"/>
      <c r="B613" s="1" t="s">
        <v>1033</v>
      </c>
      <c r="C613" s="1" t="s">
        <v>147</v>
      </c>
      <c r="D613" s="5" t="s">
        <v>1554</v>
      </c>
    </row>
    <row r="614" customHeight="1" spans="1:4">
      <c r="A614" s="6"/>
      <c r="B614" s="1" t="s">
        <v>933</v>
      </c>
      <c r="C614" s="1" t="s">
        <v>147</v>
      </c>
      <c r="D614" s="5" t="s">
        <v>1554</v>
      </c>
    </row>
    <row r="615" customHeight="1" spans="1:4">
      <c r="A615" s="6"/>
      <c r="B615" s="1" t="s">
        <v>427</v>
      </c>
      <c r="C615" s="1" t="s">
        <v>14</v>
      </c>
      <c r="D615" s="5" t="s">
        <v>1554</v>
      </c>
    </row>
    <row r="616" customHeight="1" spans="1:4">
      <c r="A616" s="6"/>
      <c r="B616" s="1" t="s">
        <v>289</v>
      </c>
      <c r="C616" s="1" t="s">
        <v>147</v>
      </c>
      <c r="D616" s="5" t="s">
        <v>1554</v>
      </c>
    </row>
    <row r="617" customHeight="1" spans="1:4">
      <c r="A617" s="6"/>
      <c r="B617" s="1" t="s">
        <v>310</v>
      </c>
      <c r="C617" s="1" t="s">
        <v>147</v>
      </c>
      <c r="D617" s="5" t="s">
        <v>1554</v>
      </c>
    </row>
    <row r="618" customHeight="1" spans="1:4">
      <c r="A618" s="6"/>
      <c r="B618" s="1" t="s">
        <v>97</v>
      </c>
      <c r="C618" s="1" t="s">
        <v>23</v>
      </c>
      <c r="D618" s="5" t="s">
        <v>1554</v>
      </c>
    </row>
    <row r="619" customHeight="1" spans="1:4">
      <c r="A619" s="6"/>
      <c r="B619" s="1" t="s">
        <v>112</v>
      </c>
      <c r="C619" s="1" t="s">
        <v>23</v>
      </c>
      <c r="D619" s="5" t="s">
        <v>1554</v>
      </c>
    </row>
    <row r="620" customHeight="1" spans="1:4">
      <c r="A620" s="6"/>
      <c r="B620" s="1" t="s">
        <v>356</v>
      </c>
      <c r="C620" s="1" t="s">
        <v>147</v>
      </c>
      <c r="D620" s="5" t="s">
        <v>1554</v>
      </c>
    </row>
    <row r="621" customHeight="1" spans="1:4">
      <c r="A621" s="6"/>
      <c r="B621" s="1" t="s">
        <v>285</v>
      </c>
      <c r="C621" s="1" t="s">
        <v>147</v>
      </c>
      <c r="D621" s="5" t="s">
        <v>1554</v>
      </c>
    </row>
    <row r="622" customHeight="1" spans="1:4">
      <c r="A622" s="6"/>
      <c r="B622" s="1" t="s">
        <v>60</v>
      </c>
      <c r="C622" s="1" t="s">
        <v>23</v>
      </c>
      <c r="D622" s="5" t="s">
        <v>1554</v>
      </c>
    </row>
    <row r="623" customHeight="1" spans="1:4">
      <c r="A623" s="6"/>
      <c r="B623" s="1" t="s">
        <v>137</v>
      </c>
      <c r="C623" s="1" t="s">
        <v>23</v>
      </c>
      <c r="D623" s="5" t="s">
        <v>1554</v>
      </c>
    </row>
    <row r="624" customHeight="1" spans="1:4">
      <c r="A624" s="6"/>
      <c r="B624" s="1" t="s">
        <v>32</v>
      </c>
      <c r="C624" s="1" t="s">
        <v>23</v>
      </c>
      <c r="D624" s="5" t="s">
        <v>1554</v>
      </c>
    </row>
    <row r="625" customHeight="1" spans="1:4">
      <c r="A625" s="6"/>
      <c r="B625" s="1" t="s">
        <v>104</v>
      </c>
      <c r="C625" s="1" t="s">
        <v>23</v>
      </c>
      <c r="D625" s="5" t="s">
        <v>1554</v>
      </c>
    </row>
    <row r="626" customHeight="1" spans="1:4">
      <c r="A626" s="6"/>
      <c r="B626" s="1" t="s">
        <v>101</v>
      </c>
      <c r="C626" s="1" t="s">
        <v>23</v>
      </c>
      <c r="D626" s="5" t="s">
        <v>1554</v>
      </c>
    </row>
    <row r="627" customHeight="1" spans="1:4">
      <c r="A627" s="6"/>
      <c r="B627" s="1" t="s">
        <v>266</v>
      </c>
      <c r="C627" s="1" t="s">
        <v>147</v>
      </c>
      <c r="D627" s="5" t="s">
        <v>1554</v>
      </c>
    </row>
    <row r="628" customHeight="1" spans="1:4">
      <c r="A628" s="6"/>
      <c r="B628" s="1" t="s">
        <v>274</v>
      </c>
      <c r="C628" s="1" t="s">
        <v>147</v>
      </c>
      <c r="D628" s="5" t="s">
        <v>1554</v>
      </c>
    </row>
    <row r="629" customHeight="1" spans="1:4">
      <c r="A629" s="6"/>
      <c r="B629" s="1" t="s">
        <v>1487</v>
      </c>
      <c r="C629" s="1" t="s">
        <v>147</v>
      </c>
      <c r="D629" s="5" t="s">
        <v>1554</v>
      </c>
    </row>
    <row r="630" customHeight="1" spans="1:4">
      <c r="A630" s="6"/>
      <c r="B630" s="1" t="s">
        <v>201</v>
      </c>
      <c r="C630" s="1" t="s">
        <v>23</v>
      </c>
      <c r="D630" s="5" t="s">
        <v>1554</v>
      </c>
    </row>
    <row r="631" customHeight="1" spans="1:4">
      <c r="A631" s="6"/>
      <c r="B631" s="1" t="s">
        <v>1489</v>
      </c>
      <c r="C631" s="1" t="s">
        <v>147</v>
      </c>
      <c r="D631" s="5" t="s">
        <v>1554</v>
      </c>
    </row>
    <row r="632" customHeight="1" spans="1:4">
      <c r="A632" s="6"/>
      <c r="B632" s="1" t="s">
        <v>85</v>
      </c>
      <c r="C632" s="1" t="s">
        <v>23</v>
      </c>
      <c r="D632" s="5" t="s">
        <v>1554</v>
      </c>
    </row>
    <row r="633" customHeight="1" spans="1:4">
      <c r="A633" s="6"/>
      <c r="B633" s="1" t="s">
        <v>78</v>
      </c>
      <c r="C633" s="1" t="s">
        <v>23</v>
      </c>
      <c r="D633" s="5" t="s">
        <v>1554</v>
      </c>
    </row>
    <row r="634" customHeight="1" spans="1:4">
      <c r="A634" s="6"/>
      <c r="B634" s="1" t="s">
        <v>95</v>
      </c>
      <c r="C634" s="1" t="s">
        <v>14</v>
      </c>
      <c r="D634" s="5" t="s">
        <v>1554</v>
      </c>
    </row>
    <row r="635" customHeight="1" spans="1:4">
      <c r="A635" s="6"/>
      <c r="B635" s="1" t="s">
        <v>150</v>
      </c>
      <c r="C635" s="1" t="s">
        <v>23</v>
      </c>
      <c r="D635" s="5" t="s">
        <v>1554</v>
      </c>
    </row>
    <row r="636" customHeight="1" spans="1:4">
      <c r="A636" s="6"/>
      <c r="B636" s="1" t="s">
        <v>271</v>
      </c>
      <c r="C636" s="1" t="s">
        <v>147</v>
      </c>
      <c r="D636" s="5" t="s">
        <v>1554</v>
      </c>
    </row>
    <row r="637" customHeight="1" spans="1:4">
      <c r="A637" s="6"/>
      <c r="B637" s="1" t="s">
        <v>492</v>
      </c>
      <c r="C637" s="1" t="s">
        <v>147</v>
      </c>
      <c r="D637" s="5" t="s">
        <v>1554</v>
      </c>
    </row>
    <row r="638" customHeight="1" spans="1:4">
      <c r="A638" s="6"/>
      <c r="B638" s="1" t="s">
        <v>48</v>
      </c>
      <c r="C638" s="1" t="s">
        <v>23</v>
      </c>
      <c r="D638" s="5" t="s">
        <v>1554</v>
      </c>
    </row>
    <row r="639" customHeight="1" spans="1:4">
      <c r="A639" s="6"/>
      <c r="B639" s="1" t="s">
        <v>22</v>
      </c>
      <c r="C639" s="1" t="s">
        <v>23</v>
      </c>
      <c r="D639" s="5" t="s">
        <v>1554</v>
      </c>
    </row>
    <row r="640" customHeight="1" spans="1:4">
      <c r="A640" s="6"/>
      <c r="B640" s="1" t="s">
        <v>180</v>
      </c>
      <c r="C640" s="1" t="s">
        <v>23</v>
      </c>
      <c r="D640" s="5" t="s">
        <v>181</v>
      </c>
    </row>
    <row r="641" customHeight="1" spans="1:4">
      <c r="A641" s="6"/>
      <c r="B641" s="1" t="s">
        <v>551</v>
      </c>
      <c r="C641" s="1" t="s">
        <v>147</v>
      </c>
      <c r="D641" s="5" t="s">
        <v>1554</v>
      </c>
    </row>
    <row r="642" customHeight="1" spans="1:4">
      <c r="A642" s="6"/>
      <c r="B642" s="1" t="s">
        <v>193</v>
      </c>
      <c r="C642" s="1" t="s">
        <v>23</v>
      </c>
      <c r="D642" s="5" t="s">
        <v>1554</v>
      </c>
    </row>
    <row r="643" customHeight="1" spans="1:4">
      <c r="A643" s="6"/>
      <c r="B643" s="1" t="s">
        <v>494</v>
      </c>
      <c r="C643" s="1" t="s">
        <v>147</v>
      </c>
      <c r="D643" s="5" t="s">
        <v>1554</v>
      </c>
    </row>
    <row r="644" customHeight="1" spans="1:4">
      <c r="A644" s="6"/>
      <c r="B644" s="1" t="s">
        <v>903</v>
      </c>
      <c r="C644" s="1" t="s">
        <v>147</v>
      </c>
      <c r="D644" s="5" t="s">
        <v>1554</v>
      </c>
    </row>
    <row r="645" customHeight="1" spans="1:4">
      <c r="A645" s="6"/>
      <c r="B645" s="1" t="s">
        <v>1491</v>
      </c>
      <c r="C645" s="1" t="s">
        <v>14</v>
      </c>
      <c r="D645" s="5" t="s">
        <v>1554</v>
      </c>
    </row>
    <row r="646" customHeight="1" spans="1:4">
      <c r="A646" s="6"/>
      <c r="B646" s="1" t="s">
        <v>231</v>
      </c>
      <c r="C646" s="1" t="s">
        <v>23</v>
      </c>
      <c r="D646" s="5" t="s">
        <v>1554</v>
      </c>
    </row>
    <row r="647" customHeight="1" spans="1:4">
      <c r="A647" s="6"/>
      <c r="B647" s="1" t="s">
        <v>1492</v>
      </c>
      <c r="C647" s="1" t="s">
        <v>147</v>
      </c>
      <c r="D647" s="5" t="s">
        <v>1554</v>
      </c>
    </row>
    <row r="648" customHeight="1" spans="1:4">
      <c r="A648" s="6"/>
      <c r="B648" s="1" t="s">
        <v>854</v>
      </c>
      <c r="C648" s="1" t="s">
        <v>147</v>
      </c>
      <c r="D648" s="5" t="s">
        <v>1554</v>
      </c>
    </row>
    <row r="649" customHeight="1" spans="1:4">
      <c r="A649" s="6"/>
      <c r="B649" s="1" t="s">
        <v>670</v>
      </c>
      <c r="C649" s="1" t="s">
        <v>147</v>
      </c>
      <c r="D649" s="5" t="s">
        <v>1554</v>
      </c>
    </row>
    <row r="650" customHeight="1" spans="1:4">
      <c r="A650" s="6"/>
      <c r="B650" s="1" t="s">
        <v>1494</v>
      </c>
      <c r="C650" s="1" t="s">
        <v>147</v>
      </c>
      <c r="D650" s="5" t="s">
        <v>1554</v>
      </c>
    </row>
    <row r="651" customHeight="1" spans="1:4">
      <c r="A651" s="6"/>
      <c r="B651" s="1" t="s">
        <v>380</v>
      </c>
      <c r="C651" s="1" t="s">
        <v>147</v>
      </c>
      <c r="D651" s="5" t="s">
        <v>1554</v>
      </c>
    </row>
    <row r="652" customHeight="1" spans="1:4">
      <c r="A652" s="6"/>
      <c r="B652" s="1" t="s">
        <v>549</v>
      </c>
      <c r="C652" s="1" t="s">
        <v>147</v>
      </c>
      <c r="D652" s="5" t="s">
        <v>1554</v>
      </c>
    </row>
    <row r="653" customHeight="1" spans="1:4">
      <c r="A653" s="6"/>
      <c r="B653" s="1" t="s">
        <v>51</v>
      </c>
      <c r="C653" s="1" t="s">
        <v>23</v>
      </c>
      <c r="D653" s="5" t="s">
        <v>1554</v>
      </c>
    </row>
    <row r="654" customHeight="1" spans="1:4">
      <c r="A654" s="6"/>
      <c r="B654" s="1" t="s">
        <v>1500</v>
      </c>
      <c r="C654" s="1" t="s">
        <v>14</v>
      </c>
      <c r="D654" s="5" t="s">
        <v>1554</v>
      </c>
    </row>
    <row r="655" customHeight="1" spans="1:4">
      <c r="A655" s="6"/>
      <c r="B655" s="1" t="s">
        <v>594</v>
      </c>
      <c r="C655" s="1" t="s">
        <v>147</v>
      </c>
      <c r="D655" s="5" t="s">
        <v>1554</v>
      </c>
    </row>
    <row r="656" customHeight="1" spans="1:4">
      <c r="A656" s="6"/>
      <c r="B656" s="1" t="s">
        <v>900</v>
      </c>
      <c r="C656" s="1" t="s">
        <v>147</v>
      </c>
      <c r="D656" s="5" t="s">
        <v>1554</v>
      </c>
    </row>
    <row r="657" customHeight="1" spans="1:4">
      <c r="A657" s="6"/>
      <c r="B657" s="1" t="s">
        <v>49</v>
      </c>
      <c r="C657" s="1" t="s">
        <v>23</v>
      </c>
      <c r="D657" s="5" t="s">
        <v>1554</v>
      </c>
    </row>
    <row r="658" customHeight="1" spans="1:4">
      <c r="A658" s="6"/>
      <c r="B658" s="1" t="s">
        <v>272</v>
      </c>
      <c r="C658" s="1" t="s">
        <v>147</v>
      </c>
      <c r="D658" s="5" t="s">
        <v>1554</v>
      </c>
    </row>
    <row r="659" customHeight="1" spans="1:4">
      <c r="A659" s="6"/>
      <c r="B659" s="1" t="s">
        <v>235</v>
      </c>
      <c r="C659" s="1" t="s">
        <v>23</v>
      </c>
      <c r="D659" s="5" t="s">
        <v>236</v>
      </c>
    </row>
    <row r="660" customHeight="1" spans="1:4">
      <c r="A660" s="6"/>
      <c r="B660" s="1" t="s">
        <v>154</v>
      </c>
      <c r="C660" s="1" t="s">
        <v>23</v>
      </c>
      <c r="D660" s="5" t="s">
        <v>155</v>
      </c>
    </row>
    <row r="661" customHeight="1" spans="1:4">
      <c r="A661" s="6"/>
      <c r="B661" s="1" t="s">
        <v>863</v>
      </c>
      <c r="C661" s="1" t="s">
        <v>147</v>
      </c>
      <c r="D661" s="5" t="s">
        <v>1554</v>
      </c>
    </row>
    <row r="662" customHeight="1" spans="1:4">
      <c r="A662" s="6"/>
      <c r="B662" s="1" t="s">
        <v>596</v>
      </c>
      <c r="C662" s="1" t="s">
        <v>147</v>
      </c>
      <c r="D662" s="5" t="s">
        <v>1554</v>
      </c>
    </row>
    <row r="663" customHeight="1" spans="1:4">
      <c r="A663" s="6"/>
      <c r="B663" s="1" t="s">
        <v>1496</v>
      </c>
      <c r="C663" s="1" t="s">
        <v>147</v>
      </c>
      <c r="D663" s="5" t="s">
        <v>1554</v>
      </c>
    </row>
    <row r="664" customHeight="1" spans="1:4">
      <c r="A664" s="6"/>
      <c r="B664" s="1" t="s">
        <v>501</v>
      </c>
      <c r="C664" s="1" t="s">
        <v>147</v>
      </c>
      <c r="D664" s="5" t="s">
        <v>1554</v>
      </c>
    </row>
    <row r="665" customHeight="1" spans="1:4">
      <c r="A665" s="6"/>
      <c r="B665" s="1" t="s">
        <v>217</v>
      </c>
      <c r="C665" s="1" t="s">
        <v>23</v>
      </c>
      <c r="D665" s="5" t="s">
        <v>218</v>
      </c>
    </row>
    <row r="666" customHeight="1" spans="1:4">
      <c r="A666" s="6"/>
      <c r="B666" s="1" t="s">
        <v>76</v>
      </c>
      <c r="C666" s="1" t="s">
        <v>23</v>
      </c>
      <c r="D666" s="5" t="s">
        <v>1554</v>
      </c>
    </row>
    <row r="667" customHeight="1" spans="1:4">
      <c r="A667" s="6"/>
      <c r="B667" s="1" t="s">
        <v>628</v>
      </c>
      <c r="C667" s="1" t="s">
        <v>147</v>
      </c>
      <c r="D667" s="5" t="s">
        <v>1554</v>
      </c>
    </row>
    <row r="668" customHeight="1" spans="1:4">
      <c r="A668" s="6"/>
      <c r="B668" s="1" t="s">
        <v>518</v>
      </c>
      <c r="C668" s="1" t="s">
        <v>147</v>
      </c>
      <c r="D668" s="5" t="s">
        <v>1554</v>
      </c>
    </row>
    <row r="669" customHeight="1" spans="1:4">
      <c r="A669" s="6"/>
      <c r="B669" s="1" t="s">
        <v>856</v>
      </c>
      <c r="C669" s="1" t="s">
        <v>147</v>
      </c>
      <c r="D669" s="5" t="s">
        <v>1554</v>
      </c>
    </row>
    <row r="670" customHeight="1" spans="1:4">
      <c r="A670" s="6"/>
      <c r="B670" s="1" t="s">
        <v>1043</v>
      </c>
      <c r="C670" s="1" t="s">
        <v>147</v>
      </c>
      <c r="D670" s="5" t="s">
        <v>1554</v>
      </c>
    </row>
    <row r="671" customHeight="1" spans="1:4">
      <c r="A671" s="6"/>
      <c r="B671" s="1" t="s">
        <v>1108</v>
      </c>
      <c r="C671" s="1" t="s">
        <v>147</v>
      </c>
      <c r="D671" s="5" t="s">
        <v>1554</v>
      </c>
    </row>
    <row r="672" customHeight="1" spans="1:4">
      <c r="A672" s="6"/>
      <c r="B672" s="1" t="s">
        <v>1281</v>
      </c>
      <c r="C672" s="1" t="s">
        <v>147</v>
      </c>
      <c r="D672" s="5" t="s">
        <v>1554</v>
      </c>
    </row>
    <row r="673" customHeight="1" spans="1:4">
      <c r="A673" s="6"/>
      <c r="B673" s="1" t="s">
        <v>686</v>
      </c>
      <c r="C673" s="1" t="s">
        <v>147</v>
      </c>
      <c r="D673" s="5" t="s">
        <v>1554</v>
      </c>
    </row>
    <row r="674" customHeight="1" spans="1:4">
      <c r="A674" s="6"/>
      <c r="B674" s="1" t="s">
        <v>808</v>
      </c>
      <c r="C674" s="1" t="s">
        <v>147</v>
      </c>
      <c r="D674" s="5" t="s">
        <v>1554</v>
      </c>
    </row>
    <row r="675" customHeight="1" spans="1:4">
      <c r="A675" s="6"/>
      <c r="B675" s="1" t="s">
        <v>593</v>
      </c>
      <c r="C675" s="1" t="s">
        <v>147</v>
      </c>
      <c r="D675" s="5" t="s">
        <v>1554</v>
      </c>
    </row>
    <row r="676" customHeight="1" spans="1:4">
      <c r="A676" s="6"/>
      <c r="B676" s="1" t="s">
        <v>1501</v>
      </c>
      <c r="C676" s="1" t="s">
        <v>147</v>
      </c>
      <c r="D676" s="5" t="s">
        <v>1554</v>
      </c>
    </row>
    <row r="677" customHeight="1" spans="1:4">
      <c r="A677" s="6"/>
      <c r="B677" s="1" t="s">
        <v>946</v>
      </c>
      <c r="C677" s="1" t="s">
        <v>147</v>
      </c>
      <c r="D677" s="5" t="s">
        <v>1554</v>
      </c>
    </row>
    <row r="678" customHeight="1" spans="1:4">
      <c r="A678" s="6"/>
      <c r="B678" s="1" t="s">
        <v>293</v>
      </c>
      <c r="C678" s="1" t="s">
        <v>147</v>
      </c>
      <c r="D678" s="5" t="s">
        <v>1554</v>
      </c>
    </row>
    <row r="679" customHeight="1" spans="1:4">
      <c r="A679" s="6"/>
      <c r="B679" s="1" t="s">
        <v>157</v>
      </c>
      <c r="C679" s="1" t="s">
        <v>23</v>
      </c>
      <c r="D679" s="5" t="s">
        <v>158</v>
      </c>
    </row>
    <row r="680" customHeight="1" spans="1:4">
      <c r="A680" s="6"/>
      <c r="B680" s="1" t="s">
        <v>914</v>
      </c>
      <c r="C680" s="1" t="s">
        <v>147</v>
      </c>
      <c r="D680" s="5" t="s">
        <v>1554</v>
      </c>
    </row>
    <row r="681" customHeight="1" spans="1:4">
      <c r="A681" s="6"/>
      <c r="B681" s="1" t="s">
        <v>1195</v>
      </c>
      <c r="C681" s="1" t="s">
        <v>147</v>
      </c>
      <c r="D681" s="5" t="s">
        <v>1554</v>
      </c>
    </row>
    <row r="682" customHeight="1" spans="1:4">
      <c r="A682" s="6"/>
      <c r="B682" s="1" t="s">
        <v>1096</v>
      </c>
      <c r="C682" s="1" t="s">
        <v>147</v>
      </c>
      <c r="D682" s="5" t="s">
        <v>1554</v>
      </c>
    </row>
    <row r="683" customHeight="1" spans="1:4">
      <c r="A683" s="6"/>
      <c r="B683" s="1" t="s">
        <v>855</v>
      </c>
      <c r="C683" s="1" t="s">
        <v>147</v>
      </c>
      <c r="D683" s="5" t="s">
        <v>1554</v>
      </c>
    </row>
    <row r="684" customHeight="1" spans="1:4">
      <c r="A684" s="6"/>
      <c r="B684" s="1" t="s">
        <v>1503</v>
      </c>
      <c r="C684" s="1" t="s">
        <v>147</v>
      </c>
      <c r="D684" s="5" t="s">
        <v>1554</v>
      </c>
    </row>
    <row r="685" customHeight="1" spans="1:4">
      <c r="A685" s="6"/>
      <c r="B685" s="1" t="s">
        <v>464</v>
      </c>
      <c r="C685" s="1" t="s">
        <v>147</v>
      </c>
      <c r="D685" s="5" t="s">
        <v>1554</v>
      </c>
    </row>
    <row r="686" customHeight="1" spans="1:4">
      <c r="A686" s="6"/>
      <c r="B686" s="1" t="s">
        <v>483</v>
      </c>
      <c r="C686" s="1" t="s">
        <v>147</v>
      </c>
      <c r="D686" s="5" t="s">
        <v>1554</v>
      </c>
    </row>
    <row r="687" customHeight="1" spans="1:4">
      <c r="A687" s="6"/>
      <c r="B687" s="1" t="s">
        <v>736</v>
      </c>
      <c r="C687" s="1" t="s">
        <v>147</v>
      </c>
      <c r="D687" s="5" t="s">
        <v>1554</v>
      </c>
    </row>
    <row r="688" customHeight="1" spans="1:4">
      <c r="A688" s="6"/>
      <c r="B688" s="1" t="s">
        <v>1498</v>
      </c>
      <c r="C688" s="1" t="s">
        <v>147</v>
      </c>
      <c r="D688" s="5" t="s">
        <v>1554</v>
      </c>
    </row>
    <row r="689" customHeight="1" spans="1:4">
      <c r="A689" s="6"/>
      <c r="B689" s="1" t="s">
        <v>673</v>
      </c>
      <c r="C689" s="1" t="s">
        <v>147</v>
      </c>
      <c r="D689" s="5" t="s">
        <v>1554</v>
      </c>
    </row>
    <row r="690" customHeight="1" spans="1:4">
      <c r="A690" s="6"/>
      <c r="B690" s="1" t="s">
        <v>1505</v>
      </c>
      <c r="C690" s="1" t="s">
        <v>147</v>
      </c>
      <c r="D690" s="5" t="s">
        <v>1554</v>
      </c>
    </row>
    <row r="691" customHeight="1" spans="1:4">
      <c r="A691" s="6"/>
      <c r="B691" s="1" t="s">
        <v>756</v>
      </c>
      <c r="C691" s="1" t="s">
        <v>147</v>
      </c>
      <c r="D691" s="5" t="s">
        <v>1554</v>
      </c>
    </row>
    <row r="692" customHeight="1" spans="1:4">
      <c r="A692" s="6"/>
      <c r="B692" s="1" t="s">
        <v>559</v>
      </c>
      <c r="C692" s="1" t="s">
        <v>147</v>
      </c>
      <c r="D692" s="5" t="s">
        <v>1554</v>
      </c>
    </row>
    <row r="693" customHeight="1" spans="1:4">
      <c r="A693" s="6"/>
      <c r="B693" s="1" t="s">
        <v>1094</v>
      </c>
      <c r="C693" s="1" t="s">
        <v>147</v>
      </c>
      <c r="D693" s="5" t="s">
        <v>1554</v>
      </c>
    </row>
    <row r="694" customHeight="1" spans="1:4">
      <c r="A694" s="6"/>
      <c r="B694" s="1" t="s">
        <v>448</v>
      </c>
      <c r="C694" s="1" t="s">
        <v>147</v>
      </c>
      <c r="D694" s="5" t="s">
        <v>1554</v>
      </c>
    </row>
    <row r="695" customHeight="1" spans="1:4">
      <c r="A695" s="6"/>
      <c r="B695" s="1" t="s">
        <v>402</v>
      </c>
      <c r="C695" s="1" t="s">
        <v>147</v>
      </c>
      <c r="D695" s="5" t="s">
        <v>1554</v>
      </c>
    </row>
    <row r="696" customHeight="1" spans="1:4">
      <c r="A696" s="6"/>
      <c r="B696" s="1" t="s">
        <v>602</v>
      </c>
      <c r="C696" s="1" t="s">
        <v>147</v>
      </c>
      <c r="D696" s="5" t="s">
        <v>1554</v>
      </c>
    </row>
    <row r="697" customHeight="1" spans="1:4">
      <c r="A697" s="6"/>
      <c r="B697" s="1" t="s">
        <v>194</v>
      </c>
      <c r="C697" s="1" t="s">
        <v>23</v>
      </c>
      <c r="D697" s="5" t="s">
        <v>1554</v>
      </c>
    </row>
    <row r="698" customHeight="1" spans="1:4">
      <c r="A698" s="6"/>
      <c r="B698" s="1" t="s">
        <v>410</v>
      </c>
      <c r="C698" s="1" t="s">
        <v>147</v>
      </c>
      <c r="D698" s="5" t="s">
        <v>1554</v>
      </c>
    </row>
    <row r="699" customHeight="1" spans="1:4">
      <c r="A699" s="6"/>
      <c r="B699" s="1" t="s">
        <v>1507</v>
      </c>
      <c r="C699" s="1" t="s">
        <v>147</v>
      </c>
      <c r="D699" s="5" t="s">
        <v>1554</v>
      </c>
    </row>
    <row r="700" customHeight="1" spans="1:4">
      <c r="A700" s="6"/>
      <c r="B700" s="1" t="s">
        <v>314</v>
      </c>
      <c r="C700" s="1" t="s">
        <v>147</v>
      </c>
      <c r="D700" s="5" t="s">
        <v>1554</v>
      </c>
    </row>
    <row r="701" customHeight="1" spans="1:4">
      <c r="A701" s="6"/>
      <c r="B701" s="1" t="s">
        <v>1509</v>
      </c>
      <c r="C701" s="1" t="s">
        <v>147</v>
      </c>
      <c r="D701" s="5" t="s">
        <v>1554</v>
      </c>
    </row>
    <row r="702" customHeight="1" spans="1:4">
      <c r="A702" s="6"/>
      <c r="B702" s="1" t="s">
        <v>488</v>
      </c>
      <c r="C702" s="1" t="s">
        <v>147</v>
      </c>
      <c r="D702" s="5" t="s">
        <v>1554</v>
      </c>
    </row>
    <row r="703" customHeight="1" spans="1:4">
      <c r="A703" s="6"/>
      <c r="B703" s="1" t="s">
        <v>394</v>
      </c>
      <c r="C703" s="1" t="s">
        <v>147</v>
      </c>
      <c r="D703" s="5" t="s">
        <v>1554</v>
      </c>
    </row>
    <row r="704" customHeight="1" spans="1:4">
      <c r="A704" s="6"/>
      <c r="B704" s="1" t="s">
        <v>484</v>
      </c>
      <c r="C704" s="1" t="s">
        <v>147</v>
      </c>
      <c r="D704" s="5" t="s">
        <v>1554</v>
      </c>
    </row>
    <row r="705" customHeight="1" spans="1:4">
      <c r="A705" s="6"/>
      <c r="B705" s="1" t="s">
        <v>69</v>
      </c>
      <c r="C705" s="1" t="s">
        <v>23</v>
      </c>
      <c r="D705" s="5" t="s">
        <v>1554</v>
      </c>
    </row>
    <row r="706" customHeight="1" spans="1:4">
      <c r="A706" s="6"/>
      <c r="B706" s="1" t="s">
        <v>65</v>
      </c>
      <c r="C706" s="1" t="s">
        <v>23</v>
      </c>
      <c r="D706" s="5" t="s">
        <v>1554</v>
      </c>
    </row>
    <row r="707" customHeight="1" spans="1:4">
      <c r="A707" s="6"/>
      <c r="B707" s="1" t="s">
        <v>664</v>
      </c>
      <c r="C707" s="1" t="s">
        <v>147</v>
      </c>
      <c r="D707" s="5" t="s">
        <v>1554</v>
      </c>
    </row>
    <row r="708" customHeight="1" spans="1:4">
      <c r="A708" s="6"/>
      <c r="B708" s="1" t="s">
        <v>411</v>
      </c>
      <c r="C708" s="1" t="s">
        <v>147</v>
      </c>
      <c r="D708" s="5" t="s">
        <v>1554</v>
      </c>
    </row>
    <row r="709" customHeight="1" spans="1:4">
      <c r="A709" s="6"/>
      <c r="B709" s="1" t="s">
        <v>1130</v>
      </c>
      <c r="C709" s="1" t="s">
        <v>147</v>
      </c>
      <c r="D709" s="5" t="s">
        <v>1554</v>
      </c>
    </row>
    <row r="710" customHeight="1" spans="1:4">
      <c r="A710" s="6"/>
      <c r="B710" s="1" t="s">
        <v>604</v>
      </c>
      <c r="C710" s="1" t="s">
        <v>147</v>
      </c>
      <c r="D710" s="5" t="s">
        <v>1554</v>
      </c>
    </row>
    <row r="711" customHeight="1" spans="1:4">
      <c r="A711" s="6"/>
      <c r="B711" s="1" t="s">
        <v>216</v>
      </c>
      <c r="C711" s="1" t="s">
        <v>23</v>
      </c>
      <c r="D711" s="5" t="s">
        <v>1554</v>
      </c>
    </row>
    <row r="712" customHeight="1" spans="1:4">
      <c r="A712" s="6"/>
      <c r="B712" s="1" t="s">
        <v>233</v>
      </c>
      <c r="C712" s="1" t="s">
        <v>23</v>
      </c>
      <c r="D712" s="5" t="s">
        <v>234</v>
      </c>
    </row>
    <row r="713" customHeight="1" spans="1:4">
      <c r="A713" s="6"/>
      <c r="B713" s="1" t="s">
        <v>237</v>
      </c>
      <c r="C713" s="1" t="s">
        <v>23</v>
      </c>
      <c r="D713" s="5" t="s">
        <v>238</v>
      </c>
    </row>
    <row r="714" customHeight="1" spans="1:4">
      <c r="A714" s="6"/>
      <c r="B714" s="1" t="s">
        <v>652</v>
      </c>
      <c r="C714" s="1" t="s">
        <v>147</v>
      </c>
      <c r="D714" s="5" t="s">
        <v>1554</v>
      </c>
    </row>
    <row r="715" customHeight="1" spans="1:4">
      <c r="A715" s="6"/>
      <c r="B715" s="1" t="s">
        <v>478</v>
      </c>
      <c r="C715" s="1" t="s">
        <v>147</v>
      </c>
      <c r="D715" s="5" t="s">
        <v>1554</v>
      </c>
    </row>
    <row r="716" customHeight="1" spans="1:4">
      <c r="A716" s="6"/>
      <c r="B716" s="1" t="s">
        <v>42</v>
      </c>
      <c r="C716" s="1" t="s">
        <v>23</v>
      </c>
      <c r="D716" s="5" t="s">
        <v>1554</v>
      </c>
    </row>
    <row r="717" customHeight="1" spans="1:4">
      <c r="A717" s="6"/>
      <c r="B717" s="1" t="s">
        <v>247</v>
      </c>
      <c r="C717" s="1" t="s">
        <v>147</v>
      </c>
      <c r="D717" s="5" t="s">
        <v>1554</v>
      </c>
    </row>
    <row r="718" customHeight="1" spans="1:4">
      <c r="A718" s="6"/>
      <c r="B718" s="1" t="s">
        <v>955</v>
      </c>
      <c r="C718" s="1" t="s">
        <v>147</v>
      </c>
      <c r="D718" s="5" t="s">
        <v>1554</v>
      </c>
    </row>
    <row r="719" customHeight="1" spans="1:4">
      <c r="A719" s="6"/>
      <c r="B719" s="1" t="s">
        <v>178</v>
      </c>
      <c r="C719" s="1" t="s">
        <v>23</v>
      </c>
      <c r="D719" s="5" t="s">
        <v>179</v>
      </c>
    </row>
    <row r="720" customHeight="1" spans="1:4">
      <c r="A720" s="6"/>
      <c r="B720" s="1" t="s">
        <v>944</v>
      </c>
      <c r="C720" s="1" t="s">
        <v>147</v>
      </c>
      <c r="D720" s="5" t="s">
        <v>1554</v>
      </c>
    </row>
    <row r="721" customHeight="1" spans="1:4">
      <c r="A721" s="6"/>
      <c r="B721" s="1" t="s">
        <v>1104</v>
      </c>
      <c r="C721" s="1" t="s">
        <v>147</v>
      </c>
      <c r="D721" s="5" t="s">
        <v>1554</v>
      </c>
    </row>
    <row r="722" customHeight="1" spans="1:4">
      <c r="A722" s="6"/>
      <c r="B722" s="1" t="s">
        <v>469</v>
      </c>
      <c r="C722" s="1" t="s">
        <v>147</v>
      </c>
      <c r="D722" s="5" t="s">
        <v>1554</v>
      </c>
    </row>
    <row r="723" customHeight="1" spans="1:4">
      <c r="A723" s="6"/>
      <c r="B723" s="1" t="s">
        <v>1022</v>
      </c>
      <c r="C723" s="1" t="s">
        <v>147</v>
      </c>
      <c r="D723" s="5" t="s">
        <v>1554</v>
      </c>
    </row>
    <row r="724" customHeight="1" spans="1:4">
      <c r="A724" s="6"/>
      <c r="B724" s="1" t="s">
        <v>1223</v>
      </c>
      <c r="C724" s="1" t="s">
        <v>147</v>
      </c>
      <c r="D724" s="5" t="s">
        <v>1554</v>
      </c>
    </row>
    <row r="725" customHeight="1" spans="1:4">
      <c r="A725" s="6"/>
      <c r="B725" s="1" t="s">
        <v>570</v>
      </c>
      <c r="C725" s="1" t="s">
        <v>147</v>
      </c>
      <c r="D725" s="5" t="s">
        <v>1554</v>
      </c>
    </row>
    <row r="726" customHeight="1" spans="1:4">
      <c r="A726" s="6"/>
      <c r="B726" s="1" t="s">
        <v>506</v>
      </c>
      <c r="C726" s="1" t="s">
        <v>147</v>
      </c>
      <c r="D726" s="5" t="s">
        <v>1554</v>
      </c>
    </row>
    <row r="727" customHeight="1" spans="1:4">
      <c r="A727" s="6"/>
      <c r="B727" s="1" t="s">
        <v>455</v>
      </c>
      <c r="C727" s="1" t="s">
        <v>147</v>
      </c>
      <c r="D727" s="5" t="s">
        <v>1554</v>
      </c>
    </row>
    <row r="728" customHeight="1" spans="1:4">
      <c r="A728" s="6"/>
      <c r="B728" s="1" t="s">
        <v>454</v>
      </c>
      <c r="C728" s="1" t="s">
        <v>147</v>
      </c>
      <c r="D728" s="5" t="s">
        <v>1554</v>
      </c>
    </row>
    <row r="729" customHeight="1" spans="1:4">
      <c r="A729" s="6"/>
      <c r="B729" s="1" t="s">
        <v>398</v>
      </c>
      <c r="C729" s="1" t="s">
        <v>147</v>
      </c>
      <c r="D729" s="5" t="s">
        <v>1554</v>
      </c>
    </row>
    <row r="730" customHeight="1" spans="1:4">
      <c r="A730" s="6"/>
      <c r="B730" s="1" t="s">
        <v>1515</v>
      </c>
      <c r="C730" s="1" t="s">
        <v>147</v>
      </c>
      <c r="D730" s="5" t="s">
        <v>1554</v>
      </c>
    </row>
    <row r="731" customHeight="1" spans="1:4">
      <c r="A731" s="6"/>
      <c r="B731" s="1" t="s">
        <v>920</v>
      </c>
      <c r="C731" s="1" t="s">
        <v>147</v>
      </c>
      <c r="D731" s="5" t="s">
        <v>1554</v>
      </c>
    </row>
    <row r="732" customHeight="1" spans="1:4">
      <c r="A732" s="6"/>
      <c r="B732" s="1" t="s">
        <v>564</v>
      </c>
      <c r="C732" s="1" t="s">
        <v>147</v>
      </c>
      <c r="D732" s="5" t="s">
        <v>1554</v>
      </c>
    </row>
    <row r="733" customHeight="1" spans="1:4">
      <c r="A733" s="6"/>
      <c r="B733" s="1" t="s">
        <v>1517</v>
      </c>
      <c r="C733" s="1" t="s">
        <v>147</v>
      </c>
      <c r="D733" s="5" t="s">
        <v>1554</v>
      </c>
    </row>
    <row r="734" customHeight="1" spans="1:4">
      <c r="A734" s="6"/>
      <c r="B734" s="1" t="s">
        <v>832</v>
      </c>
      <c r="C734" s="1" t="s">
        <v>147</v>
      </c>
      <c r="D734" s="5" t="s">
        <v>1554</v>
      </c>
    </row>
    <row r="735" customHeight="1" spans="1:4">
      <c r="A735" s="6"/>
      <c r="B735" s="1" t="s">
        <v>878</v>
      </c>
      <c r="C735" s="1" t="s">
        <v>147</v>
      </c>
      <c r="D735" s="5" t="s">
        <v>1554</v>
      </c>
    </row>
    <row r="736" customHeight="1" spans="1:4">
      <c r="A736" s="6"/>
      <c r="B736" s="1" t="s">
        <v>634</v>
      </c>
      <c r="C736" s="1" t="s">
        <v>147</v>
      </c>
      <c r="D736" s="5" t="s">
        <v>1554</v>
      </c>
    </row>
    <row r="737" customHeight="1" spans="1:4">
      <c r="A737" s="6"/>
      <c r="B737" s="1" t="s">
        <v>762</v>
      </c>
      <c r="C737" s="1" t="s">
        <v>147</v>
      </c>
      <c r="D737" s="5" t="s">
        <v>1554</v>
      </c>
    </row>
    <row r="738" customHeight="1" spans="1:4">
      <c r="A738" s="6"/>
      <c r="B738" s="1" t="s">
        <v>1519</v>
      </c>
      <c r="C738" s="1" t="s">
        <v>147</v>
      </c>
      <c r="D738" s="5" t="s">
        <v>1554</v>
      </c>
    </row>
    <row r="739" customHeight="1" spans="1:4">
      <c r="A739" s="6"/>
      <c r="B739" s="1" t="s">
        <v>649</v>
      </c>
      <c r="C739" s="1" t="s">
        <v>147</v>
      </c>
      <c r="D739" s="5" t="s">
        <v>1554</v>
      </c>
    </row>
    <row r="740" customHeight="1" spans="1:4">
      <c r="A740" s="6"/>
      <c r="B740" s="1" t="s">
        <v>932</v>
      </c>
      <c r="C740" s="1" t="s">
        <v>147</v>
      </c>
      <c r="D740" s="5" t="s">
        <v>1554</v>
      </c>
    </row>
    <row r="741" customHeight="1" spans="1:4">
      <c r="A741" s="6"/>
      <c r="B741" s="1" t="s">
        <v>735</v>
      </c>
      <c r="C741" s="1" t="s">
        <v>147</v>
      </c>
      <c r="D741" s="5" t="s">
        <v>1554</v>
      </c>
    </row>
    <row r="742" customHeight="1" spans="1:4">
      <c r="A742" s="6"/>
      <c r="B742" s="1" t="s">
        <v>917</v>
      </c>
      <c r="C742" s="1" t="s">
        <v>147</v>
      </c>
      <c r="D742" s="5" t="s">
        <v>1554</v>
      </c>
    </row>
    <row r="743" customHeight="1" spans="1:4">
      <c r="A743" s="6"/>
      <c r="B743" s="1" t="s">
        <v>919</v>
      </c>
      <c r="C743" s="1" t="s">
        <v>147</v>
      </c>
      <c r="D743" s="5" t="s">
        <v>1554</v>
      </c>
    </row>
    <row r="744" customHeight="1" spans="1:4">
      <c r="A744" s="6"/>
      <c r="B744" s="1" t="s">
        <v>884</v>
      </c>
      <c r="C744" s="1" t="s">
        <v>147</v>
      </c>
      <c r="D744" s="5" t="s">
        <v>1554</v>
      </c>
    </row>
    <row r="745" customHeight="1" spans="1:4">
      <c r="A745" s="6"/>
      <c r="B745" s="1" t="s">
        <v>569</v>
      </c>
      <c r="C745" s="1" t="s">
        <v>147</v>
      </c>
      <c r="D745" s="5" t="s">
        <v>1554</v>
      </c>
    </row>
    <row r="746" customHeight="1" spans="1:4">
      <c r="A746" s="6"/>
      <c r="B746" s="1" t="s">
        <v>834</v>
      </c>
      <c r="C746" s="1" t="s">
        <v>147</v>
      </c>
      <c r="D746" s="5" t="s">
        <v>1554</v>
      </c>
    </row>
    <row r="747" customHeight="1" spans="1:4">
      <c r="A747" s="6"/>
      <c r="B747" s="1" t="s">
        <v>607</v>
      </c>
      <c r="C747" s="1" t="s">
        <v>147</v>
      </c>
      <c r="D747" s="5" t="s">
        <v>1554</v>
      </c>
    </row>
    <row r="748" customHeight="1" spans="1:4">
      <c r="A748" s="6"/>
      <c r="B748" s="1" t="s">
        <v>883</v>
      </c>
      <c r="C748" s="1" t="s">
        <v>147</v>
      </c>
      <c r="D748" s="5" t="s">
        <v>1554</v>
      </c>
    </row>
    <row r="749" customHeight="1" spans="1:4">
      <c r="A749" s="6"/>
      <c r="B749" s="1" t="s">
        <v>1384</v>
      </c>
      <c r="C749" s="1" t="s">
        <v>147</v>
      </c>
      <c r="D749" s="5" t="s">
        <v>1554</v>
      </c>
    </row>
    <row r="750" customHeight="1" spans="1:4">
      <c r="A750" s="6"/>
      <c r="B750" s="1" t="s">
        <v>244</v>
      </c>
      <c r="C750" s="1" t="s">
        <v>147</v>
      </c>
      <c r="D750" s="5" t="s">
        <v>1554</v>
      </c>
    </row>
    <row r="751" customHeight="1" spans="1:4">
      <c r="A751" s="6"/>
      <c r="B751" s="1" t="s">
        <v>1054</v>
      </c>
      <c r="C751" s="1" t="s">
        <v>147</v>
      </c>
      <c r="D751" s="5" t="s">
        <v>1554</v>
      </c>
    </row>
    <row r="752" customHeight="1" spans="1:4">
      <c r="A752" s="6"/>
      <c r="B752" s="1" t="s">
        <v>1139</v>
      </c>
      <c r="C752" s="1" t="s">
        <v>14</v>
      </c>
      <c r="D752" s="5" t="s">
        <v>1140</v>
      </c>
    </row>
    <row r="753" customHeight="1" spans="1:4">
      <c r="A753" s="6"/>
      <c r="B753" s="1" t="s">
        <v>1001</v>
      </c>
      <c r="C753" s="1" t="s">
        <v>23</v>
      </c>
      <c r="D753" s="5" t="s">
        <v>1554</v>
      </c>
    </row>
    <row r="754" customHeight="1" spans="1:4">
      <c r="A754" s="6"/>
      <c r="B754" s="1" t="s">
        <v>342</v>
      </c>
      <c r="C754" s="1" t="s">
        <v>14</v>
      </c>
      <c r="D754" s="5" t="s">
        <v>1554</v>
      </c>
    </row>
    <row r="755" customHeight="1" spans="1:4">
      <c r="A755" s="6"/>
      <c r="B755" s="1" t="s">
        <v>476</v>
      </c>
      <c r="C755" s="1" t="s">
        <v>147</v>
      </c>
      <c r="D755" s="5" t="s">
        <v>1554</v>
      </c>
    </row>
    <row r="756" customHeight="1" spans="1:4">
      <c r="A756" s="6"/>
      <c r="B756" s="1" t="s">
        <v>355</v>
      </c>
      <c r="C756" s="1" t="s">
        <v>147</v>
      </c>
      <c r="D756" s="5" t="s">
        <v>1554</v>
      </c>
    </row>
    <row r="757" customHeight="1" spans="1:4">
      <c r="A757" s="6"/>
      <c r="B757" s="1" t="s">
        <v>495</v>
      </c>
      <c r="C757" s="1" t="s">
        <v>147</v>
      </c>
      <c r="D757" s="5" t="s">
        <v>1554</v>
      </c>
    </row>
    <row r="758" customHeight="1" spans="1:4">
      <c r="A758" s="6"/>
      <c r="B758" s="1" t="s">
        <v>769</v>
      </c>
      <c r="C758" s="1" t="s">
        <v>147</v>
      </c>
      <c r="D758" s="5" t="s">
        <v>1554</v>
      </c>
    </row>
    <row r="759" customHeight="1" spans="1:4">
      <c r="A759" s="6"/>
      <c r="B759" s="1" t="s">
        <v>881</v>
      </c>
      <c r="C759" s="1" t="s">
        <v>14</v>
      </c>
      <c r="D759" s="5" t="s">
        <v>1554</v>
      </c>
    </row>
    <row r="760" customHeight="1" spans="1:4">
      <c r="A760" s="6"/>
      <c r="B760" s="1" t="s">
        <v>768</v>
      </c>
      <c r="C760" s="1" t="s">
        <v>147</v>
      </c>
      <c r="D760" s="5" t="s">
        <v>1554</v>
      </c>
    </row>
    <row r="761" customHeight="1" spans="1:4">
      <c r="A761" s="1" t="s">
        <v>276</v>
      </c>
      <c r="B761" s="1" t="s">
        <v>1365</v>
      </c>
      <c r="C761" s="1" t="s">
        <v>147</v>
      </c>
      <c r="D761" s="5" t="s">
        <v>1554</v>
      </c>
    </row>
    <row r="762" customHeight="1" spans="1:4">
      <c r="A762" s="6"/>
      <c r="B762" s="1" t="s">
        <v>1263</v>
      </c>
      <c r="C762" s="1" t="s">
        <v>147</v>
      </c>
      <c r="D762" s="5" t="s">
        <v>1554</v>
      </c>
    </row>
    <row r="763" customHeight="1" spans="1:4">
      <c r="A763" s="6"/>
      <c r="B763" s="1" t="s">
        <v>787</v>
      </c>
      <c r="C763" s="1" t="s">
        <v>147</v>
      </c>
      <c r="D763" s="5" t="s">
        <v>1554</v>
      </c>
    </row>
    <row r="764" customHeight="1" spans="1:4">
      <c r="A764" s="6"/>
      <c r="B764" s="1" t="s">
        <v>275</v>
      </c>
      <c r="C764" s="1" t="s">
        <v>147</v>
      </c>
      <c r="D764" s="5" t="s">
        <v>1554</v>
      </c>
    </row>
    <row r="765" customHeight="1" spans="1:4">
      <c r="A765" s="1" t="s">
        <v>575</v>
      </c>
      <c r="B765" s="1" t="s">
        <v>805</v>
      </c>
      <c r="C765" s="1" t="s">
        <v>147</v>
      </c>
      <c r="D765" s="5" t="s">
        <v>1554</v>
      </c>
    </row>
    <row r="766" customHeight="1" spans="1:4">
      <c r="A766" s="6"/>
      <c r="B766" s="1" t="s">
        <v>1117</v>
      </c>
      <c r="C766" s="1" t="s">
        <v>147</v>
      </c>
      <c r="D766" s="5" t="s">
        <v>1554</v>
      </c>
    </row>
    <row r="767" customHeight="1" spans="1:4">
      <c r="A767" s="6"/>
      <c r="B767" s="1" t="s">
        <v>978</v>
      </c>
      <c r="C767" s="1" t="s">
        <v>147</v>
      </c>
      <c r="D767" s="5" t="s">
        <v>1554</v>
      </c>
    </row>
    <row r="768" customHeight="1" spans="1:4">
      <c r="A768" s="6"/>
      <c r="B768" s="1" t="s">
        <v>574</v>
      </c>
      <c r="C768" s="1" t="s">
        <v>147</v>
      </c>
      <c r="D768" s="5" t="s">
        <v>1554</v>
      </c>
    </row>
    <row r="769" customHeight="1" spans="1:4">
      <c r="A769" s="6"/>
      <c r="B769" s="1" t="s">
        <v>812</v>
      </c>
      <c r="C769" s="1" t="s">
        <v>147</v>
      </c>
      <c r="D769" s="5" t="s">
        <v>723</v>
      </c>
    </row>
    <row r="770" customHeight="1" spans="1:4">
      <c r="A770" s="6"/>
      <c r="B770" s="1" t="s">
        <v>1368</v>
      </c>
      <c r="C770" s="1" t="s">
        <v>147</v>
      </c>
      <c r="D770" s="5" t="s">
        <v>1554</v>
      </c>
    </row>
    <row r="771" customHeight="1" spans="1:4">
      <c r="A771" s="6"/>
      <c r="B771" s="1" t="s">
        <v>1435</v>
      </c>
      <c r="C771" s="1" t="s">
        <v>147</v>
      </c>
      <c r="D771" s="5" t="s">
        <v>1554</v>
      </c>
    </row>
    <row r="772" customHeight="1" spans="1:4">
      <c r="A772" s="6"/>
      <c r="B772" s="1" t="s">
        <v>1400</v>
      </c>
      <c r="C772" s="1" t="s">
        <v>147</v>
      </c>
      <c r="D772" s="5" t="s">
        <v>1554</v>
      </c>
    </row>
    <row r="773" customHeight="1" spans="1:4">
      <c r="A773" s="1" t="s">
        <v>258</v>
      </c>
      <c r="B773" s="1" t="s">
        <v>1203</v>
      </c>
      <c r="C773" s="1" t="s">
        <v>147</v>
      </c>
      <c r="D773" s="5" t="s">
        <v>1554</v>
      </c>
    </row>
    <row r="774" customHeight="1" spans="1:4">
      <c r="A774" s="6"/>
      <c r="B774" s="1" t="s">
        <v>257</v>
      </c>
      <c r="C774" s="1" t="s">
        <v>147</v>
      </c>
      <c r="D774" s="5" t="s">
        <v>1554</v>
      </c>
    </row>
    <row r="775" customHeight="1" spans="1:4">
      <c r="A775" s="6"/>
      <c r="B775" s="1" t="s">
        <v>1141</v>
      </c>
      <c r="C775" s="1" t="s">
        <v>14</v>
      </c>
      <c r="D775" s="5" t="s">
        <v>1142</v>
      </c>
    </row>
    <row r="776" customHeight="1" spans="1:4">
      <c r="A776" s="6"/>
      <c r="B776" s="1" t="s">
        <v>723</v>
      </c>
      <c r="C776" s="1" t="s">
        <v>14</v>
      </c>
      <c r="D776" s="5" t="s">
        <v>724</v>
      </c>
    </row>
    <row r="777" customHeight="1" spans="1:4">
      <c r="A777" s="6"/>
      <c r="B777" s="1" t="s">
        <v>261</v>
      </c>
      <c r="C777" s="1" t="s">
        <v>23</v>
      </c>
      <c r="D777" s="5" t="s">
        <v>262</v>
      </c>
    </row>
    <row r="778" customHeight="1" spans="1:4">
      <c r="A778" s="6"/>
      <c r="B778" s="1" t="s">
        <v>750</v>
      </c>
      <c r="C778" s="1" t="s">
        <v>147</v>
      </c>
      <c r="D778" s="5" t="s">
        <v>1554</v>
      </c>
    </row>
    <row r="779" customHeight="1" spans="1:4">
      <c r="A779" s="1" t="s">
        <v>141</v>
      </c>
      <c r="B779" s="1" t="s">
        <v>859</v>
      </c>
      <c r="C779" s="1" t="s">
        <v>147</v>
      </c>
      <c r="D779" s="5" t="s">
        <v>1554</v>
      </c>
    </row>
    <row r="780" customHeight="1" spans="1:4">
      <c r="A780" s="6"/>
      <c r="B780" s="1" t="s">
        <v>1285</v>
      </c>
      <c r="C780" s="1" t="s">
        <v>147</v>
      </c>
      <c r="D780" s="5" t="s">
        <v>1554</v>
      </c>
    </row>
    <row r="781" customHeight="1" spans="1:4">
      <c r="A781" s="6"/>
      <c r="B781" s="1" t="s">
        <v>1310</v>
      </c>
      <c r="C781" s="1" t="s">
        <v>147</v>
      </c>
      <c r="D781" s="5" t="s">
        <v>1554</v>
      </c>
    </row>
    <row r="782" customHeight="1" spans="1:4">
      <c r="A782" s="6"/>
      <c r="B782" s="1" t="s">
        <v>1114</v>
      </c>
      <c r="C782" s="1" t="s">
        <v>147</v>
      </c>
      <c r="D782" s="5" t="s">
        <v>1554</v>
      </c>
    </row>
    <row r="783" customHeight="1" spans="1:4">
      <c r="A783" s="6"/>
      <c r="B783" s="1" t="s">
        <v>1128</v>
      </c>
      <c r="C783" s="1" t="s">
        <v>147</v>
      </c>
      <c r="D783" s="5" t="s">
        <v>1554</v>
      </c>
    </row>
    <row r="784" customHeight="1" spans="1:4">
      <c r="A784" s="6"/>
      <c r="B784" s="1" t="s">
        <v>1232</v>
      </c>
      <c r="C784" s="1" t="s">
        <v>23</v>
      </c>
      <c r="D784" s="5" t="s">
        <v>1233</v>
      </c>
    </row>
    <row r="785" customHeight="1" spans="1:4">
      <c r="A785" s="6"/>
      <c r="B785" s="1" t="s">
        <v>794</v>
      </c>
      <c r="C785" s="1" t="s">
        <v>147</v>
      </c>
      <c r="D785" s="5" t="s">
        <v>795</v>
      </c>
    </row>
    <row r="786" customHeight="1" spans="1:4">
      <c r="A786" s="6"/>
      <c r="B786" s="1" t="s">
        <v>943</v>
      </c>
      <c r="C786" s="1" t="s">
        <v>147</v>
      </c>
      <c r="D786" s="5" t="s">
        <v>1554</v>
      </c>
    </row>
    <row r="787" customHeight="1" spans="1:4">
      <c r="A787" s="6"/>
      <c r="B787" s="1" t="s">
        <v>1376</v>
      </c>
      <c r="C787" s="1" t="s">
        <v>147</v>
      </c>
      <c r="D787" s="5" t="s">
        <v>1554</v>
      </c>
    </row>
    <row r="788" customHeight="1" spans="1:4">
      <c r="A788" s="6"/>
      <c r="B788" s="1" t="s">
        <v>954</v>
      </c>
      <c r="C788" s="1" t="s">
        <v>147</v>
      </c>
      <c r="D788" s="5" t="s">
        <v>1554</v>
      </c>
    </row>
    <row r="789" customHeight="1" spans="1:4">
      <c r="A789" s="6"/>
      <c r="B789" s="1" t="s">
        <v>1224</v>
      </c>
      <c r="C789" s="1" t="s">
        <v>147</v>
      </c>
      <c r="D789" s="5" t="s">
        <v>1554</v>
      </c>
    </row>
    <row r="790" customHeight="1" spans="1:4">
      <c r="A790" s="6"/>
      <c r="B790" s="1" t="s">
        <v>545</v>
      </c>
      <c r="C790" s="1" t="s">
        <v>147</v>
      </c>
      <c r="D790" s="5" t="s">
        <v>1554</v>
      </c>
    </row>
    <row r="791" customHeight="1" spans="1:4">
      <c r="A791" s="6"/>
      <c r="B791" s="1" t="s">
        <v>684</v>
      </c>
      <c r="C791" s="1" t="s">
        <v>147</v>
      </c>
      <c r="D791" s="5" t="s">
        <v>1554</v>
      </c>
    </row>
    <row r="792" customHeight="1" spans="1:4">
      <c r="A792" s="6"/>
      <c r="B792" s="1" t="s">
        <v>1115</v>
      </c>
      <c r="C792" s="1" t="s">
        <v>147</v>
      </c>
      <c r="D792" s="5" t="s">
        <v>1554</v>
      </c>
    </row>
    <row r="793" customHeight="1" spans="1:4">
      <c r="A793" s="6"/>
      <c r="B793" s="1" t="s">
        <v>1089</v>
      </c>
      <c r="C793" s="1" t="s">
        <v>147</v>
      </c>
      <c r="D793" s="5" t="s">
        <v>1554</v>
      </c>
    </row>
    <row r="794" customHeight="1" spans="1:4">
      <c r="A794" s="6"/>
      <c r="B794" s="1" t="s">
        <v>773</v>
      </c>
      <c r="C794" s="1" t="s">
        <v>147</v>
      </c>
      <c r="D794" s="5" t="s">
        <v>1554</v>
      </c>
    </row>
    <row r="795" customHeight="1" spans="1:4">
      <c r="A795" s="6"/>
      <c r="B795" s="1" t="s">
        <v>552</v>
      </c>
      <c r="C795" s="1" t="s">
        <v>147</v>
      </c>
      <c r="D795" s="5" t="s">
        <v>1554</v>
      </c>
    </row>
    <row r="796" customHeight="1" spans="1:4">
      <c r="A796" s="6"/>
      <c r="B796" s="1" t="s">
        <v>765</v>
      </c>
      <c r="C796" s="1" t="s">
        <v>147</v>
      </c>
      <c r="D796" s="5" t="s">
        <v>1554</v>
      </c>
    </row>
    <row r="797" customHeight="1" spans="1:4">
      <c r="A797" s="6"/>
      <c r="B797" s="1" t="s">
        <v>507</v>
      </c>
      <c r="C797" s="1" t="s">
        <v>147</v>
      </c>
      <c r="D797" s="5" t="s">
        <v>1554</v>
      </c>
    </row>
    <row r="798" customHeight="1" spans="1:4">
      <c r="A798" s="6"/>
      <c r="B798" s="1" t="s">
        <v>1304</v>
      </c>
      <c r="C798" s="1" t="s">
        <v>14</v>
      </c>
      <c r="D798" s="5" t="s">
        <v>1554</v>
      </c>
    </row>
    <row r="799" customHeight="1" spans="1:4">
      <c r="A799" s="6"/>
      <c r="B799" s="1" t="s">
        <v>1412</v>
      </c>
      <c r="C799" s="1" t="s">
        <v>14</v>
      </c>
      <c r="D799" s="5" t="s">
        <v>1554</v>
      </c>
    </row>
    <row r="800" customHeight="1" spans="1:4">
      <c r="A800" s="6"/>
      <c r="B800" s="1" t="s">
        <v>971</v>
      </c>
      <c r="C800" s="1" t="s">
        <v>14</v>
      </c>
      <c r="D800" s="5" t="s">
        <v>972</v>
      </c>
    </row>
    <row r="801" customHeight="1" spans="1:4">
      <c r="A801" s="6"/>
      <c r="B801" s="1" t="s">
        <v>1151</v>
      </c>
      <c r="C801" s="1" t="s">
        <v>147</v>
      </c>
      <c r="D801" s="5" t="s">
        <v>1554</v>
      </c>
    </row>
    <row r="802" customHeight="1" spans="1:4">
      <c r="A802" s="6"/>
      <c r="B802" s="1" t="s">
        <v>1289</v>
      </c>
      <c r="C802" s="1" t="s">
        <v>14</v>
      </c>
      <c r="D802" s="5" t="s">
        <v>1290</v>
      </c>
    </row>
    <row r="803" customHeight="1" spans="1:4">
      <c r="A803" s="6"/>
      <c r="B803" s="1" t="s">
        <v>1296</v>
      </c>
      <c r="C803" s="1" t="s">
        <v>830</v>
      </c>
      <c r="D803" s="5" t="s">
        <v>1554</v>
      </c>
    </row>
    <row r="804" customHeight="1" spans="1:4">
      <c r="A804" s="6"/>
      <c r="B804" s="1" t="s">
        <v>1024</v>
      </c>
      <c r="C804" s="1" t="s">
        <v>147</v>
      </c>
      <c r="D804" s="5" t="s">
        <v>1554</v>
      </c>
    </row>
    <row r="805" customHeight="1" spans="1:4">
      <c r="A805" s="6"/>
      <c r="B805" s="1" t="s">
        <v>1339</v>
      </c>
      <c r="C805" s="1" t="s">
        <v>14</v>
      </c>
      <c r="D805" s="5" t="s">
        <v>1554</v>
      </c>
    </row>
    <row r="806" customHeight="1" spans="1:4">
      <c r="A806" s="6"/>
      <c r="B806" s="1" t="s">
        <v>1475</v>
      </c>
      <c r="C806" s="1" t="s">
        <v>147</v>
      </c>
      <c r="D806" s="5" t="s">
        <v>1554</v>
      </c>
    </row>
    <row r="807" customHeight="1" spans="1:4">
      <c r="A807" s="6"/>
      <c r="B807" s="1" t="s">
        <v>1270</v>
      </c>
      <c r="C807" s="1" t="s">
        <v>147</v>
      </c>
      <c r="D807" s="5" t="s">
        <v>1554</v>
      </c>
    </row>
    <row r="808" customHeight="1" spans="1:4">
      <c r="A808" s="6"/>
      <c r="B808" s="1" t="s">
        <v>1132</v>
      </c>
      <c r="C808" s="1" t="s">
        <v>147</v>
      </c>
      <c r="D808" s="5" t="s">
        <v>1554</v>
      </c>
    </row>
    <row r="809" customHeight="1" spans="1:4">
      <c r="A809" s="6"/>
      <c r="B809" s="1" t="s">
        <v>988</v>
      </c>
      <c r="C809" s="1" t="s">
        <v>14</v>
      </c>
      <c r="D809" s="5" t="s">
        <v>1554</v>
      </c>
    </row>
    <row r="810" customHeight="1" spans="1:4">
      <c r="A810" s="6"/>
      <c r="B810" s="1" t="s">
        <v>911</v>
      </c>
      <c r="C810" s="1" t="s">
        <v>147</v>
      </c>
      <c r="D810" s="5" t="s">
        <v>1554</v>
      </c>
    </row>
    <row r="811" customHeight="1" spans="1:4">
      <c r="A811" s="6"/>
      <c r="B811" s="1" t="s">
        <v>1527</v>
      </c>
      <c r="C811" s="1" t="s">
        <v>147</v>
      </c>
      <c r="D811" s="5" t="s">
        <v>1554</v>
      </c>
    </row>
    <row r="812" customHeight="1" spans="1:4">
      <c r="A812" s="6"/>
      <c r="B812" s="1" t="s">
        <v>140</v>
      </c>
      <c r="C812" s="1" t="s">
        <v>23</v>
      </c>
      <c r="D812" s="5" t="s">
        <v>1554</v>
      </c>
    </row>
    <row r="813" customHeight="1" spans="1:4">
      <c r="A813" s="6"/>
      <c r="B813" s="1" t="s">
        <v>297</v>
      </c>
      <c r="C813" s="1" t="s">
        <v>23</v>
      </c>
      <c r="D813" s="5" t="s">
        <v>1554</v>
      </c>
    </row>
    <row r="814" customHeight="1" spans="1:4">
      <c r="A814" s="1" t="s">
        <v>144</v>
      </c>
      <c r="B814" s="1" t="s">
        <v>1284</v>
      </c>
      <c r="C814" s="1" t="s">
        <v>147</v>
      </c>
      <c r="D814" s="5" t="s">
        <v>1554</v>
      </c>
    </row>
    <row r="815" customHeight="1" spans="1:4">
      <c r="A815" s="6"/>
      <c r="B815" s="1" t="s">
        <v>1382</v>
      </c>
      <c r="C815" s="1" t="s">
        <v>147</v>
      </c>
      <c r="D815" s="5" t="s">
        <v>1554</v>
      </c>
    </row>
    <row r="816" customHeight="1" spans="1:4">
      <c r="A816" s="6"/>
      <c r="B816" s="1" t="s">
        <v>1220</v>
      </c>
      <c r="C816" s="1" t="s">
        <v>147</v>
      </c>
      <c r="D816" s="5" t="s">
        <v>1554</v>
      </c>
    </row>
    <row r="817" customHeight="1" spans="1:4">
      <c r="A817" s="6"/>
      <c r="B817" s="1" t="s">
        <v>1086</v>
      </c>
      <c r="C817" s="1" t="s">
        <v>147</v>
      </c>
      <c r="D817" s="5" t="s">
        <v>1554</v>
      </c>
    </row>
    <row r="818" customHeight="1" spans="1:4">
      <c r="A818" s="6"/>
      <c r="B818" s="1" t="s">
        <v>1046</v>
      </c>
      <c r="C818" s="1" t="s">
        <v>147</v>
      </c>
      <c r="D818" s="5" t="s">
        <v>1554</v>
      </c>
    </row>
    <row r="819" customHeight="1" spans="1:4">
      <c r="A819" s="6"/>
      <c r="B819" s="1" t="s">
        <v>1170</v>
      </c>
      <c r="C819" s="1" t="s">
        <v>147</v>
      </c>
      <c r="D819" s="5" t="s">
        <v>1554</v>
      </c>
    </row>
    <row r="820" customHeight="1" spans="1:4">
      <c r="A820" s="6"/>
      <c r="B820" s="1" t="s">
        <v>1308</v>
      </c>
      <c r="C820" s="1" t="s">
        <v>147</v>
      </c>
      <c r="D820" s="5" t="s">
        <v>1554</v>
      </c>
    </row>
    <row r="821" customHeight="1" spans="1:4">
      <c r="A821" s="6"/>
      <c r="B821" s="1" t="s">
        <v>1230</v>
      </c>
      <c r="C821" s="1" t="s">
        <v>147</v>
      </c>
      <c r="D821" s="5" t="s">
        <v>1554</v>
      </c>
    </row>
    <row r="822" customHeight="1" spans="1:4">
      <c r="A822" s="6"/>
      <c r="B822" s="1" t="s">
        <v>1241</v>
      </c>
      <c r="C822" s="1" t="s">
        <v>147</v>
      </c>
      <c r="D822" s="5" t="s">
        <v>1554</v>
      </c>
    </row>
    <row r="823" customHeight="1" spans="1:4">
      <c r="A823" s="6"/>
      <c r="B823" s="1" t="s">
        <v>1338</v>
      </c>
      <c r="C823" s="1" t="s">
        <v>147</v>
      </c>
      <c r="D823" s="5" t="s">
        <v>1554</v>
      </c>
    </row>
    <row r="824" customHeight="1" spans="1:4">
      <c r="A824" s="6"/>
      <c r="B824" s="1" t="s">
        <v>1293</v>
      </c>
      <c r="C824" s="1" t="s">
        <v>147</v>
      </c>
      <c r="D824" s="5" t="s">
        <v>1554</v>
      </c>
    </row>
    <row r="825" customHeight="1" spans="1:4">
      <c r="A825" s="6"/>
      <c r="B825" s="1" t="s">
        <v>487</v>
      </c>
      <c r="C825" s="1" t="s">
        <v>147</v>
      </c>
      <c r="D825" s="5" t="s">
        <v>1554</v>
      </c>
    </row>
    <row r="826" customHeight="1" spans="1:4">
      <c r="A826" s="6"/>
      <c r="B826" s="1" t="s">
        <v>1266</v>
      </c>
      <c r="C826" s="1" t="s">
        <v>147</v>
      </c>
      <c r="D826" s="5" t="s">
        <v>1554</v>
      </c>
    </row>
    <row r="827" customHeight="1" spans="1:4">
      <c r="A827" s="6"/>
      <c r="B827" s="1" t="s">
        <v>1153</v>
      </c>
      <c r="C827" s="1" t="s">
        <v>147</v>
      </c>
      <c r="D827" s="5" t="s">
        <v>1554</v>
      </c>
    </row>
    <row r="828" customHeight="1" spans="1:4">
      <c r="A828" s="6"/>
      <c r="B828" s="1" t="s">
        <v>1177</v>
      </c>
      <c r="C828" s="1" t="s">
        <v>147</v>
      </c>
      <c r="D828" s="5" t="s">
        <v>1554</v>
      </c>
    </row>
    <row r="829" customHeight="1" spans="1:4">
      <c r="A829" s="6"/>
      <c r="B829" s="1" t="s">
        <v>1316</v>
      </c>
      <c r="C829" s="1" t="s">
        <v>147</v>
      </c>
      <c r="D829" s="5" t="s">
        <v>1554</v>
      </c>
    </row>
    <row r="830" customHeight="1" spans="1:4">
      <c r="A830" s="6"/>
      <c r="B830" s="1" t="s">
        <v>1136</v>
      </c>
      <c r="C830" s="1" t="s">
        <v>147</v>
      </c>
      <c r="D830" s="5" t="s">
        <v>1554</v>
      </c>
    </row>
    <row r="831" customHeight="1" spans="1:4">
      <c r="A831" s="6"/>
      <c r="B831" s="1" t="s">
        <v>1325</v>
      </c>
      <c r="C831" s="1" t="s">
        <v>147</v>
      </c>
      <c r="D831" s="5" t="s">
        <v>1554</v>
      </c>
    </row>
    <row r="832" customHeight="1" spans="1:4">
      <c r="A832" s="6"/>
      <c r="B832" s="1" t="s">
        <v>1110</v>
      </c>
      <c r="C832" s="1" t="s">
        <v>147</v>
      </c>
      <c r="D832" s="5" t="s">
        <v>1554</v>
      </c>
    </row>
    <row r="833" customHeight="1" spans="1:4">
      <c r="A833" s="6"/>
      <c r="B833" s="1" t="s">
        <v>290</v>
      </c>
      <c r="C833" s="1" t="s">
        <v>147</v>
      </c>
      <c r="D833" s="5" t="s">
        <v>1554</v>
      </c>
    </row>
    <row r="834" customHeight="1" spans="1:4">
      <c r="A834" s="6"/>
      <c r="B834" s="1" t="s">
        <v>611</v>
      </c>
      <c r="C834" s="1" t="s">
        <v>147</v>
      </c>
      <c r="D834" s="5" t="s">
        <v>1554</v>
      </c>
    </row>
    <row r="835" customHeight="1" spans="1:4">
      <c r="A835" s="6"/>
      <c r="B835" s="1" t="s">
        <v>565</v>
      </c>
      <c r="C835" s="1" t="s">
        <v>147</v>
      </c>
      <c r="D835" s="5" t="s">
        <v>1554</v>
      </c>
    </row>
    <row r="836" customHeight="1" spans="1:4">
      <c r="A836" s="6"/>
      <c r="B836" s="1" t="s">
        <v>1077</v>
      </c>
      <c r="C836" s="1" t="s">
        <v>147</v>
      </c>
      <c r="D836" s="5" t="s">
        <v>1554</v>
      </c>
    </row>
    <row r="837" customHeight="1" spans="1:4">
      <c r="A837" s="6"/>
      <c r="B837" s="1" t="s">
        <v>1095</v>
      </c>
      <c r="C837" s="1" t="s">
        <v>147</v>
      </c>
      <c r="D837" s="5" t="s">
        <v>1554</v>
      </c>
    </row>
    <row r="838" customHeight="1" spans="1:4">
      <c r="A838" s="6"/>
      <c r="B838" s="1" t="s">
        <v>872</v>
      </c>
      <c r="C838" s="1" t="s">
        <v>147</v>
      </c>
      <c r="D838" s="5" t="s">
        <v>1554</v>
      </c>
    </row>
    <row r="839" customHeight="1" spans="1:4">
      <c r="A839" s="6"/>
      <c r="B839" s="1" t="s">
        <v>1329</v>
      </c>
      <c r="C839" s="1" t="s">
        <v>147</v>
      </c>
      <c r="D839" s="5" t="s">
        <v>1554</v>
      </c>
    </row>
    <row r="840" customHeight="1" spans="1:4">
      <c r="A840" s="6"/>
      <c r="B840" s="1" t="s">
        <v>1032</v>
      </c>
      <c r="C840" s="1" t="s">
        <v>147</v>
      </c>
      <c r="D840" s="5" t="s">
        <v>1554</v>
      </c>
    </row>
    <row r="841" customHeight="1" spans="1:4">
      <c r="A841" s="6"/>
      <c r="B841" s="1" t="s">
        <v>1172</v>
      </c>
      <c r="C841" s="1" t="s">
        <v>147</v>
      </c>
      <c r="D841" s="5" t="s">
        <v>1554</v>
      </c>
    </row>
    <row r="842" customHeight="1" spans="1:4">
      <c r="A842" s="6"/>
      <c r="B842" s="1" t="s">
        <v>1362</v>
      </c>
      <c r="C842" s="1" t="s">
        <v>147</v>
      </c>
      <c r="D842" s="5" t="s">
        <v>1554</v>
      </c>
    </row>
    <row r="843" customHeight="1" spans="1:4">
      <c r="A843" s="6"/>
      <c r="B843" s="1" t="s">
        <v>509</v>
      </c>
      <c r="C843" s="1" t="s">
        <v>14</v>
      </c>
      <c r="D843" s="5" t="s">
        <v>510</v>
      </c>
    </row>
    <row r="844" customHeight="1" spans="1:4">
      <c r="A844" s="6"/>
      <c r="B844" s="1" t="s">
        <v>1473</v>
      </c>
      <c r="C844" s="1" t="s">
        <v>147</v>
      </c>
      <c r="D844" s="5" t="s">
        <v>1554</v>
      </c>
    </row>
    <row r="845" customHeight="1" spans="1:4">
      <c r="A845" s="6"/>
      <c r="B845" s="1" t="s">
        <v>534</v>
      </c>
      <c r="C845" s="1" t="s">
        <v>147</v>
      </c>
      <c r="D845" s="5" t="s">
        <v>1554</v>
      </c>
    </row>
    <row r="846" customHeight="1" spans="1:4">
      <c r="A846" s="6"/>
      <c r="B846" s="1" t="s">
        <v>143</v>
      </c>
      <c r="C846" s="1" t="s">
        <v>23</v>
      </c>
      <c r="D846" s="5" t="s">
        <v>1554</v>
      </c>
    </row>
    <row r="847" customHeight="1" spans="1:4">
      <c r="A847" s="6"/>
      <c r="B847" s="1" t="s">
        <v>1332</v>
      </c>
      <c r="C847" s="1" t="s">
        <v>147</v>
      </c>
      <c r="D847" s="5" t="s">
        <v>1554</v>
      </c>
    </row>
    <row r="848" customHeight="1" spans="1:4">
      <c r="A848" s="6"/>
      <c r="B848" s="1" t="s">
        <v>1363</v>
      </c>
      <c r="C848" s="1" t="s">
        <v>147</v>
      </c>
      <c r="D848" s="5" t="s">
        <v>1554</v>
      </c>
    </row>
    <row r="849" customHeight="1" spans="1:4">
      <c r="A849" s="6"/>
      <c r="B849" s="1" t="s">
        <v>936</v>
      </c>
      <c r="C849" s="1" t="s">
        <v>147</v>
      </c>
      <c r="D849" s="5" t="s">
        <v>1554</v>
      </c>
    </row>
    <row r="850" customHeight="1" spans="1:4">
      <c r="A850" s="6"/>
      <c r="B850" s="1" t="s">
        <v>1123</v>
      </c>
      <c r="C850" s="1" t="s">
        <v>147</v>
      </c>
      <c r="D850" s="5" t="s">
        <v>1554</v>
      </c>
    </row>
    <row r="851" customHeight="1" spans="1:4">
      <c r="A851" s="6"/>
      <c r="B851" s="1" t="s">
        <v>369</v>
      </c>
      <c r="C851" s="1" t="s">
        <v>147</v>
      </c>
      <c r="D851" s="5" t="s">
        <v>1554</v>
      </c>
    </row>
    <row r="852" customHeight="1" spans="1:4">
      <c r="A852" s="6"/>
      <c r="B852" s="1" t="s">
        <v>1322</v>
      </c>
      <c r="C852" s="1" t="s">
        <v>147</v>
      </c>
      <c r="D852" s="5" t="s">
        <v>1554</v>
      </c>
    </row>
    <row r="853" customHeight="1" spans="1:4">
      <c r="A853" s="6"/>
      <c r="B853" s="1" t="s">
        <v>1424</v>
      </c>
      <c r="C853" s="1" t="s">
        <v>147</v>
      </c>
      <c r="D853" s="5" t="s">
        <v>1554</v>
      </c>
    </row>
    <row r="854" customHeight="1" spans="1:4">
      <c r="A854" s="6"/>
      <c r="B854" s="1" t="s">
        <v>1133</v>
      </c>
      <c r="C854" s="1" t="s">
        <v>147</v>
      </c>
      <c r="D854" s="5" t="s">
        <v>1554</v>
      </c>
    </row>
    <row r="855" customHeight="1" spans="1:4">
      <c r="A855" s="6"/>
      <c r="B855" s="1" t="s">
        <v>192</v>
      </c>
      <c r="C855" s="1" t="s">
        <v>23</v>
      </c>
      <c r="D855" s="5" t="s">
        <v>1554</v>
      </c>
    </row>
    <row r="856" customHeight="1" spans="1:4">
      <c r="A856" s="6"/>
      <c r="B856" s="1" t="s">
        <v>1253</v>
      </c>
      <c r="C856" s="1" t="s">
        <v>147</v>
      </c>
      <c r="D856" s="5" t="s">
        <v>1554</v>
      </c>
    </row>
    <row r="857" customHeight="1" spans="1:4">
      <c r="A857" s="6"/>
      <c r="B857" s="1" t="s">
        <v>1536</v>
      </c>
      <c r="C857" s="1" t="s">
        <v>147</v>
      </c>
      <c r="D857" s="5" t="s">
        <v>1554</v>
      </c>
    </row>
    <row r="858" customHeight="1" spans="1:4">
      <c r="A858" s="6"/>
      <c r="B858" s="1" t="s">
        <v>1302</v>
      </c>
      <c r="C858" s="1" t="s">
        <v>147</v>
      </c>
      <c r="D858" s="5" t="s">
        <v>1554</v>
      </c>
    </row>
    <row r="859" customHeight="1" spans="1:4">
      <c r="A859" s="6"/>
      <c r="B859" s="1" t="s">
        <v>1318</v>
      </c>
      <c r="C859" s="1" t="s">
        <v>147</v>
      </c>
      <c r="D859" s="5" t="s">
        <v>1554</v>
      </c>
    </row>
    <row r="860" customHeight="1" spans="1:4">
      <c r="A860" s="6"/>
      <c r="B860" s="1" t="s">
        <v>922</v>
      </c>
      <c r="C860" s="1" t="s">
        <v>147</v>
      </c>
      <c r="D860" s="5" t="s">
        <v>1554</v>
      </c>
    </row>
    <row r="861" customHeight="1" spans="1:4">
      <c r="A861" s="6"/>
      <c r="B861" s="1" t="s">
        <v>1079</v>
      </c>
      <c r="C861" s="1" t="s">
        <v>147</v>
      </c>
      <c r="D861" s="5" t="s">
        <v>1554</v>
      </c>
    </row>
    <row r="862" customHeight="1" spans="1:4">
      <c r="A862" s="6"/>
      <c r="B862" s="1" t="s">
        <v>986</v>
      </c>
      <c r="C862" s="1" t="s">
        <v>147</v>
      </c>
      <c r="D862" s="5" t="s">
        <v>1554</v>
      </c>
    </row>
    <row r="863" customHeight="1" spans="1:4">
      <c r="A863" s="6"/>
      <c r="B863" s="1" t="s">
        <v>1335</v>
      </c>
      <c r="C863" s="1" t="s">
        <v>147</v>
      </c>
      <c r="D863" s="5" t="s">
        <v>1554</v>
      </c>
    </row>
    <row r="864" customHeight="1" spans="1:4">
      <c r="A864" s="6"/>
      <c r="B864" s="1" t="s">
        <v>1392</v>
      </c>
      <c r="C864" s="1" t="s">
        <v>147</v>
      </c>
      <c r="D864" s="5" t="s">
        <v>1554</v>
      </c>
    </row>
    <row r="865" customHeight="1" spans="1:4">
      <c r="A865" s="6"/>
      <c r="B865" s="1" t="s">
        <v>1545</v>
      </c>
      <c r="C865" s="1" t="s">
        <v>147</v>
      </c>
      <c r="D865" s="5" t="s">
        <v>1554</v>
      </c>
    </row>
    <row r="866" customHeight="1" spans="1:4">
      <c r="A866" s="1" t="s">
        <v>186</v>
      </c>
      <c r="B866" s="1" t="s">
        <v>1438</v>
      </c>
      <c r="C866" s="1" t="s">
        <v>147</v>
      </c>
      <c r="D866" s="5" t="s">
        <v>1554</v>
      </c>
    </row>
    <row r="867" customHeight="1" spans="1:4">
      <c r="A867" s="6"/>
      <c r="B867" s="1" t="s">
        <v>389</v>
      </c>
      <c r="C867" s="1" t="s">
        <v>23</v>
      </c>
      <c r="D867" s="5" t="s">
        <v>1554</v>
      </c>
    </row>
    <row r="868" customHeight="1" spans="1:4">
      <c r="A868" s="6"/>
      <c r="B868" s="1" t="s">
        <v>252</v>
      </c>
      <c r="C868" s="1" t="s">
        <v>147</v>
      </c>
      <c r="D868" s="5" t="s">
        <v>1554</v>
      </c>
    </row>
    <row r="869" customHeight="1" spans="1:4">
      <c r="A869" s="6"/>
      <c r="B869" s="1" t="s">
        <v>600</v>
      </c>
      <c r="C869" s="1" t="s">
        <v>23</v>
      </c>
      <c r="D869" s="5" t="s">
        <v>1554</v>
      </c>
    </row>
    <row r="870" customHeight="1" spans="1:4">
      <c r="A870" s="6"/>
      <c r="B870" s="1" t="s">
        <v>443</v>
      </c>
      <c r="C870" s="1" t="s">
        <v>147</v>
      </c>
      <c r="D870" s="5" t="s">
        <v>1554</v>
      </c>
    </row>
    <row r="871" customHeight="1" spans="1:4">
      <c r="A871" s="6"/>
      <c r="B871" s="1" t="s">
        <v>1125</v>
      </c>
      <c r="C871" s="1" t="s">
        <v>147</v>
      </c>
      <c r="D871" s="5" t="s">
        <v>1554</v>
      </c>
    </row>
    <row r="872" customHeight="1" spans="1:4">
      <c r="A872" s="6"/>
      <c r="B872" s="1" t="s">
        <v>820</v>
      </c>
      <c r="C872" s="1" t="s">
        <v>147</v>
      </c>
      <c r="D872" s="5" t="s">
        <v>1554</v>
      </c>
    </row>
    <row r="873" customHeight="1" spans="1:4">
      <c r="A873" s="6"/>
      <c r="B873" s="1" t="s">
        <v>960</v>
      </c>
      <c r="C873" s="1" t="s">
        <v>147</v>
      </c>
      <c r="D873" s="5" t="s">
        <v>1554</v>
      </c>
    </row>
    <row r="874" customHeight="1" spans="1:4">
      <c r="A874" s="6"/>
      <c r="B874" s="1" t="s">
        <v>1446</v>
      </c>
      <c r="C874" s="1" t="s">
        <v>147</v>
      </c>
      <c r="D874" s="5" t="s">
        <v>1554</v>
      </c>
    </row>
    <row r="875" customHeight="1" spans="1:4">
      <c r="A875" s="6"/>
      <c r="B875" s="1" t="s">
        <v>888</v>
      </c>
      <c r="C875" s="1" t="s">
        <v>23</v>
      </c>
      <c r="D875" s="5" t="s">
        <v>889</v>
      </c>
    </row>
    <row r="876" customHeight="1" spans="1:4">
      <c r="A876" s="6"/>
      <c r="B876" s="1" t="s">
        <v>624</v>
      </c>
      <c r="C876" s="1" t="s">
        <v>147</v>
      </c>
      <c r="D876" s="5" t="s">
        <v>1554</v>
      </c>
    </row>
    <row r="877" customHeight="1" spans="1:4">
      <c r="A877" s="6"/>
      <c r="B877" s="1" t="s">
        <v>226</v>
      </c>
      <c r="C877" s="1" t="s">
        <v>23</v>
      </c>
      <c r="D877" s="5" t="s">
        <v>184</v>
      </c>
    </row>
    <row r="878" customHeight="1" spans="1:4">
      <c r="A878" s="6"/>
      <c r="B878" s="1" t="s">
        <v>182</v>
      </c>
      <c r="C878" s="1" t="s">
        <v>23</v>
      </c>
      <c r="D878" s="5" t="s">
        <v>184</v>
      </c>
    </row>
    <row r="879" customHeight="1" spans="1:4">
      <c r="A879" s="6"/>
      <c r="B879" s="1" t="s">
        <v>400</v>
      </c>
      <c r="C879" s="1" t="s">
        <v>147</v>
      </c>
      <c r="D879" s="5" t="s">
        <v>1554</v>
      </c>
    </row>
    <row r="880" customHeight="1" spans="1:4">
      <c r="A880" s="6"/>
      <c r="B880" s="1" t="s">
        <v>1173</v>
      </c>
      <c r="C880" s="1" t="s">
        <v>147</v>
      </c>
      <c r="D880" s="5" t="s">
        <v>472</v>
      </c>
    </row>
    <row r="881" customHeight="1" spans="1:4">
      <c r="A881" s="6"/>
      <c r="B881" s="1" t="s">
        <v>512</v>
      </c>
      <c r="C881" s="1" t="s">
        <v>23</v>
      </c>
      <c r="D881" s="5" t="s">
        <v>1554</v>
      </c>
    </row>
    <row r="882" customHeight="1" spans="1:4">
      <c r="A882" s="6"/>
      <c r="B882" s="1" t="s">
        <v>1111</v>
      </c>
      <c r="C882" s="1" t="s">
        <v>147</v>
      </c>
      <c r="D882" s="5" t="s">
        <v>1554</v>
      </c>
    </row>
    <row r="883" customHeight="1" spans="1:4">
      <c r="A883" s="6"/>
      <c r="B883" s="1" t="s">
        <v>940</v>
      </c>
      <c r="C883" s="1" t="s">
        <v>23</v>
      </c>
      <c r="D883" s="5" t="s">
        <v>1554</v>
      </c>
    </row>
    <row r="884" customHeight="1" spans="1:4">
      <c r="A884" s="6"/>
      <c r="B884" s="1" t="s">
        <v>1019</v>
      </c>
      <c r="C884" s="1" t="s">
        <v>14</v>
      </c>
      <c r="D884" s="5" t="s">
        <v>1554</v>
      </c>
    </row>
    <row r="885" customHeight="1" spans="1:4">
      <c r="A885" s="6"/>
      <c r="B885" s="1" t="s">
        <v>875</v>
      </c>
      <c r="C885" s="1" t="s">
        <v>147</v>
      </c>
      <c r="D885" s="5" t="s">
        <v>1019</v>
      </c>
    </row>
    <row r="886" customHeight="1" spans="1:4">
      <c r="A886" s="6"/>
      <c r="B886" s="1" t="s">
        <v>685</v>
      </c>
      <c r="C886" s="1" t="s">
        <v>147</v>
      </c>
      <c r="D886" s="5" t="s">
        <v>472</v>
      </c>
    </row>
    <row r="887" customHeight="1" spans="1:4">
      <c r="A887" s="6"/>
      <c r="B887" s="1" t="s">
        <v>471</v>
      </c>
      <c r="C887" s="1" t="s">
        <v>147</v>
      </c>
      <c r="D887" s="5" t="s">
        <v>472</v>
      </c>
    </row>
    <row r="888" customHeight="1" spans="1:4">
      <c r="A888" s="6"/>
      <c r="B888" s="1" t="s">
        <v>1349</v>
      </c>
      <c r="C888" s="1" t="s">
        <v>147</v>
      </c>
      <c r="D888" s="5" t="s">
        <v>1554</v>
      </c>
    </row>
    <row r="889" customHeight="1" spans="1:4">
      <c r="A889" s="6"/>
      <c r="B889" s="1" t="s">
        <v>1298</v>
      </c>
      <c r="C889" s="1" t="s">
        <v>147</v>
      </c>
      <c r="D889" s="5" t="s">
        <v>1554</v>
      </c>
    </row>
    <row r="890" customHeight="1" spans="1:4">
      <c r="A890" s="6"/>
      <c r="B890" s="1" t="s">
        <v>395</v>
      </c>
      <c r="C890" s="1" t="s">
        <v>147</v>
      </c>
      <c r="D890" s="5" t="s">
        <v>1554</v>
      </c>
    </row>
    <row r="891" customHeight="1" spans="1:4">
      <c r="A891" s="6"/>
      <c r="B891" s="1" t="s">
        <v>874</v>
      </c>
      <c r="C891" s="1" t="s">
        <v>147</v>
      </c>
      <c r="D891" s="5" t="s">
        <v>875</v>
      </c>
    </row>
    <row r="892" customHeight="1" spans="1:4">
      <c r="A892" s="6"/>
      <c r="B892" s="1" t="s">
        <v>1547</v>
      </c>
      <c r="C892" s="1" t="s">
        <v>147</v>
      </c>
      <c r="D892" s="5" t="s">
        <v>1554</v>
      </c>
    </row>
    <row r="893" customHeight="1" spans="1:4">
      <c r="A893" s="1" t="s">
        <v>131</v>
      </c>
      <c r="B893" s="1" t="s">
        <v>424</v>
      </c>
      <c r="C893" s="1" t="s">
        <v>147</v>
      </c>
      <c r="D893" s="5" t="s">
        <v>1554</v>
      </c>
    </row>
    <row r="894" customHeight="1" spans="1:4">
      <c r="A894" s="6"/>
      <c r="B894" s="1" t="s">
        <v>1124</v>
      </c>
      <c r="C894" s="1" t="s">
        <v>147</v>
      </c>
      <c r="D894" s="5" t="s">
        <v>1554</v>
      </c>
    </row>
    <row r="895" customHeight="1" spans="1:4">
      <c r="A895" s="6"/>
      <c r="B895" s="1" t="s">
        <v>1189</v>
      </c>
      <c r="C895" s="1" t="s">
        <v>147</v>
      </c>
      <c r="D895" s="5" t="s">
        <v>1554</v>
      </c>
    </row>
    <row r="896" customHeight="1" spans="1:4">
      <c r="A896" s="6"/>
      <c r="B896" s="1" t="s">
        <v>1441</v>
      </c>
      <c r="C896" s="1" t="s">
        <v>14</v>
      </c>
      <c r="D896" s="5" t="s">
        <v>1554</v>
      </c>
    </row>
    <row r="897" customHeight="1" spans="1:4">
      <c r="A897" s="6"/>
      <c r="B897" s="1" t="s">
        <v>308</v>
      </c>
      <c r="C897" s="1" t="s">
        <v>147</v>
      </c>
      <c r="D897" s="5" t="s">
        <v>1554</v>
      </c>
    </row>
    <row r="898" customHeight="1" spans="1:4">
      <c r="A898" s="6"/>
      <c r="B898" s="1" t="s">
        <v>1080</v>
      </c>
      <c r="C898" s="1" t="s">
        <v>147</v>
      </c>
      <c r="D898" s="5" t="s">
        <v>1554</v>
      </c>
    </row>
    <row r="899" customHeight="1" spans="1:4">
      <c r="A899" s="6"/>
      <c r="B899" s="1" t="s">
        <v>614</v>
      </c>
      <c r="C899" s="1" t="s">
        <v>147</v>
      </c>
      <c r="D899" s="5" t="s">
        <v>1554</v>
      </c>
    </row>
    <row r="900" customHeight="1" spans="1:4">
      <c r="A900" s="6"/>
      <c r="B900" s="1" t="s">
        <v>351</v>
      </c>
      <c r="C900" s="1" t="s">
        <v>147</v>
      </c>
      <c r="D900" s="5" t="s">
        <v>1554</v>
      </c>
    </row>
    <row r="901" customHeight="1" spans="1:4">
      <c r="A901" s="6"/>
      <c r="B901" s="1" t="s">
        <v>130</v>
      </c>
      <c r="C901" s="1" t="s">
        <v>23</v>
      </c>
      <c r="D901" s="5" t="s">
        <v>1554</v>
      </c>
    </row>
    <row r="902" customHeight="1" spans="1:4">
      <c r="A902" s="6"/>
      <c r="B902" s="1" t="s">
        <v>344</v>
      </c>
      <c r="C902" s="1" t="s">
        <v>147</v>
      </c>
      <c r="D902" s="5" t="s">
        <v>1554</v>
      </c>
    </row>
    <row r="903" customHeight="1" spans="1:4">
      <c r="A903" s="6"/>
      <c r="B903" s="1" t="s">
        <v>1442</v>
      </c>
      <c r="C903" s="1" t="s">
        <v>147</v>
      </c>
      <c r="D903" s="5" t="s">
        <v>1554</v>
      </c>
    </row>
    <row r="904" customHeight="1" spans="1:4">
      <c r="A904" s="6"/>
      <c r="B904" s="1" t="s">
        <v>1154</v>
      </c>
      <c r="C904" s="1" t="s">
        <v>147</v>
      </c>
      <c r="D904" s="5" t="s">
        <v>1554</v>
      </c>
    </row>
    <row r="905" customHeight="1" spans="1:4">
      <c r="A905" s="6"/>
      <c r="B905" s="1" t="s">
        <v>737</v>
      </c>
      <c r="C905" s="1" t="s">
        <v>147</v>
      </c>
      <c r="D905" s="5" t="s">
        <v>1554</v>
      </c>
    </row>
    <row r="906" customHeight="1" spans="1:4">
      <c r="A906" s="6"/>
      <c r="B906" s="1" t="s">
        <v>353</v>
      </c>
      <c r="C906" s="1" t="s">
        <v>147</v>
      </c>
      <c r="D906" s="5" t="s">
        <v>1554</v>
      </c>
    </row>
    <row r="907" customHeight="1" spans="1:4">
      <c r="A907" s="6"/>
      <c r="B907" s="1" t="s">
        <v>821</v>
      </c>
      <c r="C907" s="1" t="s">
        <v>147</v>
      </c>
      <c r="D907" s="5" t="s">
        <v>1554</v>
      </c>
    </row>
    <row r="908" customHeight="1" spans="1:4">
      <c r="A908" s="6"/>
      <c r="B908" s="1" t="s">
        <v>174</v>
      </c>
      <c r="C908" s="1" t="s">
        <v>23</v>
      </c>
      <c r="D908" s="5" t="s">
        <v>1554</v>
      </c>
    </row>
    <row r="909" customHeight="1" spans="1:4">
      <c r="A909" s="6"/>
      <c r="B909" s="1" t="s">
        <v>1479</v>
      </c>
      <c r="C909" s="1" t="s">
        <v>23</v>
      </c>
      <c r="D909" s="5" t="s">
        <v>1554</v>
      </c>
    </row>
    <row r="910" customHeight="1" spans="1:4">
      <c r="A910" s="6"/>
      <c r="B910" s="1" t="s">
        <v>543</v>
      </c>
      <c r="C910" s="1" t="s">
        <v>147</v>
      </c>
      <c r="D910" s="5" t="s">
        <v>1554</v>
      </c>
    </row>
    <row r="911" customHeight="1" spans="1:4">
      <c r="A911" s="6"/>
      <c r="B911" s="1" t="s">
        <v>816</v>
      </c>
      <c r="C911" s="1" t="s">
        <v>147</v>
      </c>
      <c r="D911" s="5" t="s">
        <v>1554</v>
      </c>
    </row>
    <row r="912" customHeight="1" spans="1:4">
      <c r="A912" s="6"/>
      <c r="B912" s="1" t="s">
        <v>1358</v>
      </c>
      <c r="C912" s="1" t="s">
        <v>147</v>
      </c>
      <c r="D912" s="5" t="s">
        <v>1554</v>
      </c>
    </row>
    <row r="913" customHeight="1" spans="1:4">
      <c r="A913" s="6"/>
      <c r="B913" s="1" t="s">
        <v>877</v>
      </c>
      <c r="C913" s="1" t="s">
        <v>147</v>
      </c>
      <c r="D913" s="5" t="s">
        <v>1554</v>
      </c>
    </row>
    <row r="914" customHeight="1" spans="1:4">
      <c r="A914" s="6"/>
      <c r="B914" s="1" t="s">
        <v>983</v>
      </c>
      <c r="C914" s="1" t="s">
        <v>147</v>
      </c>
      <c r="D914" s="5" t="s">
        <v>1554</v>
      </c>
    </row>
    <row r="915" customHeight="1" spans="1:4">
      <c r="A915" s="6"/>
      <c r="B915" s="1" t="s">
        <v>809</v>
      </c>
      <c r="C915" s="1" t="s">
        <v>147</v>
      </c>
      <c r="D915" s="5" t="s">
        <v>1554</v>
      </c>
    </row>
    <row r="916" customHeight="1" spans="1:4">
      <c r="A916" s="6"/>
      <c r="B916" s="1" t="s">
        <v>1025</v>
      </c>
      <c r="C916" s="1" t="s">
        <v>147</v>
      </c>
      <c r="D916" s="5" t="s">
        <v>1554</v>
      </c>
    </row>
    <row r="917" customHeight="1" spans="1:4">
      <c r="A917" s="6"/>
      <c r="B917" s="1" t="s">
        <v>1521</v>
      </c>
      <c r="C917" s="1" t="s">
        <v>23</v>
      </c>
      <c r="D917" s="5" t="s">
        <v>1554</v>
      </c>
    </row>
    <row r="918" customHeight="1" spans="1:4">
      <c r="A918" s="6"/>
      <c r="B918" s="1" t="s">
        <v>1071</v>
      </c>
      <c r="C918" s="1" t="s">
        <v>147</v>
      </c>
      <c r="D918" s="5" t="s">
        <v>1554</v>
      </c>
    </row>
    <row r="919" customHeight="1" spans="1:4">
      <c r="A919" s="6"/>
      <c r="B919" s="1" t="s">
        <v>612</v>
      </c>
      <c r="C919" s="1" t="s">
        <v>147</v>
      </c>
      <c r="D919" s="5" t="s">
        <v>1554</v>
      </c>
    </row>
    <row r="920" customHeight="1" spans="1:4">
      <c r="A920" s="6"/>
      <c r="B920" s="1" t="s">
        <v>1357</v>
      </c>
      <c r="C920" s="1" t="s">
        <v>147</v>
      </c>
      <c r="D920" s="5" t="s">
        <v>1554</v>
      </c>
    </row>
    <row r="921" customHeight="1" spans="1:4">
      <c r="A921" s="6"/>
      <c r="B921" s="1" t="s">
        <v>522</v>
      </c>
      <c r="C921" s="1" t="s">
        <v>147</v>
      </c>
      <c r="D921" s="5" t="s">
        <v>1554</v>
      </c>
    </row>
    <row r="922" customHeight="1" spans="1:4">
      <c r="A922" s="6"/>
      <c r="B922" s="1" t="s">
        <v>316</v>
      </c>
      <c r="C922" s="1" t="s">
        <v>147</v>
      </c>
      <c r="D922" s="5" t="s">
        <v>1554</v>
      </c>
    </row>
    <row r="923" customHeight="1" spans="1:4">
      <c r="A923" s="6"/>
      <c r="B923" s="1" t="s">
        <v>370</v>
      </c>
      <c r="C923" s="1" t="s">
        <v>147</v>
      </c>
      <c r="D923" s="5" t="s">
        <v>1554</v>
      </c>
    </row>
    <row r="924" customHeight="1" spans="1:4">
      <c r="A924" s="6"/>
      <c r="B924" s="1" t="s">
        <v>249</v>
      </c>
      <c r="C924" s="1" t="s">
        <v>147</v>
      </c>
      <c r="D924" s="5" t="s">
        <v>1554</v>
      </c>
    </row>
    <row r="925" customHeight="1" spans="1:4">
      <c r="A925" s="6"/>
      <c r="B925" s="1" t="s">
        <v>1073</v>
      </c>
      <c r="C925" s="1" t="s">
        <v>147</v>
      </c>
      <c r="D925" s="5" t="s">
        <v>1554</v>
      </c>
    </row>
    <row r="926" customHeight="1" spans="1:4">
      <c r="A926" s="1" t="s">
        <v>278</v>
      </c>
      <c r="B926" s="1" t="s">
        <v>329</v>
      </c>
      <c r="C926" s="1" t="s">
        <v>147</v>
      </c>
      <c r="D926" s="5" t="s">
        <v>1554</v>
      </c>
    </row>
    <row r="927" customHeight="1" spans="1:4">
      <c r="A927" s="6"/>
      <c r="B927" s="1" t="s">
        <v>1009</v>
      </c>
      <c r="C927" s="1" t="s">
        <v>147</v>
      </c>
      <c r="D927" s="5" t="s">
        <v>1010</v>
      </c>
    </row>
    <row r="928" customHeight="1" spans="1:4">
      <c r="A928" s="6"/>
      <c r="B928" s="1" t="s">
        <v>629</v>
      </c>
      <c r="C928" s="1" t="s">
        <v>23</v>
      </c>
      <c r="D928" s="5" t="s">
        <v>1554</v>
      </c>
    </row>
    <row r="929" customHeight="1" spans="1:4">
      <c r="A929" s="6"/>
      <c r="B929" s="1" t="s">
        <v>858</v>
      </c>
      <c r="C929" s="1" t="s">
        <v>147</v>
      </c>
      <c r="D929" s="5" t="s">
        <v>1554</v>
      </c>
    </row>
    <row r="930" customHeight="1" spans="1:4">
      <c r="A930" s="6"/>
      <c r="B930" s="1" t="s">
        <v>277</v>
      </c>
      <c r="C930" s="1" t="s">
        <v>147</v>
      </c>
      <c r="D930" s="5" t="s">
        <v>1554</v>
      </c>
    </row>
    <row r="931" customHeight="1" spans="1:4">
      <c r="A931" s="6"/>
      <c r="B931" s="1" t="s">
        <v>449</v>
      </c>
      <c r="C931" s="1" t="s">
        <v>23</v>
      </c>
      <c r="D931" s="5" t="s">
        <v>1554</v>
      </c>
    </row>
    <row r="932" customHeight="1" spans="1:4">
      <c r="A932" s="6"/>
      <c r="B932" s="1" t="s">
        <v>1010</v>
      </c>
      <c r="C932" s="1" t="s">
        <v>147</v>
      </c>
      <c r="D932" s="5" t="s">
        <v>1554</v>
      </c>
    </row>
    <row r="933" customHeight="1" spans="1:4">
      <c r="A933" s="6"/>
      <c r="B933" s="1" t="s">
        <v>1331</v>
      </c>
      <c r="C933" s="1" t="s">
        <v>147</v>
      </c>
      <c r="D933" s="5" t="s">
        <v>1554</v>
      </c>
    </row>
    <row r="934" customHeight="1" spans="1:4">
      <c r="A934" s="6"/>
      <c r="B934" s="1" t="s">
        <v>373</v>
      </c>
      <c r="C934" s="1" t="s">
        <v>147</v>
      </c>
      <c r="D934" s="5" t="s">
        <v>1554</v>
      </c>
    </row>
    <row r="935" customHeight="1" spans="1:4">
      <c r="A935" s="1" t="s">
        <v>53</v>
      </c>
      <c r="B935" s="1" t="s">
        <v>1306</v>
      </c>
      <c r="C935" s="1" t="s">
        <v>147</v>
      </c>
      <c r="D935" s="5" t="s">
        <v>1554</v>
      </c>
    </row>
    <row r="936" customHeight="1" spans="1:4">
      <c r="A936" s="6"/>
      <c r="B936" s="1" t="s">
        <v>894</v>
      </c>
      <c r="C936" s="1" t="s">
        <v>147</v>
      </c>
      <c r="D936" s="5" t="s">
        <v>1554</v>
      </c>
    </row>
    <row r="937" customHeight="1" spans="1:4">
      <c r="A937" s="6"/>
      <c r="B937" s="1" t="s">
        <v>1020</v>
      </c>
      <c r="C937" s="1" t="s">
        <v>147</v>
      </c>
      <c r="D937" s="5" t="s">
        <v>1554</v>
      </c>
    </row>
    <row r="938" customHeight="1" spans="1:4">
      <c r="A938" s="6"/>
      <c r="B938" s="1" t="s">
        <v>1360</v>
      </c>
      <c r="C938" s="1" t="s">
        <v>830</v>
      </c>
      <c r="D938" s="5" t="s">
        <v>1554</v>
      </c>
    </row>
    <row r="939" customHeight="1" spans="1:4">
      <c r="A939" s="6"/>
      <c r="B939" s="1" t="s">
        <v>1246</v>
      </c>
      <c r="C939" s="1" t="s">
        <v>147</v>
      </c>
      <c r="D939" s="5" t="s">
        <v>1554</v>
      </c>
    </row>
    <row r="940" customHeight="1" spans="1:4">
      <c r="A940" s="6"/>
      <c r="B940" s="1" t="s">
        <v>1427</v>
      </c>
      <c r="C940" s="1" t="s">
        <v>147</v>
      </c>
      <c r="D940" s="5" t="s">
        <v>1554</v>
      </c>
    </row>
    <row r="941" customHeight="1" spans="1:4">
      <c r="A941" s="6"/>
      <c r="B941" s="1" t="s">
        <v>1072</v>
      </c>
      <c r="C941" s="1" t="s">
        <v>147</v>
      </c>
      <c r="D941" s="5" t="s">
        <v>1554</v>
      </c>
    </row>
    <row r="942" customHeight="1" spans="1:4">
      <c r="A942" s="6"/>
      <c r="B942" s="1" t="s">
        <v>479</v>
      </c>
      <c r="C942" s="1" t="s">
        <v>147</v>
      </c>
      <c r="D942" s="5" t="s">
        <v>1554</v>
      </c>
    </row>
    <row r="943" customHeight="1" spans="1:4">
      <c r="A943" s="6"/>
      <c r="B943" s="1" t="s">
        <v>1444</v>
      </c>
      <c r="C943" s="1" t="s">
        <v>147</v>
      </c>
      <c r="D943" s="5" t="s">
        <v>1554</v>
      </c>
    </row>
    <row r="944" customHeight="1" spans="1:4">
      <c r="A944" s="6"/>
      <c r="B944" s="1" t="s">
        <v>866</v>
      </c>
      <c r="C944" s="1" t="s">
        <v>147</v>
      </c>
      <c r="D944" s="5" t="s">
        <v>1554</v>
      </c>
    </row>
    <row r="945" customHeight="1" spans="1:4">
      <c r="A945" s="6"/>
      <c r="B945" s="1" t="s">
        <v>704</v>
      </c>
      <c r="C945" s="1" t="s">
        <v>147</v>
      </c>
      <c r="D945" s="5" t="s">
        <v>1554</v>
      </c>
    </row>
    <row r="946" customHeight="1" spans="1:4">
      <c r="A946" s="6"/>
      <c r="B946" s="1" t="s">
        <v>708</v>
      </c>
      <c r="C946" s="1" t="s">
        <v>14</v>
      </c>
      <c r="D946" s="5" t="s">
        <v>1554</v>
      </c>
    </row>
    <row r="947" customHeight="1" spans="1:4">
      <c r="A947" s="6"/>
      <c r="B947" s="1" t="s">
        <v>350</v>
      </c>
      <c r="C947" s="1" t="s">
        <v>147</v>
      </c>
      <c r="D947" s="5" t="s">
        <v>1554</v>
      </c>
    </row>
    <row r="948" customHeight="1" spans="1:4">
      <c r="A948" s="6"/>
      <c r="B948" s="1" t="s">
        <v>103</v>
      </c>
      <c r="C948" s="1" t="s">
        <v>23</v>
      </c>
      <c r="D948" s="5" t="s">
        <v>1554</v>
      </c>
    </row>
    <row r="949" customHeight="1" spans="1:4">
      <c r="A949" s="6"/>
      <c r="B949" s="1" t="s">
        <v>1031</v>
      </c>
      <c r="C949" s="1" t="s">
        <v>147</v>
      </c>
      <c r="D949" s="5" t="s">
        <v>1554</v>
      </c>
    </row>
    <row r="950" customHeight="1" spans="1:4">
      <c r="A950" s="6"/>
      <c r="B950" s="1" t="s">
        <v>1256</v>
      </c>
      <c r="C950" s="1" t="s">
        <v>147</v>
      </c>
      <c r="D950" s="5" t="s">
        <v>1554</v>
      </c>
    </row>
    <row r="951" customHeight="1" spans="1:4">
      <c r="A951" s="6"/>
      <c r="B951" s="1" t="s">
        <v>1235</v>
      </c>
      <c r="C951" s="1" t="s">
        <v>147</v>
      </c>
      <c r="D951" s="5" t="s">
        <v>1554</v>
      </c>
    </row>
    <row r="952" customHeight="1" spans="1:4">
      <c r="A952" s="6"/>
      <c r="B952" s="1" t="s">
        <v>1447</v>
      </c>
      <c r="C952" s="1" t="s">
        <v>147</v>
      </c>
      <c r="D952" s="5" t="s">
        <v>1554</v>
      </c>
    </row>
    <row r="953" customHeight="1" spans="1:4">
      <c r="A953" s="6"/>
      <c r="B953" s="1" t="s">
        <v>199</v>
      </c>
      <c r="C953" s="1" t="s">
        <v>23</v>
      </c>
      <c r="D953" s="5" t="s">
        <v>1554</v>
      </c>
    </row>
    <row r="954" customHeight="1" spans="1:4">
      <c r="A954" s="6"/>
      <c r="B954" s="1" t="s">
        <v>491</v>
      </c>
      <c r="C954" s="1" t="s">
        <v>147</v>
      </c>
      <c r="D954" s="5" t="s">
        <v>1554</v>
      </c>
    </row>
    <row r="955" customHeight="1" spans="1:4">
      <c r="A955" s="6"/>
      <c r="B955" s="1" t="s">
        <v>921</v>
      </c>
      <c r="C955" s="1" t="s">
        <v>147</v>
      </c>
      <c r="D955" s="5" t="s">
        <v>1554</v>
      </c>
    </row>
    <row r="956" customHeight="1" spans="1:4">
      <c r="A956" s="6"/>
      <c r="B956" s="1" t="s">
        <v>1336</v>
      </c>
      <c r="C956" s="1" t="s">
        <v>147</v>
      </c>
      <c r="D956" s="5" t="s">
        <v>1554</v>
      </c>
    </row>
    <row r="957" customHeight="1" spans="1:4">
      <c r="A957" s="6"/>
      <c r="B957" s="1" t="s">
        <v>1450</v>
      </c>
      <c r="C957" s="1" t="s">
        <v>1451</v>
      </c>
      <c r="D957" s="5" t="s">
        <v>1554</v>
      </c>
    </row>
    <row r="958" customHeight="1" spans="1:4">
      <c r="A958" s="6"/>
      <c r="B958" s="1" t="s">
        <v>489</v>
      </c>
      <c r="C958" s="1" t="s">
        <v>147</v>
      </c>
      <c r="D958" s="5" t="s">
        <v>1554</v>
      </c>
    </row>
    <row r="959" customHeight="1" spans="1:4">
      <c r="A959" s="6"/>
      <c r="B959" s="1" t="s">
        <v>253</v>
      </c>
      <c r="C959" s="1" t="s">
        <v>147</v>
      </c>
      <c r="D959" s="5" t="s">
        <v>1554</v>
      </c>
    </row>
    <row r="960" customHeight="1" spans="1:4">
      <c r="A960" s="6"/>
      <c r="B960" s="1" t="s">
        <v>760</v>
      </c>
      <c r="C960" s="1" t="s">
        <v>147</v>
      </c>
      <c r="D960" s="5" t="s">
        <v>1554</v>
      </c>
    </row>
    <row r="961" customHeight="1" spans="1:4">
      <c r="A961" s="6"/>
      <c r="B961" s="1" t="s">
        <v>952</v>
      </c>
      <c r="C961" s="1" t="s">
        <v>147</v>
      </c>
      <c r="D961" s="5" t="s">
        <v>1554</v>
      </c>
    </row>
    <row r="962" customHeight="1" spans="1:4">
      <c r="A962" s="6"/>
      <c r="B962" s="1" t="s">
        <v>493</v>
      </c>
      <c r="C962" s="1" t="s">
        <v>147</v>
      </c>
      <c r="D962" s="5" t="s">
        <v>1554</v>
      </c>
    </row>
    <row r="963" customHeight="1" spans="1:4">
      <c r="A963" s="6"/>
      <c r="B963" s="1" t="s">
        <v>521</v>
      </c>
      <c r="C963" s="1" t="s">
        <v>147</v>
      </c>
      <c r="D963" s="5" t="s">
        <v>1554</v>
      </c>
    </row>
    <row r="964" customHeight="1" spans="1:4">
      <c r="A964" s="6"/>
      <c r="B964" s="1" t="s">
        <v>1082</v>
      </c>
      <c r="C964" s="1" t="s">
        <v>23</v>
      </c>
      <c r="D964" s="5" t="s">
        <v>1554</v>
      </c>
    </row>
    <row r="965" customHeight="1" spans="1:4">
      <c r="A965" s="6"/>
      <c r="B965" s="1" t="s">
        <v>1278</v>
      </c>
      <c r="C965" s="1" t="s">
        <v>147</v>
      </c>
      <c r="D965" s="5" t="s">
        <v>1554</v>
      </c>
    </row>
    <row r="966" customHeight="1" spans="1:4">
      <c r="A966" s="6"/>
      <c r="B966" s="1" t="s">
        <v>1226</v>
      </c>
      <c r="C966" s="1" t="s">
        <v>147</v>
      </c>
      <c r="D966" s="5" t="s">
        <v>1554</v>
      </c>
    </row>
    <row r="967" customHeight="1" spans="1:4">
      <c r="A967" s="6"/>
      <c r="B967" s="1" t="s">
        <v>415</v>
      </c>
      <c r="C967" s="1" t="s">
        <v>147</v>
      </c>
      <c r="D967" s="5" t="s">
        <v>1554</v>
      </c>
    </row>
    <row r="968" customHeight="1" spans="1:4">
      <c r="A968" s="6"/>
      <c r="B968" s="1" t="s">
        <v>215</v>
      </c>
      <c r="C968" s="1" t="s">
        <v>23</v>
      </c>
      <c r="D968" s="5" t="s">
        <v>1554</v>
      </c>
    </row>
    <row r="969" customHeight="1" spans="1:4">
      <c r="A969" s="6"/>
      <c r="B969" s="1" t="s">
        <v>123</v>
      </c>
      <c r="C969" s="1" t="s">
        <v>23</v>
      </c>
      <c r="D969" s="5" t="s">
        <v>1554</v>
      </c>
    </row>
    <row r="970" customHeight="1" spans="1:4">
      <c r="A970" s="6"/>
      <c r="B970" s="1" t="s">
        <v>146</v>
      </c>
      <c r="C970" s="1" t="s">
        <v>147</v>
      </c>
      <c r="D970" s="5" t="s">
        <v>148</v>
      </c>
    </row>
    <row r="971" customHeight="1" spans="1:4">
      <c r="A971" s="6"/>
      <c r="B971" s="1" t="s">
        <v>835</v>
      </c>
      <c r="C971" s="1" t="s">
        <v>23</v>
      </c>
      <c r="D971" s="5" t="s">
        <v>1554</v>
      </c>
    </row>
    <row r="972" customHeight="1" spans="1:4">
      <c r="A972" s="6"/>
      <c r="B972" s="1" t="s">
        <v>656</v>
      </c>
      <c r="C972" s="1" t="s">
        <v>147</v>
      </c>
      <c r="D972" s="5" t="s">
        <v>1554</v>
      </c>
    </row>
    <row r="973" customHeight="1" spans="1:4">
      <c r="A973" s="6"/>
      <c r="B973" s="1" t="s">
        <v>301</v>
      </c>
      <c r="C973" s="1" t="s">
        <v>147</v>
      </c>
      <c r="D973" s="5" t="s">
        <v>1554</v>
      </c>
    </row>
    <row r="974" customHeight="1" spans="1:4">
      <c r="A974" s="6"/>
      <c r="B974" s="1" t="s">
        <v>806</v>
      </c>
      <c r="C974" s="1" t="s">
        <v>147</v>
      </c>
      <c r="D974" s="5" t="s">
        <v>1554</v>
      </c>
    </row>
    <row r="975" customHeight="1" spans="1:4">
      <c r="A975" s="6"/>
      <c r="B975" s="1" t="s">
        <v>1264</v>
      </c>
      <c r="C975" s="1" t="s">
        <v>14</v>
      </c>
      <c r="D975" s="5" t="s">
        <v>1554</v>
      </c>
    </row>
    <row r="976" customHeight="1" spans="1:4">
      <c r="A976" s="6"/>
      <c r="B976" s="1" t="s">
        <v>824</v>
      </c>
      <c r="C976" s="1" t="s">
        <v>147</v>
      </c>
      <c r="D976" s="5" t="s">
        <v>1554</v>
      </c>
    </row>
    <row r="977" customHeight="1" spans="1:4">
      <c r="A977" s="6"/>
      <c r="B977" s="1" t="s">
        <v>367</v>
      </c>
      <c r="C977" s="1" t="s">
        <v>147</v>
      </c>
      <c r="D977" s="5" t="s">
        <v>1554</v>
      </c>
    </row>
    <row r="978" customHeight="1" spans="1:4">
      <c r="A978" s="6"/>
      <c r="B978" s="1" t="s">
        <v>152</v>
      </c>
      <c r="C978" s="1" t="s">
        <v>23</v>
      </c>
      <c r="D978" s="5" t="s">
        <v>1554</v>
      </c>
    </row>
    <row r="979" customHeight="1" spans="1:4">
      <c r="A979" s="6"/>
      <c r="B979" s="1" t="s">
        <v>220</v>
      </c>
      <c r="C979" s="1" t="s">
        <v>14</v>
      </c>
      <c r="D979" s="5" t="s">
        <v>221</v>
      </c>
    </row>
    <row r="980" customHeight="1" spans="1:4">
      <c r="A980" s="6"/>
      <c r="B980" s="1" t="s">
        <v>1477</v>
      </c>
      <c r="C980" s="1" t="s">
        <v>147</v>
      </c>
      <c r="D980" s="5" t="s">
        <v>1554</v>
      </c>
    </row>
    <row r="981" customHeight="1" spans="1:4">
      <c r="A981" s="6"/>
      <c r="B981" s="1" t="s">
        <v>679</v>
      </c>
      <c r="C981" s="1" t="s">
        <v>147</v>
      </c>
      <c r="D981" s="5" t="s">
        <v>1554</v>
      </c>
    </row>
    <row r="982" customHeight="1" spans="1:4">
      <c r="A982" s="6"/>
      <c r="B982" s="1" t="s">
        <v>622</v>
      </c>
      <c r="C982" s="1" t="s">
        <v>147</v>
      </c>
      <c r="D982" s="5" t="s">
        <v>1554</v>
      </c>
    </row>
    <row r="983" customHeight="1" spans="1:4">
      <c r="A983" s="6"/>
      <c r="B983" s="1" t="s">
        <v>307</v>
      </c>
      <c r="C983" s="1" t="s">
        <v>147</v>
      </c>
      <c r="D983" s="5" t="s">
        <v>1554</v>
      </c>
    </row>
    <row r="984" customHeight="1" spans="1:4">
      <c r="A984" s="6"/>
      <c r="B984" s="1" t="s">
        <v>1485</v>
      </c>
      <c r="C984" s="1" t="s">
        <v>147</v>
      </c>
      <c r="D984" s="5" t="s">
        <v>1554</v>
      </c>
    </row>
    <row r="985" customHeight="1" spans="1:4">
      <c r="A985" s="6"/>
      <c r="B985" s="1" t="s">
        <v>1324</v>
      </c>
      <c r="C985" s="1" t="s">
        <v>147</v>
      </c>
      <c r="D985" s="5" t="s">
        <v>1554</v>
      </c>
    </row>
    <row r="986" customHeight="1" spans="1:4">
      <c r="A986" s="6"/>
      <c r="B986" s="1" t="s">
        <v>1116</v>
      </c>
      <c r="C986" s="1" t="s">
        <v>147</v>
      </c>
      <c r="D986" s="5" t="s">
        <v>1554</v>
      </c>
    </row>
    <row r="987" customHeight="1" spans="1:4">
      <c r="A987" s="6"/>
      <c r="B987" s="1" t="s">
        <v>857</v>
      </c>
      <c r="C987" s="1" t="s">
        <v>147</v>
      </c>
      <c r="D987" s="5" t="s">
        <v>1554</v>
      </c>
    </row>
    <row r="988" customHeight="1" spans="1:4">
      <c r="A988" s="6"/>
      <c r="B988" s="1" t="s">
        <v>1085</v>
      </c>
      <c r="C988" s="1" t="s">
        <v>147</v>
      </c>
      <c r="D988" s="5" t="s">
        <v>1554</v>
      </c>
    </row>
    <row r="989" customHeight="1" spans="1:4">
      <c r="A989" s="6"/>
      <c r="B989" s="1" t="s">
        <v>698</v>
      </c>
      <c r="C989" s="1" t="s">
        <v>147</v>
      </c>
      <c r="D989" s="5" t="s">
        <v>1554</v>
      </c>
    </row>
    <row r="990" customHeight="1" spans="1:4">
      <c r="A990" s="6"/>
      <c r="B990" s="1" t="s">
        <v>567</v>
      </c>
      <c r="C990" s="1" t="s">
        <v>147</v>
      </c>
      <c r="D990" s="5" t="s">
        <v>1554</v>
      </c>
    </row>
    <row r="991" customHeight="1" spans="1:4">
      <c r="A991" s="6"/>
      <c r="B991" s="1" t="s">
        <v>232</v>
      </c>
      <c r="C991" s="1" t="s">
        <v>23</v>
      </c>
      <c r="D991" s="5" t="s">
        <v>1554</v>
      </c>
    </row>
    <row r="992" customHeight="1" spans="1:4">
      <c r="A992" s="6"/>
      <c r="B992" s="1" t="s">
        <v>219</v>
      </c>
      <c r="C992" s="1" t="s">
        <v>23</v>
      </c>
      <c r="D992" s="5" t="s">
        <v>1554</v>
      </c>
    </row>
    <row r="993" customHeight="1" spans="1:4">
      <c r="A993" s="6"/>
      <c r="B993" s="1" t="s">
        <v>156</v>
      </c>
      <c r="C993" s="1" t="s">
        <v>23</v>
      </c>
      <c r="D993" s="5" t="s">
        <v>1554</v>
      </c>
    </row>
    <row r="994" customHeight="1" spans="1:4">
      <c r="A994" s="6"/>
      <c r="B994" s="1" t="s">
        <v>52</v>
      </c>
      <c r="C994" s="1" t="s">
        <v>23</v>
      </c>
      <c r="D994" s="5" t="s">
        <v>1554</v>
      </c>
    </row>
    <row r="995" customHeight="1" spans="1:4">
      <c r="A995" s="6"/>
      <c r="B995" s="1" t="s">
        <v>70</v>
      </c>
      <c r="C995" s="1" t="s">
        <v>23</v>
      </c>
      <c r="D995" s="5" t="s">
        <v>1554</v>
      </c>
    </row>
    <row r="996" customHeight="1" spans="1:4">
      <c r="A996" s="6"/>
      <c r="B996" s="1" t="s">
        <v>74</v>
      </c>
      <c r="C996" s="1" t="s">
        <v>23</v>
      </c>
      <c r="D996" s="5" t="s">
        <v>1554</v>
      </c>
    </row>
    <row r="997" customHeight="1" spans="1:4">
      <c r="A997" s="6"/>
      <c r="B997" s="1" t="s">
        <v>420</v>
      </c>
      <c r="C997" s="1" t="s">
        <v>147</v>
      </c>
      <c r="D997" s="5" t="s">
        <v>1554</v>
      </c>
    </row>
    <row r="998" customHeight="1" spans="1:4">
      <c r="A998" s="6"/>
      <c r="B998" s="1" t="s">
        <v>690</v>
      </c>
      <c r="C998" s="1" t="s">
        <v>147</v>
      </c>
      <c r="D998" s="5" t="s">
        <v>1554</v>
      </c>
    </row>
    <row r="999" customHeight="1" spans="1:4">
      <c r="A999" s="6"/>
      <c r="B999" s="1" t="s">
        <v>222</v>
      </c>
      <c r="C999" s="1" t="s">
        <v>23</v>
      </c>
      <c r="D999" s="5" t="s">
        <v>1554</v>
      </c>
    </row>
    <row r="1000" customHeight="1" spans="1:4">
      <c r="A1000" s="6"/>
      <c r="B1000" s="1" t="s">
        <v>114</v>
      </c>
      <c r="C1000" s="1" t="s">
        <v>23</v>
      </c>
      <c r="D1000" s="5" t="s">
        <v>1554</v>
      </c>
    </row>
    <row r="1001" customHeight="1" spans="1:4">
      <c r="A1001" s="6"/>
      <c r="B1001" s="1" t="s">
        <v>817</v>
      </c>
      <c r="C1001" s="1" t="s">
        <v>147</v>
      </c>
      <c r="D1001" s="5" t="s">
        <v>1554</v>
      </c>
    </row>
    <row r="1002" customHeight="1" spans="1:4">
      <c r="A1002" s="6"/>
      <c r="B1002" s="1" t="s">
        <v>508</v>
      </c>
      <c r="C1002" s="1" t="s">
        <v>147</v>
      </c>
      <c r="D1002" s="5" t="s">
        <v>1554</v>
      </c>
    </row>
    <row r="1003" customHeight="1" spans="1:4">
      <c r="A1003" s="6"/>
      <c r="B1003" s="1" t="s">
        <v>1323</v>
      </c>
      <c r="C1003" s="1" t="s">
        <v>147</v>
      </c>
      <c r="D1003" s="5" t="s">
        <v>1554</v>
      </c>
    </row>
    <row r="1004" customHeight="1" spans="1:4">
      <c r="A1004" s="6"/>
      <c r="B1004" s="1" t="s">
        <v>802</v>
      </c>
      <c r="C1004" s="1" t="s">
        <v>23</v>
      </c>
      <c r="D1004" s="5" t="s">
        <v>1554</v>
      </c>
    </row>
    <row r="1005" customHeight="1" spans="1:4">
      <c r="A1005" s="6"/>
      <c r="B1005" s="1" t="s">
        <v>814</v>
      </c>
      <c r="C1005" s="1" t="s">
        <v>147</v>
      </c>
      <c r="D1005" s="5" t="s">
        <v>1554</v>
      </c>
    </row>
    <row r="1006" customHeight="1" spans="1:4">
      <c r="A1006" s="6"/>
      <c r="B1006" s="1" t="s">
        <v>583</v>
      </c>
      <c r="C1006" s="1" t="s">
        <v>23</v>
      </c>
      <c r="D1006" s="5" t="s">
        <v>1554</v>
      </c>
    </row>
    <row r="1007" customHeight="1" spans="1:4">
      <c r="A1007" s="6"/>
      <c r="B1007" s="1" t="s">
        <v>1534</v>
      </c>
      <c r="C1007" s="1" t="s">
        <v>147</v>
      </c>
      <c r="D1007" s="5" t="s">
        <v>1554</v>
      </c>
    </row>
    <row r="1008" customHeight="1" spans="1:4">
      <c r="A1008" s="6"/>
      <c r="B1008" s="1" t="s">
        <v>431</v>
      </c>
      <c r="C1008" s="1" t="s">
        <v>147</v>
      </c>
      <c r="D1008" s="5" t="s">
        <v>1554</v>
      </c>
    </row>
    <row r="1009" customHeight="1" spans="1:4">
      <c r="A1009" s="6"/>
      <c r="B1009" s="1" t="s">
        <v>1321</v>
      </c>
      <c r="C1009" s="1" t="s">
        <v>147</v>
      </c>
      <c r="D1009" s="5" t="s">
        <v>1554</v>
      </c>
    </row>
    <row r="1010" customHeight="1" spans="1:4">
      <c r="A1010" s="6"/>
      <c r="B1010" s="1" t="s">
        <v>772</v>
      </c>
      <c r="C1010" s="1" t="s">
        <v>147</v>
      </c>
      <c r="D1010" s="5" t="s">
        <v>1554</v>
      </c>
    </row>
    <row r="1011" customHeight="1" spans="1:4">
      <c r="A1011" s="6"/>
      <c r="B1011" s="1" t="s">
        <v>666</v>
      </c>
      <c r="C1011" s="1" t="s">
        <v>147</v>
      </c>
      <c r="D1011" s="5" t="s">
        <v>1554</v>
      </c>
    </row>
    <row r="1012" customHeight="1" spans="1:4">
      <c r="A1012" s="6"/>
      <c r="B1012" s="1" t="s">
        <v>997</v>
      </c>
      <c r="C1012" s="1" t="s">
        <v>147</v>
      </c>
      <c r="D1012" s="5" t="s">
        <v>1554</v>
      </c>
    </row>
    <row r="1013" customHeight="1" spans="1:4">
      <c r="A1013" s="6"/>
      <c r="B1013" s="1" t="s">
        <v>546</v>
      </c>
      <c r="C1013" s="1" t="s">
        <v>147</v>
      </c>
      <c r="D1013" s="5" t="s">
        <v>1554</v>
      </c>
    </row>
    <row r="1014" customHeight="1" spans="1:4">
      <c r="A1014" s="6"/>
      <c r="B1014" s="1" t="s">
        <v>204</v>
      </c>
      <c r="C1014" s="1" t="s">
        <v>23</v>
      </c>
      <c r="D1014" s="5" t="s">
        <v>1554</v>
      </c>
    </row>
    <row r="1015" customHeight="1" spans="1:4">
      <c r="A1015" s="6"/>
      <c r="B1015" s="1" t="s">
        <v>1041</v>
      </c>
      <c r="C1015" s="1" t="s">
        <v>147</v>
      </c>
      <c r="D1015" s="5" t="s">
        <v>1554</v>
      </c>
    </row>
    <row r="1016" customHeight="1" spans="1:4">
      <c r="A1016" s="6"/>
      <c r="B1016" s="1" t="s">
        <v>886</v>
      </c>
      <c r="C1016" s="1" t="s">
        <v>147</v>
      </c>
      <c r="D1016" s="5" t="s">
        <v>1554</v>
      </c>
    </row>
    <row r="1017" customHeight="1" spans="1:4">
      <c r="A1017" s="6"/>
      <c r="B1017" s="1" t="s">
        <v>363</v>
      </c>
      <c r="C1017" s="1" t="s">
        <v>147</v>
      </c>
      <c r="D1017" s="5" t="s">
        <v>1554</v>
      </c>
    </row>
    <row r="1018" customHeight="1" spans="1:4">
      <c r="A1018" s="6"/>
      <c r="B1018" s="1" t="s">
        <v>1163</v>
      </c>
      <c r="C1018" s="1" t="s">
        <v>147</v>
      </c>
      <c r="D1018" s="5" t="s">
        <v>1554</v>
      </c>
    </row>
    <row r="1019" customHeight="1" spans="1:4">
      <c r="A1019" s="6"/>
      <c r="B1019" s="1" t="s">
        <v>703</v>
      </c>
      <c r="C1019" s="1" t="s">
        <v>147</v>
      </c>
      <c r="D1019" s="5" t="s">
        <v>1554</v>
      </c>
    </row>
    <row r="1020" customHeight="1" spans="1:4">
      <c r="A1020" s="6"/>
      <c r="B1020" s="1" t="s">
        <v>196</v>
      </c>
      <c r="C1020" s="1" t="s">
        <v>23</v>
      </c>
      <c r="D1020" s="5" t="s">
        <v>197</v>
      </c>
    </row>
    <row r="1021" customHeight="1" spans="1:4">
      <c r="A1021" s="1" t="s">
        <v>303</v>
      </c>
      <c r="B1021" s="1" t="s">
        <v>833</v>
      </c>
      <c r="C1021" s="1" t="s">
        <v>147</v>
      </c>
      <c r="D1021" s="5" t="s">
        <v>1554</v>
      </c>
    </row>
    <row r="1022" customHeight="1" spans="1:4">
      <c r="A1022" s="6"/>
      <c r="B1022" s="1" t="s">
        <v>767</v>
      </c>
      <c r="C1022" s="1" t="s">
        <v>147</v>
      </c>
      <c r="D1022" s="5" t="s">
        <v>1554</v>
      </c>
    </row>
    <row r="1023" customHeight="1" spans="1:4">
      <c r="A1023" s="6"/>
      <c r="B1023" s="1" t="s">
        <v>1065</v>
      </c>
      <c r="C1023" s="1" t="s">
        <v>147</v>
      </c>
      <c r="D1023" s="5" t="s">
        <v>1554</v>
      </c>
    </row>
    <row r="1024" customHeight="1" spans="1:4">
      <c r="A1024" s="6"/>
      <c r="B1024" s="1" t="s">
        <v>717</v>
      </c>
      <c r="C1024" s="1" t="s">
        <v>147</v>
      </c>
      <c r="D1024" s="5" t="s">
        <v>1554</v>
      </c>
    </row>
    <row r="1025" customHeight="1" spans="1:4">
      <c r="A1025" s="6"/>
      <c r="B1025" s="1" t="s">
        <v>992</v>
      </c>
      <c r="C1025" s="1" t="s">
        <v>147</v>
      </c>
      <c r="D1025" s="5" t="s">
        <v>1554</v>
      </c>
    </row>
    <row r="1026" customHeight="1" spans="1:4">
      <c r="A1026" s="6"/>
      <c r="B1026" s="1" t="s">
        <v>1097</v>
      </c>
      <c r="C1026" s="1" t="s">
        <v>147</v>
      </c>
      <c r="D1026" s="5" t="s">
        <v>992</v>
      </c>
    </row>
    <row r="1027" customHeight="1" spans="1:4">
      <c r="A1027" s="6"/>
      <c r="B1027" s="1" t="s">
        <v>822</v>
      </c>
      <c r="C1027" s="1" t="s">
        <v>147</v>
      </c>
      <c r="D1027" s="5" t="s">
        <v>1554</v>
      </c>
    </row>
    <row r="1028" customHeight="1" spans="1:4">
      <c r="A1028" s="6"/>
      <c r="B1028" s="1" t="s">
        <v>852</v>
      </c>
      <c r="C1028" s="1" t="s">
        <v>147</v>
      </c>
      <c r="D1028" s="5" t="s">
        <v>1554</v>
      </c>
    </row>
    <row r="1029" customHeight="1" spans="1:4">
      <c r="A1029" s="6"/>
      <c r="B1029" s="1" t="s">
        <v>302</v>
      </c>
      <c r="C1029" s="1" t="s">
        <v>147</v>
      </c>
      <c r="D1029" s="5" t="s">
        <v>1554</v>
      </c>
    </row>
    <row r="1030" customHeight="1" spans="1:4">
      <c r="A1030" s="1" t="s">
        <v>407</v>
      </c>
      <c r="B1030" s="1" t="s">
        <v>459</v>
      </c>
      <c r="C1030" s="1" t="s">
        <v>147</v>
      </c>
      <c r="D1030" s="5" t="s">
        <v>1554</v>
      </c>
    </row>
    <row r="1031" customHeight="1" spans="1:4">
      <c r="A1031" s="6"/>
      <c r="B1031" s="1" t="s">
        <v>432</v>
      </c>
      <c r="C1031" s="1" t="s">
        <v>147</v>
      </c>
      <c r="D1031" s="5" t="s">
        <v>1554</v>
      </c>
    </row>
    <row r="1032" customHeight="1" spans="1:4">
      <c r="A1032" s="6"/>
      <c r="B1032" s="1" t="s">
        <v>406</v>
      </c>
      <c r="C1032" s="1" t="s">
        <v>147</v>
      </c>
      <c r="D1032" s="5" t="s">
        <v>1554</v>
      </c>
    </row>
    <row r="1033" customHeight="1" spans="1:4">
      <c r="A1033" s="1" t="s">
        <v>312</v>
      </c>
      <c r="B1033" s="1" t="s">
        <v>706</v>
      </c>
      <c r="C1033" s="1" t="s">
        <v>147</v>
      </c>
      <c r="D1033" s="5" t="s">
        <v>707</v>
      </c>
    </row>
    <row r="1034" customHeight="1" spans="1:4">
      <c r="A1034" s="6"/>
      <c r="B1034" s="1" t="s">
        <v>1069</v>
      </c>
      <c r="C1034" s="1" t="s">
        <v>14</v>
      </c>
      <c r="D1034" s="5" t="s">
        <v>1554</v>
      </c>
    </row>
    <row r="1035" customHeight="1" spans="1:4">
      <c r="A1035" s="6"/>
      <c r="B1035" s="1" t="s">
        <v>576</v>
      </c>
      <c r="C1035" s="1" t="s">
        <v>147</v>
      </c>
      <c r="D1035" s="5" t="s">
        <v>1554</v>
      </c>
    </row>
    <row r="1036" customHeight="1" spans="1:4">
      <c r="A1036" s="6"/>
      <c r="B1036" s="1" t="s">
        <v>620</v>
      </c>
      <c r="C1036" s="1" t="s">
        <v>147</v>
      </c>
      <c r="D1036" s="5" t="s">
        <v>1554</v>
      </c>
    </row>
    <row r="1037" customHeight="1" spans="1:4">
      <c r="A1037" s="6"/>
      <c r="B1037" s="1" t="s">
        <v>757</v>
      </c>
      <c r="C1037" s="1" t="s">
        <v>23</v>
      </c>
      <c r="D1037" s="5" t="s">
        <v>1554</v>
      </c>
    </row>
    <row r="1038" customHeight="1" spans="1:4">
      <c r="A1038" s="6"/>
      <c r="B1038" s="1" t="s">
        <v>947</v>
      </c>
      <c r="C1038" s="1" t="s">
        <v>147</v>
      </c>
      <c r="D1038" s="5" t="s">
        <v>1554</v>
      </c>
    </row>
    <row r="1039" customHeight="1" spans="1:4">
      <c r="A1039" s="6"/>
      <c r="B1039" s="1" t="s">
        <v>729</v>
      </c>
      <c r="C1039" s="1" t="s">
        <v>147</v>
      </c>
      <c r="D1039" s="5" t="s">
        <v>1554</v>
      </c>
    </row>
    <row r="1040" customHeight="1" spans="1:4">
      <c r="A1040" s="6"/>
      <c r="B1040" s="1" t="s">
        <v>853</v>
      </c>
      <c r="C1040" s="1" t="s">
        <v>147</v>
      </c>
      <c r="D1040" s="5" t="s">
        <v>1554</v>
      </c>
    </row>
    <row r="1041" customHeight="1" spans="1:4">
      <c r="A1041" s="6"/>
      <c r="B1041" s="1" t="s">
        <v>976</v>
      </c>
      <c r="C1041" s="1" t="s">
        <v>147</v>
      </c>
      <c r="D1041" s="5" t="s">
        <v>1554</v>
      </c>
    </row>
    <row r="1042" customHeight="1" spans="1:4">
      <c r="A1042" s="6"/>
      <c r="B1042" s="1" t="s">
        <v>864</v>
      </c>
      <c r="C1042" s="1" t="s">
        <v>147</v>
      </c>
      <c r="D1042" s="5" t="s">
        <v>1554</v>
      </c>
    </row>
    <row r="1043" customHeight="1" spans="1:4">
      <c r="A1043" s="6"/>
      <c r="B1043" s="1" t="s">
        <v>846</v>
      </c>
      <c r="C1043" s="1" t="s">
        <v>147</v>
      </c>
      <c r="D1043" s="5" t="s">
        <v>1554</v>
      </c>
    </row>
    <row r="1044" customHeight="1" spans="1:4">
      <c r="A1044" s="6"/>
      <c r="B1044" s="1" t="s">
        <v>899</v>
      </c>
      <c r="C1044" s="1" t="s">
        <v>147</v>
      </c>
      <c r="D1044" s="5" t="s">
        <v>1554</v>
      </c>
    </row>
    <row r="1045" customHeight="1" spans="1:4">
      <c r="A1045" s="6"/>
      <c r="B1045" s="1" t="s">
        <v>1127</v>
      </c>
      <c r="C1045" s="1" t="s">
        <v>147</v>
      </c>
      <c r="D1045" s="5" t="s">
        <v>1554</v>
      </c>
    </row>
    <row r="1046" customHeight="1" spans="1:4">
      <c r="A1046" s="6"/>
      <c r="B1046" s="1" t="s">
        <v>1100</v>
      </c>
      <c r="C1046" s="1" t="s">
        <v>147</v>
      </c>
      <c r="D1046" s="5" t="s">
        <v>1554</v>
      </c>
    </row>
    <row r="1047" customHeight="1" spans="1:4">
      <c r="A1047" s="6"/>
      <c r="B1047" s="1" t="s">
        <v>311</v>
      </c>
      <c r="C1047" s="1" t="s">
        <v>147</v>
      </c>
      <c r="D1047" s="5" t="s">
        <v>1554</v>
      </c>
    </row>
    <row r="1048" customHeight="1" spans="1:4">
      <c r="A1048" s="6"/>
      <c r="B1048" s="1" t="s">
        <v>1244</v>
      </c>
      <c r="C1048" s="1" t="s">
        <v>147</v>
      </c>
      <c r="D1048" s="5" t="s">
        <v>976</v>
      </c>
    </row>
    <row r="1049" customHeight="1" spans="1:4">
      <c r="A1049" s="6"/>
      <c r="B1049" s="1" t="s">
        <v>699</v>
      </c>
      <c r="C1049" s="1" t="s">
        <v>147</v>
      </c>
      <c r="D1049" s="5" t="s">
        <v>1554</v>
      </c>
    </row>
    <row r="1050" customHeight="1" spans="1:4">
      <c r="A1050" s="1" t="s">
        <v>347</v>
      </c>
      <c r="B1050" s="1" t="s">
        <v>381</v>
      </c>
      <c r="C1050" s="1" t="s">
        <v>14</v>
      </c>
      <c r="D1050" s="5" t="s">
        <v>1554</v>
      </c>
    </row>
    <row r="1051" customHeight="1" spans="1:4">
      <c r="A1051" s="6"/>
      <c r="B1051" s="1" t="s">
        <v>346</v>
      </c>
      <c r="C1051" s="1" t="s">
        <v>147</v>
      </c>
      <c r="D1051" s="5" t="s">
        <v>1554</v>
      </c>
    </row>
    <row r="1052" customHeight="1" spans="1:4">
      <c r="A1052" s="1" t="s">
        <v>230</v>
      </c>
      <c r="B1052" s="1" t="s">
        <v>1457</v>
      </c>
      <c r="C1052" s="1" t="s">
        <v>14</v>
      </c>
      <c r="D1052" s="5" t="s">
        <v>1554</v>
      </c>
    </row>
    <row r="1053" customHeight="1" spans="1:4">
      <c r="A1053" s="6"/>
      <c r="B1053" s="1" t="s">
        <v>807</v>
      </c>
      <c r="C1053" s="1" t="s">
        <v>147</v>
      </c>
      <c r="D1053" s="5" t="s">
        <v>1554</v>
      </c>
    </row>
    <row r="1054" customHeight="1" spans="1:4">
      <c r="A1054" s="6"/>
      <c r="B1054" s="1" t="s">
        <v>655</v>
      </c>
      <c r="C1054" s="1" t="s">
        <v>147</v>
      </c>
      <c r="D1054" s="5" t="s">
        <v>1554</v>
      </c>
    </row>
    <row r="1055" customHeight="1" spans="1:4">
      <c r="A1055" s="6"/>
      <c r="B1055" s="1" t="s">
        <v>1199</v>
      </c>
      <c r="C1055" s="1" t="s">
        <v>147</v>
      </c>
      <c r="D1055" s="5" t="s">
        <v>1554</v>
      </c>
    </row>
    <row r="1056" customHeight="1" spans="1:4">
      <c r="A1056" s="6"/>
      <c r="B1056" s="1" t="s">
        <v>897</v>
      </c>
      <c r="C1056" s="1" t="s">
        <v>147</v>
      </c>
      <c r="D1056" s="5" t="s">
        <v>1554</v>
      </c>
    </row>
    <row r="1057" customHeight="1" spans="1:4">
      <c r="A1057" s="6"/>
      <c r="B1057" s="1" t="s">
        <v>1513</v>
      </c>
      <c r="C1057" s="1" t="s">
        <v>147</v>
      </c>
      <c r="D1057" s="5" t="s">
        <v>1554</v>
      </c>
    </row>
    <row r="1058" customHeight="1" spans="1:4">
      <c r="A1058" s="6"/>
      <c r="B1058" s="1" t="s">
        <v>228</v>
      </c>
      <c r="C1058" s="1" t="s">
        <v>23</v>
      </c>
      <c r="D1058" s="5" t="s">
        <v>229</v>
      </c>
    </row>
    <row r="1059" customHeight="1" spans="1:4">
      <c r="A1059" s="6"/>
      <c r="B1059" s="1" t="s">
        <v>1040</v>
      </c>
      <c r="C1059" s="1" t="s">
        <v>147</v>
      </c>
      <c r="D1059" s="5" t="s">
        <v>1554</v>
      </c>
    </row>
    <row r="1060" customHeight="1" spans="1:4">
      <c r="A1060" s="6"/>
      <c r="B1060" s="1" t="s">
        <v>592</v>
      </c>
      <c r="C1060" s="1" t="s">
        <v>147</v>
      </c>
      <c r="D1060" s="5" t="s">
        <v>1554</v>
      </c>
    </row>
    <row r="1061" customHeight="1" spans="1:4">
      <c r="A1061" s="6"/>
      <c r="B1061" s="1" t="s">
        <v>598</v>
      </c>
      <c r="C1061" s="1" t="s">
        <v>147</v>
      </c>
      <c r="D1061" s="5" t="s">
        <v>1554</v>
      </c>
    </row>
    <row r="1062" customHeight="1" spans="1:4">
      <c r="A1062" s="6"/>
      <c r="B1062" s="1" t="s">
        <v>364</v>
      </c>
      <c r="C1062" s="1" t="s">
        <v>147</v>
      </c>
      <c r="D1062" s="5" t="s">
        <v>1554</v>
      </c>
    </row>
    <row r="1063" customHeight="1" spans="1:4">
      <c r="A1063" s="6"/>
      <c r="B1063" s="1" t="s">
        <v>531</v>
      </c>
      <c r="C1063" s="1" t="s">
        <v>147</v>
      </c>
      <c r="D1063" s="5" t="s">
        <v>1554</v>
      </c>
    </row>
    <row r="1064" customHeight="1" spans="1:4">
      <c r="A1064" s="1" t="s">
        <v>1554</v>
      </c>
      <c r="B1064" s="1" t="s">
        <v>34</v>
      </c>
      <c r="C1064" s="1" t="s">
        <v>23</v>
      </c>
      <c r="D1064" s="5" t="s">
        <v>35</v>
      </c>
    </row>
    <row r="1065" customHeight="1" spans="1:4">
      <c r="A1065" s="6"/>
      <c r="B1065" s="1" t="s">
        <v>122</v>
      </c>
      <c r="C1065" s="1" t="s">
        <v>23</v>
      </c>
      <c r="D1065" s="5" t="s">
        <v>1554</v>
      </c>
    </row>
    <row r="1066" customHeight="1" spans="1:4">
      <c r="A1066" s="6"/>
      <c r="B1066" s="1" t="s">
        <v>1414</v>
      </c>
      <c r="C1066" s="1" t="s">
        <v>147</v>
      </c>
      <c r="D1066" s="5" t="s">
        <v>1554</v>
      </c>
    </row>
    <row r="1067" customHeight="1" spans="1:4">
      <c r="A1067" s="10" t="s">
        <v>1556</v>
      </c>
      <c r="B1067" s="10"/>
      <c r="C1067" s="10"/>
      <c r="D1067" s="6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67"/>
  <sheetViews>
    <sheetView showGridLines="0" workbookViewId="0">
      <selection activeCell="A1" sqref="A1"/>
    </sheetView>
  </sheetViews>
  <sheetFormatPr defaultColWidth="14.4259259259259" defaultRowHeight="15" customHeight="1" outlineLevelCol="3"/>
  <cols>
    <col min="1" max="1" width="57.4259259259259" customWidth="1"/>
    <col min="3" max="3" width="94.4259259259259" customWidth="1"/>
  </cols>
  <sheetData>
    <row r="1" customHeight="1" spans="1:4">
      <c r="A1" s="1" t="s">
        <v>1553</v>
      </c>
      <c r="B1" s="1" t="s">
        <v>1557</v>
      </c>
      <c r="C1" s="1" t="s">
        <v>0</v>
      </c>
      <c r="D1" s="5" t="s">
        <v>1558</v>
      </c>
    </row>
    <row r="2" customHeight="1" spans="1:4">
      <c r="A2" s="1" t="s">
        <v>868</v>
      </c>
      <c r="B2" s="1" t="s">
        <v>190</v>
      </c>
      <c r="C2" s="1" t="s">
        <v>867</v>
      </c>
      <c r="D2" s="5" t="s">
        <v>15</v>
      </c>
    </row>
    <row r="3" customHeight="1" spans="1:4">
      <c r="A3" s="1" t="s">
        <v>724</v>
      </c>
      <c r="B3" s="1" t="s">
        <v>183</v>
      </c>
      <c r="C3" s="1" t="s">
        <v>723</v>
      </c>
      <c r="D3" s="5" t="s">
        <v>1554</v>
      </c>
    </row>
    <row r="4" customHeight="1" spans="1:4">
      <c r="A4" s="1" t="s">
        <v>1168</v>
      </c>
      <c r="B4" s="1" t="s">
        <v>15</v>
      </c>
      <c r="C4" s="1" t="s">
        <v>1167</v>
      </c>
      <c r="D4" s="5" t="s">
        <v>15</v>
      </c>
    </row>
    <row r="5" customHeight="1" spans="1:4">
      <c r="A5" s="1" t="s">
        <v>383</v>
      </c>
      <c r="B5" s="1" t="s">
        <v>190</v>
      </c>
      <c r="C5" s="1" t="s">
        <v>384</v>
      </c>
      <c r="D5" s="5" t="s">
        <v>1554</v>
      </c>
    </row>
    <row r="6" customHeight="1" spans="1:4">
      <c r="A6" s="1" t="s">
        <v>586</v>
      </c>
      <c r="B6" s="1" t="s">
        <v>15</v>
      </c>
      <c r="C6" s="1" t="s">
        <v>585</v>
      </c>
      <c r="D6" s="5" t="s">
        <v>183</v>
      </c>
    </row>
    <row r="7" customHeight="1" spans="1:4">
      <c r="A7" s="1" t="s">
        <v>1122</v>
      </c>
      <c r="B7" s="1" t="s">
        <v>190</v>
      </c>
      <c r="C7" s="1" t="s">
        <v>1121</v>
      </c>
      <c r="D7" s="5" t="s">
        <v>15</v>
      </c>
    </row>
    <row r="8" customHeight="1" spans="1:4">
      <c r="A8" s="1" t="s">
        <v>1140</v>
      </c>
      <c r="B8" s="1" t="s">
        <v>1554</v>
      </c>
      <c r="C8" s="1" t="s">
        <v>1139</v>
      </c>
      <c r="D8" s="5" t="s">
        <v>1554</v>
      </c>
    </row>
    <row r="9" customHeight="1" spans="1:4">
      <c r="A9" s="1" t="s">
        <v>1091</v>
      </c>
      <c r="B9" s="1" t="s">
        <v>15</v>
      </c>
      <c r="C9" s="1" t="s">
        <v>1090</v>
      </c>
      <c r="D9" s="5" t="s">
        <v>15</v>
      </c>
    </row>
    <row r="10" customHeight="1" spans="1:4">
      <c r="A10" s="1" t="s">
        <v>999</v>
      </c>
      <c r="B10" s="1" t="s">
        <v>1554</v>
      </c>
      <c r="C10" s="1" t="s">
        <v>998</v>
      </c>
      <c r="D10" s="5" t="s">
        <v>1554</v>
      </c>
    </row>
    <row r="11" customHeight="1" spans="1:4">
      <c r="A11" s="1" t="s">
        <v>1525</v>
      </c>
      <c r="B11" s="1" t="s">
        <v>183</v>
      </c>
      <c r="C11" s="1" t="s">
        <v>1524</v>
      </c>
      <c r="D11" s="5" t="s">
        <v>1554</v>
      </c>
    </row>
    <row r="12" customHeight="1" spans="1:4">
      <c r="A12" s="1" t="s">
        <v>184</v>
      </c>
      <c r="B12" s="1" t="s">
        <v>183</v>
      </c>
      <c r="C12" s="1" t="s">
        <v>226</v>
      </c>
      <c r="D12" s="5" t="s">
        <v>15</v>
      </c>
    </row>
    <row r="13" customHeight="1" spans="1:4">
      <c r="A13" s="6"/>
      <c r="B13" s="6"/>
      <c r="C13" s="1" t="s">
        <v>182</v>
      </c>
      <c r="D13" s="5" t="s">
        <v>1554</v>
      </c>
    </row>
    <row r="14" customHeight="1" spans="1:4">
      <c r="A14" s="1" t="s">
        <v>528</v>
      </c>
      <c r="B14" s="1" t="s">
        <v>183</v>
      </c>
      <c r="C14" s="1" t="s">
        <v>527</v>
      </c>
      <c r="D14" s="5" t="s">
        <v>15</v>
      </c>
    </row>
    <row r="15" customHeight="1" spans="1:4">
      <c r="A15" s="1" t="s">
        <v>966</v>
      </c>
      <c r="B15" s="1" t="s">
        <v>1554</v>
      </c>
      <c r="C15" s="1" t="s">
        <v>965</v>
      </c>
      <c r="D15" s="5" t="s">
        <v>1554</v>
      </c>
    </row>
    <row r="16" customHeight="1" spans="1:4">
      <c r="A16" s="1" t="s">
        <v>179</v>
      </c>
      <c r="B16" s="1" t="s">
        <v>15</v>
      </c>
      <c r="C16" s="1" t="s">
        <v>178</v>
      </c>
      <c r="D16" s="5" t="s">
        <v>15</v>
      </c>
    </row>
    <row r="17" customHeight="1" spans="1:4">
      <c r="A17" s="1" t="s">
        <v>1147</v>
      </c>
      <c r="B17" s="1" t="s">
        <v>190</v>
      </c>
      <c r="C17" s="1" t="s">
        <v>1146</v>
      </c>
      <c r="D17" s="5" t="s">
        <v>15</v>
      </c>
    </row>
    <row r="18" customHeight="1" spans="1:4">
      <c r="A18" s="1" t="s">
        <v>481</v>
      </c>
      <c r="B18" s="1" t="s">
        <v>183</v>
      </c>
      <c r="C18" s="1" t="s">
        <v>1347</v>
      </c>
      <c r="D18" s="5" t="s">
        <v>15</v>
      </c>
    </row>
    <row r="19" customHeight="1" spans="1:4">
      <c r="A19" s="6"/>
      <c r="B19" s="6"/>
      <c r="C19" s="1" t="s">
        <v>480</v>
      </c>
      <c r="D19" s="5" t="s">
        <v>15</v>
      </c>
    </row>
    <row r="20" customHeight="1" spans="1:4">
      <c r="A20" s="1" t="s">
        <v>166</v>
      </c>
      <c r="B20" s="1" t="s">
        <v>1554</v>
      </c>
      <c r="C20" s="1" t="s">
        <v>165</v>
      </c>
      <c r="D20" s="5" t="s">
        <v>1554</v>
      </c>
    </row>
    <row r="21" customHeight="1" spans="1:4">
      <c r="A21" s="1" t="s">
        <v>381</v>
      </c>
      <c r="B21" s="1" t="s">
        <v>183</v>
      </c>
      <c r="C21" s="1" t="s">
        <v>1453</v>
      </c>
      <c r="D21" s="5" t="s">
        <v>1554</v>
      </c>
    </row>
    <row r="22" customHeight="1" spans="1:4">
      <c r="A22" s="1" t="s">
        <v>707</v>
      </c>
      <c r="B22" s="1" t="s">
        <v>15</v>
      </c>
      <c r="C22" s="1" t="s">
        <v>706</v>
      </c>
      <c r="D22" s="5" t="s">
        <v>15</v>
      </c>
    </row>
    <row r="23" customHeight="1" spans="1:4">
      <c r="A23" s="1" t="s">
        <v>889</v>
      </c>
      <c r="B23" s="1" t="s">
        <v>15</v>
      </c>
      <c r="C23" s="1" t="s">
        <v>888</v>
      </c>
      <c r="D23" s="5" t="s">
        <v>1554</v>
      </c>
    </row>
    <row r="24" customHeight="1" spans="1:4">
      <c r="A24" s="1" t="s">
        <v>1202</v>
      </c>
      <c r="B24" s="1" t="s">
        <v>15</v>
      </c>
      <c r="C24" s="1" t="s">
        <v>1201</v>
      </c>
      <c r="D24" s="5" t="s">
        <v>1554</v>
      </c>
    </row>
    <row r="25" customHeight="1" spans="1:4">
      <c r="A25" s="1" t="s">
        <v>1186</v>
      </c>
      <c r="B25" s="1" t="s">
        <v>15</v>
      </c>
      <c r="C25" s="1" t="s">
        <v>1185</v>
      </c>
      <c r="D25" s="5" t="s">
        <v>1554</v>
      </c>
    </row>
    <row r="26" customHeight="1" spans="1:4">
      <c r="A26" s="1" t="s">
        <v>148</v>
      </c>
      <c r="B26" s="1" t="s">
        <v>1554</v>
      </c>
      <c r="C26" s="1" t="s">
        <v>146</v>
      </c>
      <c r="D26" s="5" t="s">
        <v>1554</v>
      </c>
    </row>
    <row r="27" customHeight="1" spans="1:4">
      <c r="A27" s="1" t="s">
        <v>1204</v>
      </c>
      <c r="B27" s="1" t="s">
        <v>183</v>
      </c>
      <c r="C27" s="1" t="s">
        <v>1206</v>
      </c>
      <c r="D27" s="5" t="s">
        <v>1554</v>
      </c>
    </row>
    <row r="28" customHeight="1" spans="1:4">
      <c r="A28" s="1" t="s">
        <v>795</v>
      </c>
      <c r="B28" s="1" t="s">
        <v>183</v>
      </c>
      <c r="C28" s="1" t="s">
        <v>794</v>
      </c>
      <c r="D28" s="5" t="s">
        <v>183</v>
      </c>
    </row>
    <row r="29" customHeight="1" spans="1:4">
      <c r="A29" s="1" t="s">
        <v>384</v>
      </c>
      <c r="B29" s="1" t="s">
        <v>183</v>
      </c>
      <c r="C29" s="1" t="s">
        <v>383</v>
      </c>
      <c r="D29" s="5" t="s">
        <v>15</v>
      </c>
    </row>
    <row r="30" customHeight="1" spans="1:4">
      <c r="A30" s="1" t="s">
        <v>861</v>
      </c>
      <c r="B30" s="1" t="s">
        <v>1554</v>
      </c>
      <c r="C30" s="1" t="s">
        <v>860</v>
      </c>
      <c r="D30" s="5" t="s">
        <v>1554</v>
      </c>
    </row>
    <row r="31" customHeight="1" spans="1:4">
      <c r="A31" s="1" t="s">
        <v>1550</v>
      </c>
      <c r="B31" s="1" t="s">
        <v>15</v>
      </c>
      <c r="C31" s="1" t="s">
        <v>205</v>
      </c>
      <c r="D31" s="5" t="s">
        <v>1554</v>
      </c>
    </row>
    <row r="32" customHeight="1" spans="1:4">
      <c r="A32" s="1" t="s">
        <v>745</v>
      </c>
      <c r="B32" s="1" t="s">
        <v>183</v>
      </c>
      <c r="C32" s="1" t="s">
        <v>744</v>
      </c>
      <c r="D32" s="5" t="s">
        <v>15</v>
      </c>
    </row>
    <row r="33" customHeight="1" spans="1:4">
      <c r="A33" s="6"/>
      <c r="B33" s="6"/>
      <c r="C33" s="1" t="s">
        <v>745</v>
      </c>
      <c r="D33" s="5" t="s">
        <v>1554</v>
      </c>
    </row>
    <row r="34" customHeight="1" spans="1:4">
      <c r="A34" s="1" t="s">
        <v>1019</v>
      </c>
      <c r="B34" s="1" t="s">
        <v>183</v>
      </c>
      <c r="C34" s="1" t="s">
        <v>875</v>
      </c>
      <c r="D34" s="5" t="s">
        <v>1554</v>
      </c>
    </row>
    <row r="35" customHeight="1" spans="1:4">
      <c r="A35" s="1" t="s">
        <v>1067</v>
      </c>
      <c r="B35" s="1" t="s">
        <v>1554</v>
      </c>
      <c r="C35" s="1" t="s">
        <v>1149</v>
      </c>
      <c r="D35" s="5" t="s">
        <v>1554</v>
      </c>
    </row>
    <row r="36" customHeight="1" spans="1:4">
      <c r="A36" s="1" t="s">
        <v>357</v>
      </c>
      <c r="B36" s="1" t="s">
        <v>183</v>
      </c>
      <c r="C36" s="1" t="s">
        <v>879</v>
      </c>
      <c r="D36" s="5" t="s">
        <v>15</v>
      </c>
    </row>
    <row r="37" customHeight="1" spans="1:4">
      <c r="A37" s="6"/>
      <c r="B37" s="6"/>
      <c r="C37" s="1" t="s">
        <v>740</v>
      </c>
      <c r="D37" s="5" t="s">
        <v>15</v>
      </c>
    </row>
    <row r="38" customHeight="1" spans="1:4">
      <c r="A38" s="1" t="s">
        <v>16</v>
      </c>
      <c r="B38" s="1" t="s">
        <v>15</v>
      </c>
      <c r="C38" s="1" t="s">
        <v>13</v>
      </c>
      <c r="D38" s="5" t="s">
        <v>1554</v>
      </c>
    </row>
    <row r="39" customHeight="1" spans="1:4">
      <c r="A39" s="6"/>
      <c r="B39" s="6"/>
      <c r="C39" s="1" t="s">
        <v>34</v>
      </c>
      <c r="D39" s="5" t="s">
        <v>1554</v>
      </c>
    </row>
    <row r="40" customHeight="1" spans="1:4">
      <c r="A40" s="1" t="s">
        <v>292</v>
      </c>
      <c r="B40" s="1" t="s">
        <v>15</v>
      </c>
      <c r="C40" s="1" t="s">
        <v>591</v>
      </c>
      <c r="D40" s="5" t="s">
        <v>1554</v>
      </c>
    </row>
    <row r="41" customHeight="1" spans="1:4">
      <c r="A41" s="1" t="s">
        <v>322</v>
      </c>
      <c r="B41" s="1" t="s">
        <v>15</v>
      </c>
      <c r="C41" s="1" t="s">
        <v>322</v>
      </c>
      <c r="D41" s="5" t="s">
        <v>15</v>
      </c>
    </row>
    <row r="42" customHeight="1" spans="1:4">
      <c r="A42" s="1" t="s">
        <v>281</v>
      </c>
      <c r="B42" s="1" t="s">
        <v>183</v>
      </c>
      <c r="C42" s="1" t="s">
        <v>280</v>
      </c>
      <c r="D42" s="5" t="s">
        <v>183</v>
      </c>
    </row>
    <row r="43" customHeight="1" spans="1:4">
      <c r="A43" s="1" t="s">
        <v>1549</v>
      </c>
      <c r="B43" s="1" t="s">
        <v>15</v>
      </c>
      <c r="C43" s="1" t="s">
        <v>416</v>
      </c>
      <c r="D43" s="5" t="s">
        <v>1554</v>
      </c>
    </row>
    <row r="44" customHeight="1" spans="1:4">
      <c r="A44" s="1" t="s">
        <v>122</v>
      </c>
      <c r="B44" s="1" t="s">
        <v>15</v>
      </c>
      <c r="C44" s="1" t="s">
        <v>122</v>
      </c>
      <c r="D44" s="5" t="s">
        <v>1554</v>
      </c>
    </row>
    <row r="45" customHeight="1" spans="1:4">
      <c r="A45" s="1" t="s">
        <v>213</v>
      </c>
      <c r="B45" s="1" t="s">
        <v>15</v>
      </c>
      <c r="C45" s="1" t="s">
        <v>387</v>
      </c>
      <c r="D45" s="5" t="s">
        <v>1554</v>
      </c>
    </row>
    <row r="46" customHeight="1" spans="1:4">
      <c r="A46" s="1" t="s">
        <v>875</v>
      </c>
      <c r="B46" s="1" t="s">
        <v>183</v>
      </c>
      <c r="C46" s="1" t="s">
        <v>874</v>
      </c>
      <c r="D46" s="5" t="s">
        <v>183</v>
      </c>
    </row>
    <row r="47" customHeight="1" spans="1:4">
      <c r="A47" s="1" t="s">
        <v>1551</v>
      </c>
      <c r="B47" s="1" t="s">
        <v>15</v>
      </c>
      <c r="C47" s="1" t="s">
        <v>891</v>
      </c>
      <c r="D47" s="5" t="s">
        <v>1554</v>
      </c>
    </row>
    <row r="48" customHeight="1" spans="1:4">
      <c r="A48" s="1" t="s">
        <v>134</v>
      </c>
      <c r="B48" s="1" t="s">
        <v>183</v>
      </c>
      <c r="C48" s="1" t="s">
        <v>1030</v>
      </c>
      <c r="D48" s="5" t="s">
        <v>15</v>
      </c>
    </row>
    <row r="49" customHeight="1" spans="1:4">
      <c r="A49" s="1" t="s">
        <v>723</v>
      </c>
      <c r="B49" s="1" t="s">
        <v>190</v>
      </c>
      <c r="C49" s="1" t="s">
        <v>812</v>
      </c>
      <c r="D49" s="5" t="s">
        <v>1554</v>
      </c>
    </row>
    <row r="50" customHeight="1" spans="1:4">
      <c r="A50" s="1" t="s">
        <v>262</v>
      </c>
      <c r="B50" s="1" t="s">
        <v>15</v>
      </c>
      <c r="C50" s="1" t="s">
        <v>261</v>
      </c>
      <c r="D50" s="5" t="s">
        <v>1554</v>
      </c>
    </row>
    <row r="51" customHeight="1" spans="1:4">
      <c r="A51" s="1" t="s">
        <v>1010</v>
      </c>
      <c r="B51" s="1" t="s">
        <v>190</v>
      </c>
      <c r="C51" s="1" t="s">
        <v>1009</v>
      </c>
      <c r="D51" s="5" t="s">
        <v>1554</v>
      </c>
    </row>
    <row r="52" customHeight="1" spans="1:4">
      <c r="A52" s="1" t="s">
        <v>850</v>
      </c>
      <c r="B52" s="1" t="s">
        <v>183</v>
      </c>
      <c r="C52" s="1" t="s">
        <v>849</v>
      </c>
      <c r="D52" s="5" t="s">
        <v>15</v>
      </c>
    </row>
    <row r="53" customHeight="1" spans="1:4">
      <c r="A53" s="1" t="s">
        <v>35</v>
      </c>
      <c r="B53" s="1" t="s">
        <v>15</v>
      </c>
      <c r="C53" s="1" t="s">
        <v>34</v>
      </c>
      <c r="D53" s="5" t="s">
        <v>1554</v>
      </c>
    </row>
    <row r="54" customHeight="1" spans="1:4">
      <c r="A54" s="1" t="s">
        <v>155</v>
      </c>
      <c r="B54" s="1" t="s">
        <v>1554</v>
      </c>
      <c r="C54" s="1" t="s">
        <v>154</v>
      </c>
      <c r="D54" s="5" t="s">
        <v>1554</v>
      </c>
    </row>
    <row r="55" customHeight="1" spans="1:4">
      <c r="A55" s="1" t="s">
        <v>236</v>
      </c>
      <c r="B55" s="1" t="s">
        <v>1554</v>
      </c>
      <c r="C55" s="1" t="s">
        <v>235</v>
      </c>
      <c r="D55" s="5" t="s">
        <v>1554</v>
      </c>
    </row>
    <row r="56" customHeight="1" spans="1:4">
      <c r="A56" s="1" t="s">
        <v>218</v>
      </c>
      <c r="B56" s="1" t="s">
        <v>1554</v>
      </c>
      <c r="C56" s="1" t="s">
        <v>217</v>
      </c>
      <c r="D56" s="5" t="s">
        <v>1554</v>
      </c>
    </row>
    <row r="57" customHeight="1" spans="1:4">
      <c r="A57" s="1" t="s">
        <v>158</v>
      </c>
      <c r="B57" s="1" t="s">
        <v>1554</v>
      </c>
      <c r="C57" s="1" t="s">
        <v>157</v>
      </c>
      <c r="D57" s="5" t="s">
        <v>1554</v>
      </c>
    </row>
    <row r="58" customHeight="1" spans="1:4">
      <c r="A58" s="1" t="s">
        <v>181</v>
      </c>
      <c r="B58" s="1" t="s">
        <v>1554</v>
      </c>
      <c r="C58" s="1" t="s">
        <v>180</v>
      </c>
      <c r="D58" s="5" t="s">
        <v>1554</v>
      </c>
    </row>
    <row r="59" customHeight="1" spans="1:4">
      <c r="A59" s="1" t="s">
        <v>238</v>
      </c>
      <c r="B59" s="1" t="s">
        <v>1554</v>
      </c>
      <c r="C59" s="1" t="s">
        <v>237</v>
      </c>
      <c r="D59" s="5" t="s">
        <v>1554</v>
      </c>
    </row>
    <row r="60" customHeight="1" spans="1:4">
      <c r="A60" s="1" t="s">
        <v>1119</v>
      </c>
      <c r="B60" s="1" t="s">
        <v>15</v>
      </c>
      <c r="C60" s="1" t="s">
        <v>1118</v>
      </c>
      <c r="D60" s="5" t="s">
        <v>15</v>
      </c>
    </row>
    <row r="61" customHeight="1" spans="1:4">
      <c r="A61" s="1" t="s">
        <v>234</v>
      </c>
      <c r="B61" s="1" t="s">
        <v>1554</v>
      </c>
      <c r="C61" s="1" t="s">
        <v>233</v>
      </c>
      <c r="D61" s="5" t="s">
        <v>1554</v>
      </c>
    </row>
    <row r="62" customHeight="1" spans="1:4">
      <c r="A62" s="1" t="s">
        <v>510</v>
      </c>
      <c r="B62" s="1" t="s">
        <v>15</v>
      </c>
      <c r="C62" s="1" t="s">
        <v>509</v>
      </c>
      <c r="D62" s="5" t="s">
        <v>183</v>
      </c>
    </row>
    <row r="63" customHeight="1" spans="1:4">
      <c r="A63" s="1" t="s">
        <v>1181</v>
      </c>
      <c r="B63" s="1" t="s">
        <v>15</v>
      </c>
      <c r="C63" s="1" t="s">
        <v>1180</v>
      </c>
      <c r="D63" s="5" t="s">
        <v>1554</v>
      </c>
    </row>
    <row r="64" customHeight="1" spans="1:4">
      <c r="A64" s="1" t="s">
        <v>221</v>
      </c>
      <c r="B64" s="1" t="s">
        <v>1554</v>
      </c>
      <c r="C64" s="1" t="s">
        <v>220</v>
      </c>
      <c r="D64" s="5" t="s">
        <v>1554</v>
      </c>
    </row>
    <row r="65" customHeight="1" spans="1:4">
      <c r="A65" s="1" t="s">
        <v>1142</v>
      </c>
      <c r="B65" s="1" t="s">
        <v>15</v>
      </c>
      <c r="C65" s="1" t="s">
        <v>1141</v>
      </c>
      <c r="D65" s="5" t="s">
        <v>1554</v>
      </c>
    </row>
    <row r="66" customHeight="1" spans="1:4">
      <c r="A66" s="1" t="s">
        <v>972</v>
      </c>
      <c r="B66" s="1" t="s">
        <v>15</v>
      </c>
      <c r="C66" s="1" t="s">
        <v>971</v>
      </c>
      <c r="D66" s="5" t="s">
        <v>15</v>
      </c>
    </row>
    <row r="67" customHeight="1" spans="1:4">
      <c r="A67" s="1" t="s">
        <v>1260</v>
      </c>
      <c r="B67" s="1" t="s">
        <v>15</v>
      </c>
      <c r="C67" s="1" t="s">
        <v>1259</v>
      </c>
      <c r="D67" s="5" t="s">
        <v>1554</v>
      </c>
    </row>
    <row r="68" customHeight="1" spans="1:4">
      <c r="A68" s="1" t="s">
        <v>992</v>
      </c>
      <c r="B68" s="1" t="s">
        <v>183</v>
      </c>
      <c r="C68" s="1" t="s">
        <v>1097</v>
      </c>
      <c r="D68" s="5" t="s">
        <v>15</v>
      </c>
    </row>
    <row r="69" customHeight="1" spans="1:4">
      <c r="A69" s="1" t="s">
        <v>472</v>
      </c>
      <c r="B69" s="1" t="s">
        <v>183</v>
      </c>
      <c r="C69" s="1" t="s">
        <v>1173</v>
      </c>
      <c r="D69" s="5" t="s">
        <v>1554</v>
      </c>
    </row>
    <row r="70" customHeight="1" spans="1:4">
      <c r="A70" s="6"/>
      <c r="B70" s="6"/>
      <c r="C70" s="1" t="s">
        <v>685</v>
      </c>
      <c r="D70" s="5" t="s">
        <v>1554</v>
      </c>
    </row>
    <row r="71" customHeight="1" spans="1:4">
      <c r="A71" s="6"/>
      <c r="B71" s="6"/>
      <c r="C71" s="1" t="s">
        <v>471</v>
      </c>
      <c r="D71" s="5" t="s">
        <v>1554</v>
      </c>
    </row>
    <row r="72" customHeight="1" spans="1:4">
      <c r="A72" s="1" t="s">
        <v>349</v>
      </c>
      <c r="B72" s="1" t="s">
        <v>183</v>
      </c>
      <c r="C72" s="1" t="s">
        <v>348</v>
      </c>
      <c r="D72" s="5" t="s">
        <v>1554</v>
      </c>
    </row>
    <row r="73" customHeight="1" spans="1:4">
      <c r="A73" s="1" t="s">
        <v>71</v>
      </c>
      <c r="B73" s="1" t="s">
        <v>190</v>
      </c>
      <c r="C73" s="1" t="s">
        <v>702</v>
      </c>
      <c r="D73" s="5" t="s">
        <v>183</v>
      </c>
    </row>
    <row r="74" customHeight="1" spans="1:4">
      <c r="A74" s="1" t="s">
        <v>892</v>
      </c>
      <c r="B74" s="1" t="s">
        <v>15</v>
      </c>
      <c r="C74" s="1" t="s">
        <v>891</v>
      </c>
      <c r="D74" s="5" t="s">
        <v>15</v>
      </c>
    </row>
    <row r="75" customHeight="1" spans="1:4">
      <c r="A75" s="1" t="s">
        <v>1290</v>
      </c>
      <c r="B75" s="1" t="s">
        <v>15</v>
      </c>
      <c r="C75" s="1" t="s">
        <v>1289</v>
      </c>
      <c r="D75" s="5" t="s">
        <v>1554</v>
      </c>
    </row>
    <row r="76" customHeight="1" spans="1:4">
      <c r="A76" s="1" t="s">
        <v>203</v>
      </c>
      <c r="B76" s="1" t="s">
        <v>1554</v>
      </c>
      <c r="C76" s="1" t="s">
        <v>202</v>
      </c>
      <c r="D76" s="5" t="s">
        <v>1554</v>
      </c>
    </row>
    <row r="77" customHeight="1" spans="1:4">
      <c r="A77" s="1" t="s">
        <v>280</v>
      </c>
      <c r="B77" s="1" t="s">
        <v>183</v>
      </c>
      <c r="C77" s="1" t="s">
        <v>742</v>
      </c>
      <c r="D77" s="5" t="s">
        <v>1554</v>
      </c>
    </row>
    <row r="78" customHeight="1" spans="1:4">
      <c r="A78" s="1" t="s">
        <v>1233</v>
      </c>
      <c r="B78" s="1" t="s">
        <v>15</v>
      </c>
      <c r="C78" s="1" t="s">
        <v>1232</v>
      </c>
      <c r="D78" s="5" t="s">
        <v>1554</v>
      </c>
    </row>
    <row r="79" customHeight="1" spans="1:4">
      <c r="A79" s="1" t="s">
        <v>81</v>
      </c>
      <c r="B79" s="1" t="s">
        <v>15</v>
      </c>
      <c r="C79" s="1" t="s">
        <v>80</v>
      </c>
      <c r="D79" s="5" t="s">
        <v>15</v>
      </c>
    </row>
    <row r="80" customHeight="1" spans="1:4">
      <c r="A80" s="1" t="s">
        <v>1129</v>
      </c>
      <c r="B80" s="1" t="s">
        <v>183</v>
      </c>
      <c r="C80" s="1" t="s">
        <v>1279</v>
      </c>
      <c r="D80" s="5" t="s">
        <v>1554</v>
      </c>
    </row>
    <row r="81" customHeight="1" spans="1:4">
      <c r="A81" s="1" t="s">
        <v>88</v>
      </c>
      <c r="B81" s="1" t="s">
        <v>1554</v>
      </c>
      <c r="C81" s="1" t="s">
        <v>1555</v>
      </c>
      <c r="D81" s="5" t="s">
        <v>1554</v>
      </c>
    </row>
    <row r="82" customHeight="1" spans="1:4">
      <c r="A82" s="1" t="s">
        <v>1176</v>
      </c>
      <c r="B82" s="1" t="s">
        <v>183</v>
      </c>
      <c r="C82" s="1" t="s">
        <v>1538</v>
      </c>
      <c r="D82" s="5" t="s">
        <v>1554</v>
      </c>
    </row>
    <row r="83" customHeight="1" spans="1:4">
      <c r="A83" s="1" t="s">
        <v>117</v>
      </c>
      <c r="B83" s="1" t="s">
        <v>1554</v>
      </c>
      <c r="C83" s="1" t="s">
        <v>116</v>
      </c>
      <c r="D83" s="5" t="s">
        <v>1554</v>
      </c>
    </row>
    <row r="84" customHeight="1" spans="1:4">
      <c r="A84" s="1" t="s">
        <v>197</v>
      </c>
      <c r="B84" s="1" t="s">
        <v>1554</v>
      </c>
      <c r="C84" s="1" t="s">
        <v>196</v>
      </c>
      <c r="D84" s="5" t="s">
        <v>1554</v>
      </c>
    </row>
    <row r="85" customHeight="1" spans="1:4">
      <c r="A85" s="1" t="s">
        <v>721</v>
      </c>
      <c r="B85" s="1" t="s">
        <v>15</v>
      </c>
      <c r="C85" s="1" t="s">
        <v>720</v>
      </c>
      <c r="D85" s="5" t="s">
        <v>15</v>
      </c>
    </row>
    <row r="86" customHeight="1" spans="1:4">
      <c r="A86" s="1" t="s">
        <v>924</v>
      </c>
      <c r="B86" s="1" t="s">
        <v>183</v>
      </c>
      <c r="C86" s="1" t="s">
        <v>923</v>
      </c>
      <c r="D86" s="5" t="s">
        <v>183</v>
      </c>
    </row>
    <row r="87" customHeight="1" spans="1:4">
      <c r="A87" s="1" t="s">
        <v>229</v>
      </c>
      <c r="B87" s="1" t="s">
        <v>1554</v>
      </c>
      <c r="C87" s="1" t="s">
        <v>228</v>
      </c>
      <c r="D87" s="5" t="s">
        <v>1554</v>
      </c>
    </row>
    <row r="88" customHeight="1" spans="1:4">
      <c r="A88" s="1" t="s">
        <v>129</v>
      </c>
      <c r="B88" s="1" t="s">
        <v>1554</v>
      </c>
      <c r="C88" s="1" t="s">
        <v>128</v>
      </c>
      <c r="D88" s="5" t="s">
        <v>1554</v>
      </c>
    </row>
    <row r="89" customHeight="1" spans="1:4">
      <c r="A89" s="1" t="s">
        <v>976</v>
      </c>
      <c r="B89" s="1" t="s">
        <v>190</v>
      </c>
      <c r="C89" s="1" t="s">
        <v>1244</v>
      </c>
      <c r="D89" s="5" t="s">
        <v>1554</v>
      </c>
    </row>
    <row r="90" customHeight="1" spans="1:4">
      <c r="A90" s="1" t="s">
        <v>1554</v>
      </c>
      <c r="B90" s="1" t="s">
        <v>15</v>
      </c>
      <c r="C90" s="1" t="s">
        <v>1284</v>
      </c>
      <c r="D90" s="5" t="s">
        <v>15</v>
      </c>
    </row>
    <row r="91" customHeight="1" spans="1:4">
      <c r="A91" s="6"/>
      <c r="B91" s="6"/>
      <c r="C91" s="1" t="s">
        <v>1197</v>
      </c>
      <c r="D91" s="5" t="s">
        <v>1554</v>
      </c>
    </row>
    <row r="92" customHeight="1" spans="1:4">
      <c r="A92" s="6"/>
      <c r="B92" s="6"/>
      <c r="C92" s="1" t="s">
        <v>1382</v>
      </c>
      <c r="D92" s="5" t="s">
        <v>1554</v>
      </c>
    </row>
    <row r="93" customHeight="1" spans="1:4">
      <c r="A93" s="6"/>
      <c r="B93" s="6"/>
      <c r="C93" s="1" t="s">
        <v>700</v>
      </c>
      <c r="D93" s="5" t="s">
        <v>183</v>
      </c>
    </row>
    <row r="94" customHeight="1" spans="1:4">
      <c r="A94" s="6"/>
      <c r="B94" s="6"/>
      <c r="C94" s="1" t="s">
        <v>1220</v>
      </c>
      <c r="D94" s="5" t="s">
        <v>15</v>
      </c>
    </row>
    <row r="95" customHeight="1" spans="1:4">
      <c r="A95" s="6"/>
      <c r="B95" s="6"/>
      <c r="C95" s="1" t="s">
        <v>519</v>
      </c>
      <c r="D95" s="5" t="s">
        <v>15</v>
      </c>
    </row>
    <row r="96" customHeight="1" spans="1:4">
      <c r="A96" s="6"/>
      <c r="B96" s="6"/>
      <c r="C96" s="1" t="s">
        <v>333</v>
      </c>
      <c r="D96" s="5" t="s">
        <v>1554</v>
      </c>
    </row>
    <row r="97" customHeight="1" spans="1:4">
      <c r="A97" s="6"/>
      <c r="B97" s="6"/>
      <c r="C97" s="1" t="s">
        <v>1105</v>
      </c>
      <c r="D97" s="5" t="s">
        <v>15</v>
      </c>
    </row>
    <row r="98" customHeight="1" spans="1:4">
      <c r="A98" s="6"/>
      <c r="B98" s="6"/>
      <c r="C98" s="1" t="s">
        <v>28</v>
      </c>
      <c r="D98" s="5" t="s">
        <v>15</v>
      </c>
    </row>
    <row r="99" customHeight="1" spans="1:4">
      <c r="A99" s="6"/>
      <c r="B99" s="6"/>
      <c r="C99" s="1" t="s">
        <v>671</v>
      </c>
      <c r="D99" s="5" t="s">
        <v>15</v>
      </c>
    </row>
    <row r="100" customHeight="1" spans="1:4">
      <c r="A100" s="6"/>
      <c r="B100" s="6"/>
      <c r="C100" s="1" t="s">
        <v>442</v>
      </c>
      <c r="D100" s="5" t="s">
        <v>15</v>
      </c>
    </row>
    <row r="101" customHeight="1" spans="1:4">
      <c r="A101" s="6"/>
      <c r="B101" s="6"/>
      <c r="C101" s="1" t="s">
        <v>107</v>
      </c>
      <c r="D101" s="5" t="s">
        <v>1554</v>
      </c>
    </row>
    <row r="102" customHeight="1" spans="1:4">
      <c r="A102" s="6"/>
      <c r="B102" s="6"/>
      <c r="C102" s="1" t="s">
        <v>1438</v>
      </c>
      <c r="D102" s="5" t="s">
        <v>1554</v>
      </c>
    </row>
    <row r="103" customHeight="1" spans="1:4">
      <c r="A103" s="6"/>
      <c r="B103" s="6"/>
      <c r="C103" s="1" t="s">
        <v>1212</v>
      </c>
      <c r="D103" s="5" t="s">
        <v>15</v>
      </c>
    </row>
    <row r="104" customHeight="1" spans="1:4">
      <c r="A104" s="6"/>
      <c r="B104" s="6"/>
      <c r="C104" s="1" t="s">
        <v>975</v>
      </c>
      <c r="D104" s="5" t="s">
        <v>15</v>
      </c>
    </row>
    <row r="105" customHeight="1" spans="1:4">
      <c r="A105" s="6"/>
      <c r="B105" s="6"/>
      <c r="C105" s="1" t="s">
        <v>389</v>
      </c>
      <c r="D105" s="5" t="s">
        <v>1554</v>
      </c>
    </row>
    <row r="106" customHeight="1" spans="1:4">
      <c r="A106" s="6"/>
      <c r="B106" s="6"/>
      <c r="C106" s="1" t="s">
        <v>252</v>
      </c>
      <c r="D106" s="5" t="s">
        <v>1554</v>
      </c>
    </row>
    <row r="107" customHeight="1" spans="1:4">
      <c r="A107" s="6"/>
      <c r="B107" s="6"/>
      <c r="C107" s="1" t="s">
        <v>600</v>
      </c>
      <c r="D107" s="5" t="s">
        <v>1554</v>
      </c>
    </row>
    <row r="108" customHeight="1" spans="1:4">
      <c r="A108" s="6"/>
      <c r="B108" s="6"/>
      <c r="C108" s="1" t="s">
        <v>443</v>
      </c>
      <c r="D108" s="5" t="s">
        <v>1554</v>
      </c>
    </row>
    <row r="109" customHeight="1" spans="1:4">
      <c r="A109" s="6"/>
      <c r="B109" s="6"/>
      <c r="C109" s="1" t="s">
        <v>1441</v>
      </c>
      <c r="D109" s="5" t="s">
        <v>1554</v>
      </c>
    </row>
    <row r="110" customHeight="1" spans="1:4">
      <c r="A110" s="6"/>
      <c r="B110" s="6"/>
      <c r="C110" s="1" t="s">
        <v>928</v>
      </c>
      <c r="D110" s="5" t="s">
        <v>15</v>
      </c>
    </row>
    <row r="111" customHeight="1" spans="1:4">
      <c r="A111" s="6"/>
      <c r="B111" s="6"/>
      <c r="C111" s="1" t="s">
        <v>1170</v>
      </c>
      <c r="D111" s="5" t="s">
        <v>15</v>
      </c>
    </row>
    <row r="112" customHeight="1" spans="1:4">
      <c r="A112" s="6"/>
      <c r="B112" s="6"/>
      <c r="C112" s="1" t="s">
        <v>1308</v>
      </c>
      <c r="D112" s="5" t="s">
        <v>15</v>
      </c>
    </row>
    <row r="113" customHeight="1" spans="1:4">
      <c r="A113" s="6"/>
      <c r="B113" s="6"/>
      <c r="C113" s="1" t="s">
        <v>1066</v>
      </c>
      <c r="D113" s="5" t="s">
        <v>15</v>
      </c>
    </row>
    <row r="114" customHeight="1" spans="1:4">
      <c r="A114" s="6"/>
      <c r="B114" s="6"/>
      <c r="C114" s="1" t="s">
        <v>859</v>
      </c>
      <c r="D114" s="5" t="s">
        <v>15</v>
      </c>
    </row>
    <row r="115" customHeight="1" spans="1:4">
      <c r="A115" s="6"/>
      <c r="B115" s="6"/>
      <c r="C115" s="1" t="s">
        <v>730</v>
      </c>
      <c r="D115" s="5" t="s">
        <v>15</v>
      </c>
    </row>
    <row r="116" customHeight="1" spans="1:4">
      <c r="A116" s="6"/>
      <c r="B116" s="6"/>
      <c r="C116" s="1" t="s">
        <v>479</v>
      </c>
      <c r="D116" s="5" t="s">
        <v>15</v>
      </c>
    </row>
    <row r="117" customHeight="1" spans="1:4">
      <c r="A117" s="6"/>
      <c r="B117" s="6"/>
      <c r="C117" s="1" t="s">
        <v>139</v>
      </c>
      <c r="D117" s="5" t="s">
        <v>1554</v>
      </c>
    </row>
    <row r="118" customHeight="1" spans="1:4">
      <c r="A118" s="6"/>
      <c r="B118" s="6"/>
      <c r="C118" s="1" t="s">
        <v>1125</v>
      </c>
      <c r="D118" s="5" t="s">
        <v>1554</v>
      </c>
    </row>
    <row r="119" customHeight="1" spans="1:4">
      <c r="A119" s="6"/>
      <c r="B119" s="6"/>
      <c r="C119" s="1" t="s">
        <v>1346</v>
      </c>
      <c r="D119" s="5" t="s">
        <v>15</v>
      </c>
    </row>
    <row r="120" customHeight="1" spans="1:4">
      <c r="A120" s="6"/>
      <c r="B120" s="6"/>
      <c r="C120" s="1" t="s">
        <v>1023</v>
      </c>
      <c r="D120" s="5" t="s">
        <v>1554</v>
      </c>
    </row>
    <row r="121" customHeight="1" spans="1:4">
      <c r="A121" s="6"/>
      <c r="B121" s="6"/>
      <c r="C121" s="1" t="s">
        <v>1311</v>
      </c>
      <c r="D121" s="5" t="s">
        <v>1554</v>
      </c>
    </row>
    <row r="122" customHeight="1" spans="1:4">
      <c r="A122" s="6"/>
      <c r="B122" s="6"/>
      <c r="C122" s="1" t="s">
        <v>300</v>
      </c>
      <c r="D122" s="5" t="s">
        <v>1554</v>
      </c>
    </row>
    <row r="123" customHeight="1" spans="1:4">
      <c r="A123" s="6"/>
      <c r="B123" s="6"/>
      <c r="C123" s="1" t="s">
        <v>462</v>
      </c>
      <c r="D123" s="5" t="s">
        <v>183</v>
      </c>
    </row>
    <row r="124" customHeight="1" spans="1:4">
      <c r="A124" s="6"/>
      <c r="B124" s="6"/>
      <c r="C124" s="1" t="s">
        <v>1068</v>
      </c>
      <c r="D124" s="5" t="s">
        <v>15</v>
      </c>
    </row>
    <row r="125" customHeight="1" spans="1:4">
      <c r="A125" s="6"/>
      <c r="B125" s="6"/>
      <c r="C125" s="1" t="s">
        <v>841</v>
      </c>
      <c r="D125" s="5" t="s">
        <v>15</v>
      </c>
    </row>
    <row r="126" customHeight="1" spans="1:4">
      <c r="A126" s="6"/>
      <c r="B126" s="6"/>
      <c r="C126" s="1" t="s">
        <v>1241</v>
      </c>
      <c r="D126" s="5" t="s">
        <v>1554</v>
      </c>
    </row>
    <row r="127" customHeight="1" spans="1:4">
      <c r="A127" s="6"/>
      <c r="B127" s="6"/>
      <c r="C127" s="1" t="s">
        <v>1338</v>
      </c>
      <c r="D127" s="5" t="s">
        <v>1554</v>
      </c>
    </row>
    <row r="128" customHeight="1" spans="1:4">
      <c r="A128" s="6"/>
      <c r="B128" s="6"/>
      <c r="C128" s="1" t="s">
        <v>990</v>
      </c>
      <c r="D128" s="5" t="s">
        <v>15</v>
      </c>
    </row>
    <row r="129" customHeight="1" spans="1:4">
      <c r="A129" s="6"/>
      <c r="B129" s="6"/>
      <c r="C129" s="1" t="s">
        <v>1011</v>
      </c>
      <c r="D129" s="5" t="s">
        <v>15</v>
      </c>
    </row>
    <row r="130" customHeight="1" spans="1:4">
      <c r="A130" s="6"/>
      <c r="B130" s="6"/>
      <c r="C130" s="1" t="s">
        <v>958</v>
      </c>
      <c r="D130" s="5" t="s">
        <v>1554</v>
      </c>
    </row>
    <row r="131" customHeight="1" spans="1:4">
      <c r="A131" s="6"/>
      <c r="B131" s="6"/>
      <c r="C131" s="1" t="s">
        <v>516</v>
      </c>
      <c r="D131" s="5" t="s">
        <v>1554</v>
      </c>
    </row>
    <row r="132" customHeight="1" spans="1:4">
      <c r="A132" s="6"/>
      <c r="B132" s="6"/>
      <c r="C132" s="1" t="s">
        <v>820</v>
      </c>
      <c r="D132" s="5" t="s">
        <v>1554</v>
      </c>
    </row>
    <row r="133" customHeight="1" spans="1:4">
      <c r="A133" s="6"/>
      <c r="B133" s="6"/>
      <c r="C133" s="1" t="s">
        <v>960</v>
      </c>
      <c r="D133" s="5" t="s">
        <v>1554</v>
      </c>
    </row>
    <row r="134" customHeight="1" spans="1:4">
      <c r="A134" s="6"/>
      <c r="B134" s="6"/>
      <c r="C134" s="1" t="s">
        <v>1446</v>
      </c>
      <c r="D134" s="5" t="s">
        <v>1554</v>
      </c>
    </row>
    <row r="135" customHeight="1" spans="1:4">
      <c r="A135" s="6"/>
      <c r="B135" s="6"/>
      <c r="C135" s="1" t="s">
        <v>777</v>
      </c>
      <c r="D135" s="5" t="s">
        <v>15</v>
      </c>
    </row>
    <row r="136" customHeight="1" spans="1:4">
      <c r="A136" s="6"/>
      <c r="B136" s="6"/>
      <c r="C136" s="1" t="s">
        <v>624</v>
      </c>
      <c r="D136" s="5" t="s">
        <v>183</v>
      </c>
    </row>
    <row r="137" customHeight="1" spans="1:4">
      <c r="A137" s="6"/>
      <c r="B137" s="6"/>
      <c r="C137" s="1" t="s">
        <v>1038</v>
      </c>
      <c r="D137" s="5" t="s">
        <v>1554</v>
      </c>
    </row>
    <row r="138" customHeight="1" spans="1:4">
      <c r="A138" s="6"/>
      <c r="B138" s="6"/>
      <c r="C138" s="1" t="s">
        <v>629</v>
      </c>
      <c r="D138" s="5" t="s">
        <v>15</v>
      </c>
    </row>
    <row r="139" customHeight="1" spans="1:4">
      <c r="A139" s="6"/>
      <c r="B139" s="6"/>
      <c r="C139" s="1" t="s">
        <v>949</v>
      </c>
      <c r="D139" s="5" t="s">
        <v>1554</v>
      </c>
    </row>
    <row r="140" customHeight="1" spans="1:4">
      <c r="A140" s="6"/>
      <c r="B140" s="6"/>
      <c r="C140" s="1" t="s">
        <v>579</v>
      </c>
      <c r="D140" s="5" t="s">
        <v>15</v>
      </c>
    </row>
    <row r="141" customHeight="1" spans="1:4">
      <c r="A141" s="6"/>
      <c r="B141" s="6"/>
      <c r="C141" s="1" t="s">
        <v>1293</v>
      </c>
      <c r="D141" s="5" t="s">
        <v>1554</v>
      </c>
    </row>
    <row r="142" customHeight="1" spans="1:4">
      <c r="A142" s="6"/>
      <c r="B142" s="6"/>
      <c r="C142" s="1" t="s">
        <v>1310</v>
      </c>
      <c r="D142" s="5" t="s">
        <v>1554</v>
      </c>
    </row>
    <row r="143" customHeight="1" spans="1:4">
      <c r="A143" s="6"/>
      <c r="B143" s="6"/>
      <c r="C143" s="1" t="s">
        <v>921</v>
      </c>
      <c r="D143" s="5" t="s">
        <v>15</v>
      </c>
    </row>
    <row r="144" customHeight="1" spans="1:4">
      <c r="A144" s="6"/>
      <c r="B144" s="6"/>
      <c r="C144" s="1" t="s">
        <v>1114</v>
      </c>
      <c r="D144" s="5" t="s">
        <v>1554</v>
      </c>
    </row>
    <row r="145" customHeight="1" spans="1:4">
      <c r="A145" s="6"/>
      <c r="B145" s="6"/>
      <c r="C145" s="1" t="s">
        <v>1336</v>
      </c>
      <c r="D145" s="5" t="s">
        <v>1554</v>
      </c>
    </row>
    <row r="146" customHeight="1" spans="1:4">
      <c r="A146" s="6"/>
      <c r="B146" s="6"/>
      <c r="C146" s="1" t="s">
        <v>784</v>
      </c>
      <c r="D146" s="5" t="s">
        <v>15</v>
      </c>
    </row>
    <row r="147" customHeight="1" spans="1:4">
      <c r="A147" s="6"/>
      <c r="B147" s="6"/>
      <c r="C147" s="1" t="s">
        <v>1250</v>
      </c>
      <c r="D147" s="5" t="s">
        <v>15</v>
      </c>
    </row>
    <row r="148" customHeight="1" spans="1:4">
      <c r="A148" s="6"/>
      <c r="B148" s="6"/>
      <c r="C148" s="1" t="s">
        <v>858</v>
      </c>
      <c r="D148" s="5" t="s">
        <v>15</v>
      </c>
    </row>
    <row r="149" customHeight="1" spans="1:4">
      <c r="A149" s="6"/>
      <c r="B149" s="6"/>
      <c r="C149" s="1" t="s">
        <v>1217</v>
      </c>
      <c r="D149" s="5" t="s">
        <v>15</v>
      </c>
    </row>
    <row r="150" customHeight="1" spans="1:4">
      <c r="A150" s="6"/>
      <c r="B150" s="6"/>
      <c r="C150" s="1" t="s">
        <v>452</v>
      </c>
      <c r="D150" s="5" t="s">
        <v>1554</v>
      </c>
    </row>
    <row r="151" customHeight="1" spans="1:4">
      <c r="A151" s="6"/>
      <c r="B151" s="6"/>
      <c r="C151" s="1" t="s">
        <v>245</v>
      </c>
      <c r="D151" s="5" t="s">
        <v>1554</v>
      </c>
    </row>
    <row r="152" customHeight="1" spans="1:4">
      <c r="A152" s="6"/>
      <c r="B152" s="6"/>
      <c r="C152" s="1" t="s">
        <v>907</v>
      </c>
      <c r="D152" s="5" t="s">
        <v>183</v>
      </c>
    </row>
    <row r="153" customHeight="1" spans="1:4">
      <c r="A153" s="6"/>
      <c r="B153" s="6"/>
      <c r="C153" s="1" t="s">
        <v>805</v>
      </c>
      <c r="D153" s="5" t="s">
        <v>183</v>
      </c>
    </row>
    <row r="154" customHeight="1" spans="1:4">
      <c r="A154" s="6"/>
      <c r="B154" s="6"/>
      <c r="C154" s="1" t="s">
        <v>1044</v>
      </c>
      <c r="D154" s="5" t="s">
        <v>15</v>
      </c>
    </row>
    <row r="155" customHeight="1" spans="1:4">
      <c r="A155" s="6"/>
      <c r="B155" s="6"/>
      <c r="C155" s="1" t="s">
        <v>714</v>
      </c>
      <c r="D155" s="5" t="s">
        <v>15</v>
      </c>
    </row>
    <row r="156" customHeight="1" spans="1:4">
      <c r="A156" s="6"/>
      <c r="B156" s="6"/>
      <c r="C156" s="1" t="s">
        <v>1203</v>
      </c>
      <c r="D156" s="5" t="s">
        <v>1554</v>
      </c>
    </row>
    <row r="157" customHeight="1" spans="1:4">
      <c r="A157" s="6"/>
      <c r="B157" s="6"/>
      <c r="C157" s="1" t="s">
        <v>445</v>
      </c>
      <c r="D157" s="5" t="s">
        <v>15</v>
      </c>
    </row>
    <row r="158" customHeight="1" spans="1:4">
      <c r="A158" s="6"/>
      <c r="B158" s="6"/>
      <c r="C158" s="1" t="s">
        <v>1166</v>
      </c>
      <c r="D158" s="5" t="s">
        <v>1554</v>
      </c>
    </row>
    <row r="159" customHeight="1" spans="1:4">
      <c r="A159" s="6"/>
      <c r="B159" s="6"/>
      <c r="C159" s="1" t="s">
        <v>1294</v>
      </c>
      <c r="D159" s="5" t="s">
        <v>1554</v>
      </c>
    </row>
    <row r="160" customHeight="1" spans="1:4">
      <c r="A160" s="6"/>
      <c r="B160" s="6"/>
      <c r="C160" s="1" t="s">
        <v>1160</v>
      </c>
      <c r="D160" s="5" t="s">
        <v>1554</v>
      </c>
    </row>
    <row r="161" customHeight="1" spans="1:4">
      <c r="A161" s="6"/>
      <c r="B161" s="6"/>
      <c r="C161" s="1" t="s">
        <v>1385</v>
      </c>
      <c r="D161" s="5" t="s">
        <v>1554</v>
      </c>
    </row>
    <row r="162" customHeight="1" spans="1:4">
      <c r="A162" s="6"/>
      <c r="B162" s="6"/>
      <c r="C162" s="1" t="s">
        <v>948</v>
      </c>
      <c r="D162" s="5" t="s">
        <v>183</v>
      </c>
    </row>
    <row r="163" customHeight="1" spans="1:4">
      <c r="A163" s="6"/>
      <c r="B163" s="6"/>
      <c r="C163" s="1" t="s">
        <v>381</v>
      </c>
      <c r="D163" s="5" t="s">
        <v>15</v>
      </c>
    </row>
    <row r="164" customHeight="1" spans="1:4">
      <c r="A164" s="6"/>
      <c r="B164" s="6"/>
      <c r="C164" s="1" t="s">
        <v>240</v>
      </c>
      <c r="D164" s="5" t="s">
        <v>1554</v>
      </c>
    </row>
    <row r="165" customHeight="1" spans="1:4">
      <c r="A165" s="6"/>
      <c r="B165" s="6"/>
      <c r="C165" s="1" t="s">
        <v>692</v>
      </c>
      <c r="D165" s="5" t="s">
        <v>15</v>
      </c>
    </row>
    <row r="166" customHeight="1" spans="1:4">
      <c r="A166" s="6"/>
      <c r="B166" s="6"/>
      <c r="C166" s="1" t="s">
        <v>400</v>
      </c>
      <c r="D166" s="5" t="s">
        <v>1554</v>
      </c>
    </row>
    <row r="167" customHeight="1" spans="1:4">
      <c r="A167" s="6"/>
      <c r="B167" s="6"/>
      <c r="C167" s="1" t="s">
        <v>1153</v>
      </c>
      <c r="D167" s="5" t="s">
        <v>15</v>
      </c>
    </row>
    <row r="168" customHeight="1" spans="1:4">
      <c r="A168" s="6"/>
      <c r="B168" s="6"/>
      <c r="C168" s="1" t="s">
        <v>1355</v>
      </c>
      <c r="D168" s="5" t="s">
        <v>15</v>
      </c>
    </row>
    <row r="169" customHeight="1" spans="1:4">
      <c r="A169" s="6"/>
      <c r="B169" s="6"/>
      <c r="C169" s="1" t="s">
        <v>1128</v>
      </c>
      <c r="D169" s="5" t="s">
        <v>15</v>
      </c>
    </row>
    <row r="170" customHeight="1" spans="1:4">
      <c r="A170" s="6"/>
      <c r="B170" s="6"/>
      <c r="C170" s="1" t="s">
        <v>1373</v>
      </c>
      <c r="D170" s="5" t="s">
        <v>1554</v>
      </c>
    </row>
    <row r="171" customHeight="1" spans="1:4">
      <c r="A171" s="6"/>
      <c r="B171" s="6"/>
      <c r="C171" s="1" t="s">
        <v>1287</v>
      </c>
      <c r="D171" s="5" t="s">
        <v>1554</v>
      </c>
    </row>
    <row r="172" customHeight="1" spans="1:4">
      <c r="A172" s="6"/>
      <c r="B172" s="6"/>
      <c r="C172" s="1" t="s">
        <v>1380</v>
      </c>
      <c r="D172" s="5" t="s">
        <v>1554</v>
      </c>
    </row>
    <row r="173" customHeight="1" spans="1:4">
      <c r="A173" s="6"/>
      <c r="B173" s="6"/>
      <c r="C173" s="1" t="s">
        <v>1274</v>
      </c>
      <c r="D173" s="5" t="s">
        <v>1554</v>
      </c>
    </row>
    <row r="174" customHeight="1" spans="1:4">
      <c r="A174" s="6"/>
      <c r="B174" s="6"/>
      <c r="C174" s="1" t="s">
        <v>257</v>
      </c>
      <c r="D174" s="5" t="s">
        <v>1554</v>
      </c>
    </row>
    <row r="175" customHeight="1" spans="1:4">
      <c r="A175" s="6"/>
      <c r="B175" s="6"/>
      <c r="C175" s="1" t="s">
        <v>642</v>
      </c>
      <c r="D175" s="5" t="s">
        <v>15</v>
      </c>
    </row>
    <row r="176" customHeight="1" spans="1:4">
      <c r="A176" s="6"/>
      <c r="B176" s="6"/>
      <c r="C176" s="1" t="s">
        <v>577</v>
      </c>
      <c r="D176" s="5" t="s">
        <v>15</v>
      </c>
    </row>
    <row r="177" customHeight="1" spans="1:4">
      <c r="A177" s="6"/>
      <c r="B177" s="6"/>
      <c r="C177" s="1" t="s">
        <v>800</v>
      </c>
      <c r="D177" s="5" t="s">
        <v>183</v>
      </c>
    </row>
    <row r="178" customHeight="1" spans="1:4">
      <c r="A178" s="6"/>
      <c r="B178" s="6"/>
      <c r="C178" s="1" t="s">
        <v>1156</v>
      </c>
      <c r="D178" s="5" t="s">
        <v>183</v>
      </c>
    </row>
    <row r="179" customHeight="1" spans="1:4">
      <c r="A179" s="6"/>
      <c r="B179" s="6"/>
      <c r="C179" s="1" t="s">
        <v>330</v>
      </c>
      <c r="D179" s="5" t="s">
        <v>1554</v>
      </c>
    </row>
    <row r="180" customHeight="1" spans="1:4">
      <c r="A180" s="6"/>
      <c r="B180" s="6"/>
      <c r="C180" s="1" t="s">
        <v>1204</v>
      </c>
      <c r="D180" s="5" t="s">
        <v>1554</v>
      </c>
    </row>
    <row r="181" customHeight="1" spans="1:4">
      <c r="A181" s="6"/>
      <c r="B181" s="6"/>
      <c r="C181" s="1" t="s">
        <v>943</v>
      </c>
      <c r="D181" s="5" t="s">
        <v>1554</v>
      </c>
    </row>
    <row r="182" customHeight="1" spans="1:4">
      <c r="A182" s="6"/>
      <c r="B182" s="6"/>
      <c r="C182" s="1" t="s">
        <v>284</v>
      </c>
      <c r="D182" s="5" t="s">
        <v>1554</v>
      </c>
    </row>
    <row r="183" customHeight="1" spans="1:4">
      <c r="A183" s="6"/>
      <c r="B183" s="6"/>
      <c r="C183" s="1" t="s">
        <v>605</v>
      </c>
      <c r="D183" s="5" t="s">
        <v>183</v>
      </c>
    </row>
    <row r="184" customHeight="1" spans="1:4">
      <c r="A184" s="6"/>
      <c r="B184" s="6"/>
      <c r="C184" s="1" t="s">
        <v>1078</v>
      </c>
      <c r="D184" s="5" t="s">
        <v>183</v>
      </c>
    </row>
    <row r="185" customHeight="1" spans="1:4">
      <c r="A185" s="6"/>
      <c r="B185" s="6"/>
      <c r="C185" s="1" t="s">
        <v>1376</v>
      </c>
      <c r="D185" s="5" t="s">
        <v>183</v>
      </c>
    </row>
    <row r="186" customHeight="1" spans="1:4">
      <c r="A186" s="6"/>
      <c r="B186" s="6"/>
      <c r="C186" s="1" t="s">
        <v>1458</v>
      </c>
      <c r="D186" s="5" t="s">
        <v>1554</v>
      </c>
    </row>
    <row r="187" customHeight="1" spans="1:4">
      <c r="A187" s="6"/>
      <c r="B187" s="6"/>
      <c r="C187" s="1" t="s">
        <v>954</v>
      </c>
      <c r="D187" s="5" t="s">
        <v>183</v>
      </c>
    </row>
    <row r="188" customHeight="1" spans="1:4">
      <c r="A188" s="6"/>
      <c r="B188" s="6"/>
      <c r="C188" s="1" t="s">
        <v>1224</v>
      </c>
      <c r="D188" s="5" t="s">
        <v>1554</v>
      </c>
    </row>
    <row r="189" customHeight="1" spans="1:4">
      <c r="A189" s="6"/>
      <c r="B189" s="6"/>
      <c r="C189" s="1" t="s">
        <v>1379</v>
      </c>
      <c r="D189" s="5" t="s">
        <v>1554</v>
      </c>
    </row>
    <row r="190" customHeight="1" spans="1:4">
      <c r="A190" s="6"/>
      <c r="B190" s="6"/>
      <c r="C190" s="1" t="s">
        <v>743</v>
      </c>
      <c r="D190" s="5" t="s">
        <v>183</v>
      </c>
    </row>
    <row r="191" customHeight="1" spans="1:4">
      <c r="A191" s="6"/>
      <c r="B191" s="6"/>
      <c r="C191" s="1" t="s">
        <v>684</v>
      </c>
      <c r="D191" s="5" t="s">
        <v>183</v>
      </c>
    </row>
    <row r="192" customHeight="1" spans="1:4">
      <c r="A192" s="6"/>
      <c r="B192" s="6"/>
      <c r="C192" s="1" t="s">
        <v>752</v>
      </c>
      <c r="D192" s="5" t="s">
        <v>183</v>
      </c>
    </row>
    <row r="193" customHeight="1" spans="1:4">
      <c r="A193" s="6"/>
      <c r="B193" s="6"/>
      <c r="C193" s="1" t="s">
        <v>956</v>
      </c>
      <c r="D193" s="5" t="s">
        <v>1554</v>
      </c>
    </row>
    <row r="194" customHeight="1" spans="1:4">
      <c r="A194" s="6"/>
      <c r="B194" s="6"/>
      <c r="C194" s="1" t="s">
        <v>1425</v>
      </c>
      <c r="D194" s="5" t="s">
        <v>1554</v>
      </c>
    </row>
    <row r="195" customHeight="1" spans="1:4">
      <c r="A195" s="6"/>
      <c r="B195" s="6"/>
      <c r="C195" s="1" t="s">
        <v>611</v>
      </c>
      <c r="D195" s="5" t="s">
        <v>183</v>
      </c>
    </row>
    <row r="196" customHeight="1" spans="1:4">
      <c r="A196" s="6"/>
      <c r="B196" s="6"/>
      <c r="C196" s="1" t="s">
        <v>1117</v>
      </c>
      <c r="D196" s="5" t="s">
        <v>1554</v>
      </c>
    </row>
    <row r="197" customHeight="1" spans="1:4">
      <c r="A197" s="6"/>
      <c r="B197" s="6"/>
      <c r="C197" s="1" t="s">
        <v>283</v>
      </c>
      <c r="D197" s="5" t="s">
        <v>1554</v>
      </c>
    </row>
    <row r="198" customHeight="1" spans="1:4">
      <c r="A198" s="6"/>
      <c r="B198" s="6"/>
      <c r="C198" s="1" t="s">
        <v>1115</v>
      </c>
      <c r="D198" s="5" t="s">
        <v>1554</v>
      </c>
    </row>
    <row r="199" customHeight="1" spans="1:4">
      <c r="A199" s="6"/>
      <c r="B199" s="6"/>
      <c r="C199" s="1" t="s">
        <v>1089</v>
      </c>
      <c r="D199" s="5" t="s">
        <v>183</v>
      </c>
    </row>
    <row r="200" customHeight="1" spans="1:4">
      <c r="A200" s="6"/>
      <c r="B200" s="6"/>
      <c r="C200" s="1" t="s">
        <v>773</v>
      </c>
      <c r="D200" s="5" t="s">
        <v>183</v>
      </c>
    </row>
    <row r="201" customHeight="1" spans="1:4">
      <c r="A201" s="6"/>
      <c r="B201" s="6"/>
      <c r="C201" s="1" t="s">
        <v>765</v>
      </c>
      <c r="D201" s="5" t="s">
        <v>1554</v>
      </c>
    </row>
    <row r="202" customHeight="1" spans="1:4">
      <c r="A202" s="6"/>
      <c r="B202" s="6"/>
      <c r="C202" s="1" t="s">
        <v>507</v>
      </c>
      <c r="D202" s="5" t="s">
        <v>1554</v>
      </c>
    </row>
    <row r="203" customHeight="1" spans="1:4">
      <c r="A203" s="6"/>
      <c r="B203" s="6"/>
      <c r="C203" s="1" t="s">
        <v>1312</v>
      </c>
      <c r="D203" s="5" t="s">
        <v>183</v>
      </c>
    </row>
    <row r="204" customHeight="1" spans="1:4">
      <c r="A204" s="6"/>
      <c r="B204" s="6"/>
      <c r="C204" s="1" t="s">
        <v>836</v>
      </c>
      <c r="D204" s="5" t="s">
        <v>183</v>
      </c>
    </row>
    <row r="205" customHeight="1" spans="1:4">
      <c r="A205" s="6"/>
      <c r="B205" s="6"/>
      <c r="C205" s="1" t="s">
        <v>1304</v>
      </c>
      <c r="D205" s="5" t="s">
        <v>1554</v>
      </c>
    </row>
    <row r="206" customHeight="1" spans="1:4">
      <c r="A206" s="6"/>
      <c r="B206" s="6"/>
      <c r="C206" s="1" t="s">
        <v>465</v>
      </c>
      <c r="D206" s="5" t="s">
        <v>183</v>
      </c>
    </row>
    <row r="207" customHeight="1" spans="1:4">
      <c r="A207" s="6"/>
      <c r="B207" s="6"/>
      <c r="C207" s="1" t="s">
        <v>1460</v>
      </c>
      <c r="D207" s="5" t="s">
        <v>1554</v>
      </c>
    </row>
    <row r="208" customHeight="1" spans="1:4">
      <c r="A208" s="6"/>
      <c r="B208" s="6"/>
      <c r="C208" s="1" t="s">
        <v>1056</v>
      </c>
      <c r="D208" s="5" t="s">
        <v>1554</v>
      </c>
    </row>
    <row r="209" customHeight="1" spans="1:4">
      <c r="A209" s="6"/>
      <c r="B209" s="6"/>
      <c r="C209" s="1" t="s">
        <v>640</v>
      </c>
      <c r="D209" s="5" t="s">
        <v>183</v>
      </c>
    </row>
    <row r="210" customHeight="1" spans="1:4">
      <c r="A210" s="6"/>
      <c r="B210" s="6"/>
      <c r="C210" s="1" t="s">
        <v>1329</v>
      </c>
      <c r="D210" s="5" t="s">
        <v>1554</v>
      </c>
    </row>
    <row r="211" customHeight="1" spans="1:4">
      <c r="A211" s="6"/>
      <c r="B211" s="6"/>
      <c r="C211" s="1" t="s">
        <v>512</v>
      </c>
      <c r="D211" s="5" t="s">
        <v>1554</v>
      </c>
    </row>
    <row r="212" customHeight="1" spans="1:4">
      <c r="A212" s="6"/>
      <c r="B212" s="6"/>
      <c r="C212" s="1" t="s">
        <v>1412</v>
      </c>
      <c r="D212" s="5" t="s">
        <v>1554</v>
      </c>
    </row>
    <row r="213" customHeight="1" spans="1:4">
      <c r="A213" s="6"/>
      <c r="B213" s="6"/>
      <c r="C213" s="1" t="s">
        <v>839</v>
      </c>
      <c r="D213" s="5" t="s">
        <v>15</v>
      </c>
    </row>
    <row r="214" customHeight="1" spans="1:4">
      <c r="A214" s="6"/>
      <c r="B214" s="6"/>
      <c r="C214" s="1" t="s">
        <v>842</v>
      </c>
      <c r="D214" s="5" t="s">
        <v>15</v>
      </c>
    </row>
    <row r="215" customHeight="1" spans="1:4">
      <c r="A215" s="6"/>
      <c r="B215" s="6"/>
      <c r="C215" s="1" t="s">
        <v>827</v>
      </c>
      <c r="D215" s="5" t="s">
        <v>183</v>
      </c>
    </row>
    <row r="216" customHeight="1" spans="1:4">
      <c r="A216" s="6"/>
      <c r="B216" s="6"/>
      <c r="C216" s="1" t="s">
        <v>898</v>
      </c>
      <c r="D216" s="5" t="s">
        <v>183</v>
      </c>
    </row>
    <row r="217" customHeight="1" spans="1:4">
      <c r="A217" s="6"/>
      <c r="B217" s="6"/>
      <c r="C217" s="1" t="s">
        <v>1461</v>
      </c>
      <c r="D217" s="5" t="s">
        <v>15</v>
      </c>
    </row>
    <row r="218" customHeight="1" spans="1:4">
      <c r="A218" s="6"/>
      <c r="B218" s="6"/>
      <c r="C218" s="1" t="s">
        <v>726</v>
      </c>
      <c r="D218" s="5" t="s">
        <v>15</v>
      </c>
    </row>
    <row r="219" customHeight="1" spans="1:4">
      <c r="A219" s="6"/>
      <c r="B219" s="6"/>
      <c r="C219" s="1" t="s">
        <v>1172</v>
      </c>
      <c r="D219" s="5" t="s">
        <v>1554</v>
      </c>
    </row>
    <row r="220" customHeight="1" spans="1:4">
      <c r="A220" s="6"/>
      <c r="B220" s="6"/>
      <c r="C220" s="1" t="s">
        <v>1362</v>
      </c>
      <c r="D220" s="5" t="s">
        <v>15</v>
      </c>
    </row>
    <row r="221" customHeight="1" spans="1:4">
      <c r="A221" s="6"/>
      <c r="B221" s="6"/>
      <c r="C221" s="1" t="s">
        <v>523</v>
      </c>
      <c r="D221" s="5" t="s">
        <v>1554</v>
      </c>
    </row>
    <row r="222" customHeight="1" spans="1:4">
      <c r="A222" s="6"/>
      <c r="B222" s="6"/>
      <c r="C222" s="1" t="s">
        <v>1052</v>
      </c>
      <c r="D222" s="5" t="s">
        <v>15</v>
      </c>
    </row>
    <row r="223" customHeight="1" spans="1:4">
      <c r="A223" s="6"/>
      <c r="B223" s="6"/>
      <c r="C223" s="1" t="s">
        <v>1075</v>
      </c>
      <c r="D223" s="5" t="s">
        <v>15</v>
      </c>
    </row>
    <row r="224" customHeight="1" spans="1:4">
      <c r="A224" s="6"/>
      <c r="B224" s="6"/>
      <c r="C224" s="1" t="s">
        <v>650</v>
      </c>
      <c r="D224" s="5" t="s">
        <v>15</v>
      </c>
    </row>
    <row r="225" customHeight="1" spans="1:4">
      <c r="A225" s="6"/>
      <c r="B225" s="6"/>
      <c r="C225" s="1" t="s">
        <v>418</v>
      </c>
      <c r="D225" s="5" t="s">
        <v>15</v>
      </c>
    </row>
    <row r="226" customHeight="1" spans="1:4">
      <c r="A226" s="6"/>
      <c r="B226" s="6"/>
      <c r="C226" s="1" t="s">
        <v>987</v>
      </c>
      <c r="D226" s="5" t="s">
        <v>15</v>
      </c>
    </row>
    <row r="227" customHeight="1" spans="1:4">
      <c r="A227" s="6"/>
      <c r="B227" s="6"/>
      <c r="C227" s="1" t="s">
        <v>539</v>
      </c>
      <c r="D227" s="5" t="s">
        <v>1554</v>
      </c>
    </row>
    <row r="228" customHeight="1" spans="1:4">
      <c r="A228" s="6"/>
      <c r="B228" s="6"/>
      <c r="C228" s="1" t="s">
        <v>1429</v>
      </c>
      <c r="D228" s="5" t="s">
        <v>15</v>
      </c>
    </row>
    <row r="229" customHeight="1" spans="1:4">
      <c r="A229" s="6"/>
      <c r="B229" s="6"/>
      <c r="C229" s="1" t="s">
        <v>1012</v>
      </c>
      <c r="D229" s="5" t="s">
        <v>1554</v>
      </c>
    </row>
    <row r="230" customHeight="1" spans="1:4">
      <c r="A230" s="6"/>
      <c r="B230" s="6"/>
      <c r="C230" s="1" t="s">
        <v>1069</v>
      </c>
      <c r="D230" s="5" t="s">
        <v>15</v>
      </c>
    </row>
    <row r="231" customHeight="1" spans="1:4">
      <c r="A231" s="6"/>
      <c r="B231" s="6"/>
      <c r="C231" s="1" t="s">
        <v>1466</v>
      </c>
      <c r="D231" s="5" t="s">
        <v>1554</v>
      </c>
    </row>
    <row r="232" customHeight="1" spans="1:4">
      <c r="A232" s="6"/>
      <c r="B232" s="6"/>
      <c r="C232" s="1" t="s">
        <v>1433</v>
      </c>
      <c r="D232" s="5" t="s">
        <v>1554</v>
      </c>
    </row>
    <row r="233" customHeight="1" spans="1:4">
      <c r="A233" s="6"/>
      <c r="B233" s="6"/>
      <c r="C233" s="1" t="s">
        <v>1420</v>
      </c>
      <c r="D233" s="5" t="s">
        <v>15</v>
      </c>
    </row>
    <row r="234" customHeight="1" spans="1:4">
      <c r="A234" s="6"/>
      <c r="B234" s="6"/>
      <c r="C234" s="1" t="s">
        <v>515</v>
      </c>
      <c r="D234" s="5" t="s">
        <v>1554</v>
      </c>
    </row>
    <row r="235" customHeight="1" spans="1:4">
      <c r="A235" s="6"/>
      <c r="B235" s="6"/>
      <c r="C235" s="1" t="s">
        <v>1275</v>
      </c>
      <c r="D235" s="5" t="s">
        <v>1554</v>
      </c>
    </row>
    <row r="236" customHeight="1" spans="1:4">
      <c r="A236" s="6"/>
      <c r="B236" s="6"/>
      <c r="C236" s="1" t="s">
        <v>810</v>
      </c>
      <c r="D236" s="5" t="s">
        <v>15</v>
      </c>
    </row>
    <row r="237" customHeight="1" spans="1:4">
      <c r="A237" s="6"/>
      <c r="B237" s="6"/>
      <c r="C237" s="1" t="s">
        <v>1081</v>
      </c>
      <c r="D237" s="5" t="s">
        <v>1554</v>
      </c>
    </row>
    <row r="238" customHeight="1" spans="1:4">
      <c r="A238" s="6"/>
      <c r="B238" s="6"/>
      <c r="C238" s="1" t="s">
        <v>379</v>
      </c>
      <c r="D238" s="5" t="s">
        <v>1554</v>
      </c>
    </row>
    <row r="239" customHeight="1" spans="1:4">
      <c r="A239" s="6"/>
      <c r="B239" s="6"/>
      <c r="C239" s="1" t="s">
        <v>1365</v>
      </c>
      <c r="D239" s="5" t="s">
        <v>1554</v>
      </c>
    </row>
    <row r="240" customHeight="1" spans="1:4">
      <c r="A240" s="6"/>
      <c r="B240" s="6"/>
      <c r="C240" s="1" t="s">
        <v>696</v>
      </c>
      <c r="D240" s="5" t="s">
        <v>15</v>
      </c>
    </row>
    <row r="241" customHeight="1" spans="1:4">
      <c r="A241" s="6"/>
      <c r="B241" s="6"/>
      <c r="C241" s="1" t="s">
        <v>1088</v>
      </c>
      <c r="D241" s="5" t="s">
        <v>15</v>
      </c>
    </row>
    <row r="242" customHeight="1" spans="1:4">
      <c r="A242" s="6"/>
      <c r="B242" s="6"/>
      <c r="C242" s="1" t="s">
        <v>693</v>
      </c>
      <c r="D242" s="5" t="s">
        <v>1554</v>
      </c>
    </row>
    <row r="243" customHeight="1" spans="1:4">
      <c r="A243" s="6"/>
      <c r="B243" s="6"/>
      <c r="C243" s="1" t="s">
        <v>1164</v>
      </c>
      <c r="D243" s="5" t="s">
        <v>1554</v>
      </c>
    </row>
    <row r="244" customHeight="1" spans="1:4">
      <c r="A244" s="6"/>
      <c r="B244" s="6"/>
      <c r="C244" s="1" t="s">
        <v>1242</v>
      </c>
      <c r="D244" s="5" t="s">
        <v>1554</v>
      </c>
    </row>
    <row r="245" customHeight="1" spans="1:4">
      <c r="A245" s="6"/>
      <c r="B245" s="6"/>
      <c r="C245" s="1" t="s">
        <v>1319</v>
      </c>
      <c r="D245" s="5" t="s">
        <v>1554</v>
      </c>
    </row>
    <row r="246" customHeight="1" spans="1:4">
      <c r="A246" s="6"/>
      <c r="B246" s="6"/>
      <c r="C246" s="1" t="s">
        <v>576</v>
      </c>
      <c r="D246" s="5" t="s">
        <v>1554</v>
      </c>
    </row>
    <row r="247" customHeight="1" spans="1:4">
      <c r="A247" s="6"/>
      <c r="B247" s="6"/>
      <c r="C247" s="1" t="s">
        <v>1106</v>
      </c>
      <c r="D247" s="5" t="s">
        <v>1554</v>
      </c>
    </row>
    <row r="248" customHeight="1" spans="1:4">
      <c r="A248" s="6"/>
      <c r="B248" s="6"/>
      <c r="C248" s="1" t="s">
        <v>1471</v>
      </c>
      <c r="D248" s="5" t="s">
        <v>15</v>
      </c>
    </row>
    <row r="249" customHeight="1" spans="1:4">
      <c r="A249" s="6"/>
      <c r="B249" s="6"/>
      <c r="C249" s="1" t="s">
        <v>1263</v>
      </c>
      <c r="D249" s="5" t="s">
        <v>1554</v>
      </c>
    </row>
    <row r="250" customHeight="1" spans="1:4">
      <c r="A250" s="6"/>
      <c r="B250" s="6"/>
      <c r="C250" s="1" t="s">
        <v>787</v>
      </c>
      <c r="D250" s="5" t="s">
        <v>15</v>
      </c>
    </row>
    <row r="251" customHeight="1" spans="1:4">
      <c r="A251" s="6"/>
      <c r="B251" s="6"/>
      <c r="C251" s="1" t="s">
        <v>275</v>
      </c>
      <c r="D251" s="5" t="s">
        <v>1554</v>
      </c>
    </row>
    <row r="252" customHeight="1" spans="1:4">
      <c r="A252" s="6"/>
      <c r="B252" s="6"/>
      <c r="C252" s="1" t="s">
        <v>940</v>
      </c>
      <c r="D252" s="5" t="s">
        <v>1554</v>
      </c>
    </row>
    <row r="253" customHeight="1" spans="1:4">
      <c r="A253" s="6"/>
      <c r="B253" s="6"/>
      <c r="C253" s="1" t="s">
        <v>1019</v>
      </c>
      <c r="D253" s="5" t="s">
        <v>1554</v>
      </c>
    </row>
    <row r="254" customHeight="1" spans="1:4">
      <c r="A254" s="6"/>
      <c r="B254" s="6"/>
      <c r="C254" s="1" t="s">
        <v>1151</v>
      </c>
      <c r="D254" s="5" t="s">
        <v>15</v>
      </c>
    </row>
    <row r="255" customHeight="1" spans="1:4">
      <c r="A255" s="6"/>
      <c r="B255" s="6"/>
      <c r="C255" s="1" t="s">
        <v>1473</v>
      </c>
      <c r="D255" s="5" t="s">
        <v>15</v>
      </c>
    </row>
    <row r="256" customHeight="1" spans="1:4">
      <c r="A256" s="6"/>
      <c r="B256" s="6"/>
      <c r="C256" s="1" t="s">
        <v>1061</v>
      </c>
      <c r="D256" s="5" t="s">
        <v>15</v>
      </c>
    </row>
    <row r="257" customHeight="1" spans="1:4">
      <c r="A257" s="6"/>
      <c r="B257" s="6"/>
      <c r="C257" s="1" t="s">
        <v>1348</v>
      </c>
      <c r="D257" s="5" t="s">
        <v>15</v>
      </c>
    </row>
    <row r="258" customHeight="1" spans="1:4">
      <c r="A258" s="6"/>
      <c r="B258" s="6"/>
      <c r="C258" s="1" t="s">
        <v>1422</v>
      </c>
      <c r="D258" s="5" t="s">
        <v>1554</v>
      </c>
    </row>
    <row r="259" customHeight="1" spans="1:4">
      <c r="A259" s="6"/>
      <c r="B259" s="6"/>
      <c r="C259" s="1" t="s">
        <v>847</v>
      </c>
      <c r="D259" s="5" t="s">
        <v>15</v>
      </c>
    </row>
    <row r="260" customHeight="1" spans="1:4">
      <c r="A260" s="6"/>
      <c r="B260" s="6"/>
      <c r="C260" s="1" t="s">
        <v>1367</v>
      </c>
      <c r="D260" s="5" t="s">
        <v>15</v>
      </c>
    </row>
    <row r="261" customHeight="1" spans="1:4">
      <c r="A261" s="6"/>
      <c r="B261" s="6"/>
      <c r="C261" s="1" t="s">
        <v>682</v>
      </c>
      <c r="D261" s="5" t="s">
        <v>15</v>
      </c>
    </row>
    <row r="262" customHeight="1" spans="1:4">
      <c r="A262" s="6"/>
      <c r="B262" s="6"/>
      <c r="C262" s="1" t="s">
        <v>978</v>
      </c>
      <c r="D262" s="5" t="s">
        <v>1554</v>
      </c>
    </row>
    <row r="263" customHeight="1" spans="1:4">
      <c r="A263" s="6"/>
      <c r="B263" s="6"/>
      <c r="C263" s="1" t="s">
        <v>357</v>
      </c>
      <c r="D263" s="5" t="s">
        <v>1554</v>
      </c>
    </row>
    <row r="264" customHeight="1" spans="1:4">
      <c r="A264" s="6"/>
      <c r="B264" s="6"/>
      <c r="C264" s="1" t="s">
        <v>1272</v>
      </c>
      <c r="D264" s="5" t="s">
        <v>15</v>
      </c>
    </row>
    <row r="265" customHeight="1" spans="1:4">
      <c r="A265" s="6"/>
      <c r="B265" s="6"/>
      <c r="C265" s="1" t="s">
        <v>1296</v>
      </c>
      <c r="D265" s="5" t="s">
        <v>1554</v>
      </c>
    </row>
    <row r="266" customHeight="1" spans="1:4">
      <c r="A266" s="6"/>
      <c r="B266" s="6"/>
      <c r="C266" s="1" t="s">
        <v>865</v>
      </c>
      <c r="D266" s="5" t="s">
        <v>15</v>
      </c>
    </row>
    <row r="267" customHeight="1" spans="1:4">
      <c r="A267" s="6"/>
      <c r="B267" s="6"/>
      <c r="C267" s="1" t="s">
        <v>658</v>
      </c>
      <c r="D267" s="5" t="s">
        <v>15</v>
      </c>
    </row>
    <row r="268" customHeight="1" spans="1:4">
      <c r="A268" s="6"/>
      <c r="B268" s="6"/>
      <c r="C268" s="1" t="s">
        <v>1024</v>
      </c>
      <c r="D268" s="5" t="s">
        <v>1554</v>
      </c>
    </row>
    <row r="269" customHeight="1" spans="1:4">
      <c r="A269" s="6"/>
      <c r="B269" s="6"/>
      <c r="C269" s="1" t="s">
        <v>996</v>
      </c>
      <c r="D269" s="5" t="s">
        <v>15</v>
      </c>
    </row>
    <row r="270" customHeight="1" spans="1:4">
      <c r="A270" s="6"/>
      <c r="B270" s="6"/>
      <c r="C270" s="1" t="s">
        <v>1053</v>
      </c>
      <c r="D270" s="5" t="s">
        <v>1554</v>
      </c>
    </row>
    <row r="271" customHeight="1" spans="1:4">
      <c r="A271" s="6"/>
      <c r="B271" s="6"/>
      <c r="C271" s="1" t="s">
        <v>1087</v>
      </c>
      <c r="D271" s="5" t="s">
        <v>1554</v>
      </c>
    </row>
    <row r="272" customHeight="1" spans="1:4">
      <c r="A272" s="6"/>
      <c r="B272" s="6"/>
      <c r="C272" s="1" t="s">
        <v>713</v>
      </c>
      <c r="D272" s="5" t="s">
        <v>15</v>
      </c>
    </row>
    <row r="273" customHeight="1" spans="1:4">
      <c r="A273" s="6"/>
      <c r="B273" s="6"/>
      <c r="C273" s="1" t="s">
        <v>825</v>
      </c>
      <c r="D273" s="5" t="s">
        <v>15</v>
      </c>
    </row>
    <row r="274" customHeight="1" spans="1:4">
      <c r="A274" s="6"/>
      <c r="B274" s="6"/>
      <c r="C274" s="1" t="s">
        <v>1388</v>
      </c>
      <c r="D274" s="5" t="s">
        <v>15</v>
      </c>
    </row>
    <row r="275" customHeight="1" spans="1:4">
      <c r="A275" s="6"/>
      <c r="B275" s="6"/>
      <c r="C275" s="1" t="s">
        <v>1074</v>
      </c>
      <c r="D275" s="5" t="s">
        <v>1554</v>
      </c>
    </row>
    <row r="276" customHeight="1" spans="1:4">
      <c r="A276" s="6"/>
      <c r="B276" s="6"/>
      <c r="C276" s="1" t="s">
        <v>916</v>
      </c>
      <c r="D276" s="5" t="s">
        <v>1554</v>
      </c>
    </row>
    <row r="277" customHeight="1" spans="1:4">
      <c r="A277" s="6"/>
      <c r="B277" s="6"/>
      <c r="C277" s="1" t="s">
        <v>1339</v>
      </c>
      <c r="D277" s="5" t="s">
        <v>1554</v>
      </c>
    </row>
    <row r="278" customHeight="1" spans="1:4">
      <c r="A278" s="6"/>
      <c r="B278" s="6"/>
      <c r="C278" s="1" t="s">
        <v>1003</v>
      </c>
      <c r="D278" s="5" t="s">
        <v>15</v>
      </c>
    </row>
    <row r="279" customHeight="1" spans="1:4">
      <c r="A279" s="6"/>
      <c r="B279" s="6"/>
      <c r="C279" s="1" t="s">
        <v>413</v>
      </c>
      <c r="D279" s="5" t="s">
        <v>1554</v>
      </c>
    </row>
    <row r="280" customHeight="1" spans="1:4">
      <c r="A280" s="6"/>
      <c r="B280" s="6"/>
      <c r="C280" s="1" t="s">
        <v>1475</v>
      </c>
      <c r="D280" s="5" t="s">
        <v>15</v>
      </c>
    </row>
    <row r="281" customHeight="1" spans="1:4">
      <c r="A281" s="6"/>
      <c r="B281" s="6"/>
      <c r="C281" s="1" t="s">
        <v>790</v>
      </c>
      <c r="D281" s="5" t="s">
        <v>183</v>
      </c>
    </row>
    <row r="282" customHeight="1" spans="1:4">
      <c r="A282" s="6"/>
      <c r="B282" s="6"/>
      <c r="C282" s="1" t="s">
        <v>98</v>
      </c>
      <c r="D282" s="5" t="s">
        <v>1554</v>
      </c>
    </row>
    <row r="283" customHeight="1" spans="1:4">
      <c r="A283" s="6"/>
      <c r="B283" s="6"/>
      <c r="C283" s="1" t="s">
        <v>1057</v>
      </c>
      <c r="D283" s="5" t="s">
        <v>1554</v>
      </c>
    </row>
    <row r="284" customHeight="1" spans="1:4">
      <c r="A284" s="6"/>
      <c r="B284" s="6"/>
      <c r="C284" s="1" t="s">
        <v>782</v>
      </c>
      <c r="D284" s="5" t="s">
        <v>15</v>
      </c>
    </row>
    <row r="285" customHeight="1" spans="1:4">
      <c r="A285" s="6"/>
      <c r="B285" s="6"/>
      <c r="C285" s="1" t="s">
        <v>1209</v>
      </c>
      <c r="D285" s="5" t="s">
        <v>1554</v>
      </c>
    </row>
    <row r="286" customHeight="1" spans="1:4">
      <c r="A286" s="6"/>
      <c r="B286" s="6"/>
      <c r="C286" s="1" t="s">
        <v>910</v>
      </c>
      <c r="D286" s="5" t="s">
        <v>15</v>
      </c>
    </row>
    <row r="287" customHeight="1" spans="1:4">
      <c r="A287" s="6"/>
      <c r="B287" s="6"/>
      <c r="C287" s="1" t="s">
        <v>292</v>
      </c>
      <c r="D287" s="5" t="s">
        <v>1554</v>
      </c>
    </row>
    <row r="288" customHeight="1" spans="1:4">
      <c r="A288" s="6"/>
      <c r="B288" s="6"/>
      <c r="C288" s="1" t="s">
        <v>711</v>
      </c>
      <c r="D288" s="5" t="s">
        <v>15</v>
      </c>
    </row>
    <row r="289" customHeight="1" spans="1:4">
      <c r="A289" s="6"/>
      <c r="B289" s="6"/>
      <c r="C289" s="1" t="s">
        <v>322</v>
      </c>
      <c r="D289" s="5" t="s">
        <v>1554</v>
      </c>
    </row>
    <row r="290" customHeight="1" spans="1:4">
      <c r="A290" s="6"/>
      <c r="B290" s="6"/>
      <c r="C290" s="1" t="s">
        <v>1352</v>
      </c>
      <c r="D290" s="5" t="s">
        <v>1554</v>
      </c>
    </row>
    <row r="291" customHeight="1" spans="1:4">
      <c r="A291" s="6"/>
      <c r="B291" s="6"/>
      <c r="C291" s="1" t="s">
        <v>36</v>
      </c>
      <c r="D291" s="5" t="s">
        <v>15</v>
      </c>
    </row>
    <row r="292" customHeight="1" spans="1:4">
      <c r="A292" s="6"/>
      <c r="B292" s="6"/>
      <c r="C292" s="1" t="s">
        <v>1327</v>
      </c>
      <c r="D292" s="5" t="s">
        <v>15</v>
      </c>
    </row>
    <row r="293" customHeight="1" spans="1:4">
      <c r="A293" s="6"/>
      <c r="B293" s="6"/>
      <c r="C293" s="1" t="s">
        <v>456</v>
      </c>
      <c r="D293" s="5" t="s">
        <v>15</v>
      </c>
    </row>
    <row r="294" customHeight="1" spans="1:4">
      <c r="A294" s="6"/>
      <c r="B294" s="6"/>
      <c r="C294" s="1" t="s">
        <v>1065</v>
      </c>
      <c r="D294" s="5" t="s">
        <v>15</v>
      </c>
    </row>
    <row r="295" customHeight="1" spans="1:4">
      <c r="A295" s="6"/>
      <c r="B295" s="6"/>
      <c r="C295" s="1" t="s">
        <v>1383</v>
      </c>
      <c r="D295" s="5" t="s">
        <v>15</v>
      </c>
    </row>
    <row r="296" customHeight="1" spans="1:4">
      <c r="A296" s="6"/>
      <c r="B296" s="6"/>
      <c r="C296" s="1" t="s">
        <v>505</v>
      </c>
      <c r="D296" s="5" t="s">
        <v>1554</v>
      </c>
    </row>
    <row r="297" customHeight="1" spans="1:4">
      <c r="A297" s="6"/>
      <c r="B297" s="6"/>
      <c r="C297" s="1" t="s">
        <v>1050</v>
      </c>
      <c r="D297" s="5" t="s">
        <v>1554</v>
      </c>
    </row>
    <row r="298" customHeight="1" spans="1:4">
      <c r="A298" s="6"/>
      <c r="B298" s="6"/>
      <c r="C298" s="1" t="s">
        <v>473</v>
      </c>
      <c r="D298" s="5" t="s">
        <v>1554</v>
      </c>
    </row>
    <row r="299" customHeight="1" spans="1:4">
      <c r="A299" s="6"/>
      <c r="B299" s="6"/>
      <c r="C299" s="1" t="s">
        <v>359</v>
      </c>
      <c r="D299" s="5" t="s">
        <v>15</v>
      </c>
    </row>
    <row r="300" customHeight="1" spans="1:4">
      <c r="A300" s="6"/>
      <c r="B300" s="6"/>
      <c r="C300" s="1" t="s">
        <v>1132</v>
      </c>
      <c r="D300" s="5" t="s">
        <v>1554</v>
      </c>
    </row>
    <row r="301" customHeight="1" spans="1:4">
      <c r="A301" s="6"/>
      <c r="B301" s="6"/>
      <c r="C301" s="1" t="s">
        <v>1431</v>
      </c>
      <c r="D301" s="5" t="s">
        <v>1554</v>
      </c>
    </row>
    <row r="302" customHeight="1" spans="1:4">
      <c r="A302" s="6"/>
      <c r="B302" s="6"/>
      <c r="C302" s="1" t="s">
        <v>988</v>
      </c>
      <c r="D302" s="5" t="s">
        <v>15</v>
      </c>
    </row>
    <row r="303" customHeight="1" spans="1:4">
      <c r="A303" s="6"/>
      <c r="B303" s="6"/>
      <c r="C303" s="1" t="s">
        <v>416</v>
      </c>
      <c r="D303" s="5" t="s">
        <v>1554</v>
      </c>
    </row>
    <row r="304" customHeight="1" spans="1:4">
      <c r="A304" s="6"/>
      <c r="B304" s="6"/>
      <c r="C304" s="1" t="s">
        <v>122</v>
      </c>
      <c r="D304" s="5" t="s">
        <v>1554</v>
      </c>
    </row>
    <row r="305" customHeight="1" spans="1:4">
      <c r="A305" s="6"/>
      <c r="B305" s="6"/>
      <c r="C305" s="1" t="s">
        <v>213</v>
      </c>
      <c r="D305" s="5" t="s">
        <v>15</v>
      </c>
    </row>
    <row r="306" customHeight="1" spans="1:4">
      <c r="A306" s="6"/>
      <c r="B306" s="6"/>
      <c r="C306" s="1" t="s">
        <v>785</v>
      </c>
      <c r="D306" s="5" t="s">
        <v>15</v>
      </c>
    </row>
    <row r="307" customHeight="1" spans="1:4">
      <c r="A307" s="6"/>
      <c r="B307" s="6"/>
      <c r="C307" s="1" t="s">
        <v>429</v>
      </c>
      <c r="D307" s="5" t="s">
        <v>15</v>
      </c>
    </row>
    <row r="308" customHeight="1" spans="1:4">
      <c r="A308" s="6"/>
      <c r="B308" s="6"/>
      <c r="C308" s="1" t="s">
        <v>449</v>
      </c>
      <c r="D308" s="5" t="s">
        <v>15</v>
      </c>
    </row>
    <row r="309" customHeight="1" spans="1:4">
      <c r="A309" s="6"/>
      <c r="B309" s="6"/>
      <c r="C309" s="1" t="s">
        <v>1165</v>
      </c>
      <c r="D309" s="5" t="s">
        <v>1554</v>
      </c>
    </row>
    <row r="310" customHeight="1" spans="1:4">
      <c r="A310" s="6"/>
      <c r="B310" s="6"/>
      <c r="C310" s="1" t="s">
        <v>963</v>
      </c>
      <c r="D310" s="5" t="s">
        <v>1554</v>
      </c>
    </row>
    <row r="311" customHeight="1" spans="1:4">
      <c r="A311" s="6"/>
      <c r="B311" s="6"/>
      <c r="C311" s="1" t="s">
        <v>1417</v>
      </c>
      <c r="D311" s="5" t="s">
        <v>15</v>
      </c>
    </row>
    <row r="312" customHeight="1" spans="1:4">
      <c r="A312" s="6"/>
      <c r="B312" s="6"/>
      <c r="C312" s="1" t="s">
        <v>995</v>
      </c>
      <c r="D312" s="5" t="s">
        <v>183</v>
      </c>
    </row>
    <row r="313" customHeight="1" spans="1:4">
      <c r="A313" s="6"/>
      <c r="B313" s="6"/>
      <c r="C313" s="1" t="s">
        <v>427</v>
      </c>
      <c r="D313" s="5" t="s">
        <v>15</v>
      </c>
    </row>
    <row r="314" customHeight="1" spans="1:4">
      <c r="A314" s="6"/>
      <c r="B314" s="6"/>
      <c r="C314" s="1" t="s">
        <v>134</v>
      </c>
      <c r="D314" s="5" t="s">
        <v>15</v>
      </c>
    </row>
    <row r="315" customHeight="1" spans="1:4">
      <c r="A315" s="6"/>
      <c r="B315" s="6"/>
      <c r="C315" s="1" t="s">
        <v>439</v>
      </c>
      <c r="D315" s="5" t="s">
        <v>15</v>
      </c>
    </row>
    <row r="316" customHeight="1" spans="1:4">
      <c r="A316" s="6"/>
      <c r="B316" s="6"/>
      <c r="C316" s="1" t="s">
        <v>1482</v>
      </c>
      <c r="D316" s="5" t="s">
        <v>15</v>
      </c>
    </row>
    <row r="317" customHeight="1" spans="1:4">
      <c r="A317" s="6"/>
      <c r="B317" s="6"/>
      <c r="C317" s="1" t="s">
        <v>1356</v>
      </c>
      <c r="D317" s="5" t="s">
        <v>1554</v>
      </c>
    </row>
    <row r="318" customHeight="1" spans="1:4">
      <c r="A318" s="6"/>
      <c r="B318" s="6"/>
      <c r="C318" s="1" t="s">
        <v>1238</v>
      </c>
      <c r="D318" s="5" t="s">
        <v>1554</v>
      </c>
    </row>
    <row r="319" customHeight="1" spans="1:4">
      <c r="A319" s="6"/>
      <c r="B319" s="6"/>
      <c r="C319" s="1" t="s">
        <v>615</v>
      </c>
      <c r="D319" s="5" t="s">
        <v>15</v>
      </c>
    </row>
    <row r="320" customHeight="1" spans="1:4">
      <c r="A320" s="6"/>
      <c r="B320" s="6"/>
      <c r="C320" s="1" t="s">
        <v>608</v>
      </c>
      <c r="D320" s="5" t="s">
        <v>1554</v>
      </c>
    </row>
    <row r="321" customHeight="1" spans="1:4">
      <c r="A321" s="6"/>
      <c r="B321" s="6"/>
      <c r="C321" s="1" t="s">
        <v>1010</v>
      </c>
      <c r="D321" s="5" t="s">
        <v>15</v>
      </c>
    </row>
    <row r="322" customHeight="1" spans="1:4">
      <c r="A322" s="6"/>
      <c r="B322" s="6"/>
      <c r="C322" s="1" t="s">
        <v>680</v>
      </c>
      <c r="D322" s="5" t="s">
        <v>15</v>
      </c>
    </row>
    <row r="323" customHeight="1" spans="1:4">
      <c r="A323" s="6"/>
      <c r="B323" s="6"/>
      <c r="C323" s="1" t="s">
        <v>1150</v>
      </c>
      <c r="D323" s="5" t="s">
        <v>15</v>
      </c>
    </row>
    <row r="324" customHeight="1" spans="1:4">
      <c r="A324" s="6"/>
      <c r="B324" s="6"/>
      <c r="C324" s="1" t="s">
        <v>983</v>
      </c>
      <c r="D324" s="5" t="s">
        <v>1554</v>
      </c>
    </row>
    <row r="325" customHeight="1" spans="1:4">
      <c r="A325" s="6"/>
      <c r="B325" s="6"/>
      <c r="C325" s="1" t="s">
        <v>809</v>
      </c>
      <c r="D325" s="5" t="s">
        <v>1554</v>
      </c>
    </row>
    <row r="326" customHeight="1" spans="1:4">
      <c r="A326" s="6"/>
      <c r="B326" s="6"/>
      <c r="C326" s="1" t="s">
        <v>850</v>
      </c>
      <c r="D326" s="5" t="s">
        <v>1554</v>
      </c>
    </row>
    <row r="327" customHeight="1" spans="1:4">
      <c r="A327" s="6"/>
      <c r="B327" s="6"/>
      <c r="C327" s="1" t="s">
        <v>1247</v>
      </c>
      <c r="D327" s="5" t="s">
        <v>1554</v>
      </c>
    </row>
    <row r="328" customHeight="1" spans="1:4">
      <c r="A328" s="6"/>
      <c r="B328" s="6"/>
      <c r="C328" s="1" t="s">
        <v>1413</v>
      </c>
      <c r="D328" s="5" t="s">
        <v>15</v>
      </c>
    </row>
    <row r="329" customHeight="1" spans="1:4">
      <c r="A329" s="6"/>
      <c r="B329" s="6"/>
      <c r="C329" s="1" t="s">
        <v>581</v>
      </c>
      <c r="D329" s="5" t="s">
        <v>15</v>
      </c>
    </row>
    <row r="330" customHeight="1" spans="1:4">
      <c r="A330" s="6"/>
      <c r="B330" s="6"/>
      <c r="C330" s="1" t="s">
        <v>1363</v>
      </c>
      <c r="D330" s="5" t="s">
        <v>15</v>
      </c>
    </row>
    <row r="331" customHeight="1" spans="1:4">
      <c r="A331" s="6"/>
      <c r="B331" s="6"/>
      <c r="C331" s="1" t="s">
        <v>937</v>
      </c>
      <c r="D331" s="5" t="s">
        <v>15</v>
      </c>
    </row>
    <row r="332" customHeight="1" spans="1:4">
      <c r="A332" s="6"/>
      <c r="B332" s="6"/>
      <c r="C332" s="1" t="s">
        <v>1207</v>
      </c>
      <c r="D332" s="5" t="s">
        <v>15</v>
      </c>
    </row>
    <row r="333" customHeight="1" spans="1:4">
      <c r="A333" s="6"/>
      <c r="B333" s="6"/>
      <c r="C333" s="1" t="s">
        <v>918</v>
      </c>
      <c r="D333" s="5" t="s">
        <v>1554</v>
      </c>
    </row>
    <row r="334" customHeight="1" spans="1:4">
      <c r="A334" s="6"/>
      <c r="B334" s="6"/>
      <c r="C334" s="1" t="s">
        <v>1017</v>
      </c>
      <c r="D334" s="5" t="s">
        <v>15</v>
      </c>
    </row>
    <row r="335" customHeight="1" spans="1:4">
      <c r="A335" s="6"/>
      <c r="B335" s="6"/>
      <c r="C335" s="1" t="s">
        <v>807</v>
      </c>
      <c r="D335" s="5" t="s">
        <v>183</v>
      </c>
    </row>
    <row r="336" customHeight="1" spans="1:4">
      <c r="A336" s="6"/>
      <c r="B336" s="6"/>
      <c r="C336" s="1" t="s">
        <v>936</v>
      </c>
      <c r="D336" s="5" t="s">
        <v>1554</v>
      </c>
    </row>
    <row r="337" customHeight="1" spans="1:4">
      <c r="A337" s="6"/>
      <c r="B337" s="6"/>
      <c r="C337" s="1" t="s">
        <v>557</v>
      </c>
      <c r="D337" s="5" t="s">
        <v>15</v>
      </c>
    </row>
    <row r="338" customHeight="1" spans="1:4">
      <c r="A338" s="6"/>
      <c r="B338" s="6"/>
      <c r="C338" s="1" t="s">
        <v>542</v>
      </c>
      <c r="D338" s="5" t="s">
        <v>15</v>
      </c>
    </row>
    <row r="339" customHeight="1" spans="1:4">
      <c r="A339" s="6"/>
      <c r="B339" s="6"/>
      <c r="C339" s="1" t="s">
        <v>1103</v>
      </c>
      <c r="D339" s="5" t="s">
        <v>183</v>
      </c>
    </row>
    <row r="340" customHeight="1" spans="1:4">
      <c r="A340" s="6"/>
      <c r="B340" s="6"/>
      <c r="C340" s="1" t="s">
        <v>623</v>
      </c>
      <c r="D340" s="5" t="s">
        <v>183</v>
      </c>
    </row>
    <row r="341" customHeight="1" spans="1:4">
      <c r="A341" s="6"/>
      <c r="B341" s="6"/>
      <c r="C341" s="1" t="s">
        <v>657</v>
      </c>
      <c r="D341" s="5" t="s">
        <v>183</v>
      </c>
    </row>
    <row r="342" customHeight="1" spans="1:4">
      <c r="A342" s="6"/>
      <c r="B342" s="6"/>
      <c r="C342" s="1" t="s">
        <v>1354</v>
      </c>
      <c r="D342" s="5" t="s">
        <v>1554</v>
      </c>
    </row>
    <row r="343" customHeight="1" spans="1:4">
      <c r="A343" s="6"/>
      <c r="B343" s="6"/>
      <c r="C343" s="1" t="s">
        <v>939</v>
      </c>
      <c r="D343" s="5" t="s">
        <v>1554</v>
      </c>
    </row>
    <row r="344" customHeight="1" spans="1:4">
      <c r="A344" s="6"/>
      <c r="B344" s="6"/>
      <c r="C344" s="1" t="s">
        <v>40</v>
      </c>
      <c r="D344" s="5" t="s">
        <v>1554</v>
      </c>
    </row>
    <row r="345" customHeight="1" spans="1:4">
      <c r="A345" s="6"/>
      <c r="B345" s="6"/>
      <c r="C345" s="1" t="s">
        <v>775</v>
      </c>
      <c r="D345" s="5" t="s">
        <v>15</v>
      </c>
    </row>
    <row r="346" customHeight="1" spans="1:4">
      <c r="A346" s="6"/>
      <c r="B346" s="6"/>
      <c r="C346" s="1" t="s">
        <v>105</v>
      </c>
      <c r="D346" s="5" t="s">
        <v>15</v>
      </c>
    </row>
    <row r="347" customHeight="1" spans="1:4">
      <c r="A347" s="6"/>
      <c r="B347" s="6"/>
      <c r="C347" s="1" t="s">
        <v>1511</v>
      </c>
      <c r="D347" s="5" t="s">
        <v>15</v>
      </c>
    </row>
    <row r="348" customHeight="1" spans="1:4">
      <c r="A348" s="6"/>
      <c r="B348" s="6"/>
      <c r="C348" s="1" t="s">
        <v>582</v>
      </c>
      <c r="D348" s="5" t="s">
        <v>15</v>
      </c>
    </row>
    <row r="349" customHeight="1" spans="1:4">
      <c r="A349" s="6"/>
      <c r="B349" s="6"/>
      <c r="C349" s="1" t="s">
        <v>1225</v>
      </c>
      <c r="D349" s="5" t="s">
        <v>15</v>
      </c>
    </row>
    <row r="350" customHeight="1" spans="1:4">
      <c r="A350" s="6"/>
      <c r="B350" s="6"/>
      <c r="C350" s="1" t="s">
        <v>1123</v>
      </c>
      <c r="D350" s="5" t="s">
        <v>15</v>
      </c>
    </row>
    <row r="351" customHeight="1" spans="1:4">
      <c r="A351" s="6"/>
      <c r="B351" s="6"/>
      <c r="C351" s="1" t="s">
        <v>776</v>
      </c>
      <c r="D351" s="5" t="s">
        <v>183</v>
      </c>
    </row>
    <row r="352" customHeight="1" spans="1:4">
      <c r="A352" s="6"/>
      <c r="B352" s="6"/>
      <c r="C352" s="1" t="s">
        <v>336</v>
      </c>
      <c r="D352" s="5" t="s">
        <v>1554</v>
      </c>
    </row>
    <row r="353" customHeight="1" spans="1:4">
      <c r="A353" s="6"/>
      <c r="B353" s="6"/>
      <c r="C353" s="1" t="s">
        <v>287</v>
      </c>
      <c r="D353" s="5" t="s">
        <v>1554</v>
      </c>
    </row>
    <row r="354" customHeight="1" spans="1:4">
      <c r="A354" s="6"/>
      <c r="B354" s="6"/>
      <c r="C354" s="1" t="s">
        <v>603</v>
      </c>
      <c r="D354" s="5" t="s">
        <v>183</v>
      </c>
    </row>
    <row r="355" customHeight="1" spans="1:4">
      <c r="A355" s="6"/>
      <c r="B355" s="6"/>
      <c r="C355" s="1" t="s">
        <v>286</v>
      </c>
      <c r="D355" s="5" t="s">
        <v>1554</v>
      </c>
    </row>
    <row r="356" customHeight="1" spans="1:4">
      <c r="A356" s="6"/>
      <c r="B356" s="6"/>
      <c r="C356" s="1" t="s">
        <v>908</v>
      </c>
      <c r="D356" s="5" t="s">
        <v>15</v>
      </c>
    </row>
    <row r="357" customHeight="1" spans="1:4">
      <c r="A357" s="6"/>
      <c r="B357" s="6"/>
      <c r="C357" s="1" t="s">
        <v>655</v>
      </c>
      <c r="D357" s="5" t="s">
        <v>183</v>
      </c>
    </row>
    <row r="358" customHeight="1" spans="1:4">
      <c r="A358" s="6"/>
      <c r="B358" s="6"/>
      <c r="C358" s="1" t="s">
        <v>1064</v>
      </c>
      <c r="D358" s="5" t="s">
        <v>1554</v>
      </c>
    </row>
    <row r="359" customHeight="1" spans="1:4">
      <c r="A359" s="6"/>
      <c r="B359" s="6"/>
      <c r="C359" s="1" t="s">
        <v>897</v>
      </c>
      <c r="D359" s="5" t="s">
        <v>183</v>
      </c>
    </row>
    <row r="360" customHeight="1" spans="1:4">
      <c r="A360" s="6"/>
      <c r="B360" s="6"/>
      <c r="C360" s="1" t="s">
        <v>727</v>
      </c>
      <c r="D360" s="5" t="s">
        <v>15</v>
      </c>
    </row>
    <row r="361" customHeight="1" spans="1:4">
      <c r="A361" s="6"/>
      <c r="B361" s="6"/>
      <c r="C361" s="1" t="s">
        <v>1007</v>
      </c>
      <c r="D361" s="5" t="s">
        <v>15</v>
      </c>
    </row>
    <row r="362" customHeight="1" spans="1:4">
      <c r="A362" s="6"/>
      <c r="B362" s="6"/>
      <c r="C362" s="1" t="s">
        <v>1423</v>
      </c>
      <c r="D362" s="5" t="s">
        <v>15</v>
      </c>
    </row>
    <row r="363" customHeight="1" spans="1:4">
      <c r="A363" s="6"/>
      <c r="B363" s="6"/>
      <c r="C363" s="1" t="s">
        <v>1393</v>
      </c>
      <c r="D363" s="5" t="s">
        <v>15</v>
      </c>
    </row>
    <row r="364" customHeight="1" spans="1:4">
      <c r="A364" s="6"/>
      <c r="B364" s="6"/>
      <c r="C364" s="1" t="s">
        <v>345</v>
      </c>
      <c r="D364" s="5" t="s">
        <v>1554</v>
      </c>
    </row>
    <row r="365" customHeight="1" spans="1:4">
      <c r="A365" s="6"/>
      <c r="B365" s="6"/>
      <c r="C365" s="1" t="s">
        <v>687</v>
      </c>
      <c r="D365" s="5" t="s">
        <v>183</v>
      </c>
    </row>
    <row r="366" customHeight="1" spans="1:4">
      <c r="A366" s="6"/>
      <c r="B366" s="6"/>
      <c r="C366" s="1" t="s">
        <v>1049</v>
      </c>
      <c r="D366" s="5" t="s">
        <v>1554</v>
      </c>
    </row>
    <row r="367" customHeight="1" spans="1:4">
      <c r="A367" s="6"/>
      <c r="B367" s="6"/>
      <c r="C367" s="1" t="s">
        <v>945</v>
      </c>
      <c r="D367" s="5" t="s">
        <v>1554</v>
      </c>
    </row>
    <row r="368" customHeight="1" spans="1:4">
      <c r="A368" s="6"/>
      <c r="B368" s="6"/>
      <c r="C368" s="1" t="s">
        <v>447</v>
      </c>
      <c r="D368" s="5" t="s">
        <v>183</v>
      </c>
    </row>
    <row r="369" customHeight="1" spans="1:4">
      <c r="A369" s="6"/>
      <c r="B369" s="6"/>
      <c r="C369" s="1" t="s">
        <v>1522</v>
      </c>
      <c r="D369" s="5" t="s">
        <v>1554</v>
      </c>
    </row>
    <row r="370" customHeight="1" spans="1:4">
      <c r="A370" s="6"/>
      <c r="B370" s="6"/>
      <c r="C370" s="1" t="s">
        <v>1214</v>
      </c>
      <c r="D370" s="5" t="s">
        <v>1554</v>
      </c>
    </row>
    <row r="371" customHeight="1" spans="1:4">
      <c r="A371" s="6"/>
      <c r="B371" s="6"/>
      <c r="C371" s="1" t="s">
        <v>1184</v>
      </c>
      <c r="D371" s="5" t="s">
        <v>1554</v>
      </c>
    </row>
    <row r="372" customHeight="1" spans="1:4">
      <c r="A372" s="6"/>
      <c r="B372" s="6"/>
      <c r="C372" s="1" t="s">
        <v>598</v>
      </c>
      <c r="D372" s="5" t="s">
        <v>1554</v>
      </c>
    </row>
    <row r="373" customHeight="1" spans="1:4">
      <c r="A373" s="6"/>
      <c r="B373" s="6"/>
      <c r="C373" s="1" t="s">
        <v>438</v>
      </c>
      <c r="D373" s="5" t="s">
        <v>1554</v>
      </c>
    </row>
    <row r="374" customHeight="1" spans="1:4">
      <c r="A374" s="6"/>
      <c r="B374" s="6"/>
      <c r="C374" s="1" t="s">
        <v>1158</v>
      </c>
      <c r="D374" s="5" t="s">
        <v>15</v>
      </c>
    </row>
    <row r="375" customHeight="1" spans="1:4">
      <c r="A375" s="6"/>
      <c r="B375" s="6"/>
      <c r="C375" s="1" t="s">
        <v>1228</v>
      </c>
      <c r="D375" s="5" t="s">
        <v>1554</v>
      </c>
    </row>
    <row r="376" customHeight="1" spans="1:4">
      <c r="A376" s="6"/>
      <c r="B376" s="6"/>
      <c r="C376" s="1" t="s">
        <v>829</v>
      </c>
      <c r="D376" s="5" t="s">
        <v>15</v>
      </c>
    </row>
    <row r="377" customHeight="1" spans="1:4">
      <c r="A377" s="6"/>
      <c r="B377" s="6"/>
      <c r="C377" s="1" t="s">
        <v>1237</v>
      </c>
      <c r="D377" s="5" t="s">
        <v>1554</v>
      </c>
    </row>
    <row r="378" customHeight="1" spans="1:4">
      <c r="A378" s="6"/>
      <c r="B378" s="6"/>
      <c r="C378" s="1" t="s">
        <v>1029</v>
      </c>
      <c r="D378" s="5" t="s">
        <v>15</v>
      </c>
    </row>
    <row r="379" customHeight="1" spans="1:4">
      <c r="A379" s="6"/>
      <c r="B379" s="6"/>
      <c r="C379" s="1" t="s">
        <v>1035</v>
      </c>
      <c r="D379" s="5" t="s">
        <v>15</v>
      </c>
    </row>
    <row r="380" customHeight="1" spans="1:4">
      <c r="A380" s="6"/>
      <c r="B380" s="6"/>
      <c r="C380" s="1" t="s">
        <v>1171</v>
      </c>
      <c r="D380" s="5" t="s">
        <v>1554</v>
      </c>
    </row>
    <row r="381" customHeight="1" spans="1:4">
      <c r="A381" s="6"/>
      <c r="B381" s="6"/>
      <c r="C381" s="1" t="s">
        <v>1240</v>
      </c>
      <c r="D381" s="5" t="s">
        <v>1554</v>
      </c>
    </row>
    <row r="382" customHeight="1" spans="1:4">
      <c r="A382" s="6"/>
      <c r="B382" s="6"/>
      <c r="C382" s="1" t="s">
        <v>788</v>
      </c>
      <c r="D382" s="5" t="s">
        <v>15</v>
      </c>
    </row>
    <row r="383" customHeight="1" spans="1:4">
      <c r="A383" s="6"/>
      <c r="B383" s="6"/>
      <c r="C383" s="1" t="s">
        <v>1126</v>
      </c>
      <c r="D383" s="5" t="s">
        <v>1554</v>
      </c>
    </row>
    <row r="384" customHeight="1" spans="1:4">
      <c r="A384" s="6"/>
      <c r="B384" s="6"/>
      <c r="C384" s="1" t="s">
        <v>992</v>
      </c>
      <c r="D384" s="5" t="s">
        <v>15</v>
      </c>
    </row>
    <row r="385" customHeight="1" spans="1:4">
      <c r="A385" s="6"/>
      <c r="B385" s="6"/>
      <c r="C385" s="1" t="s">
        <v>1268</v>
      </c>
      <c r="D385" s="5" t="s">
        <v>1554</v>
      </c>
    </row>
    <row r="386" customHeight="1" spans="1:4">
      <c r="A386" s="6"/>
      <c r="B386" s="6"/>
      <c r="C386" s="1" t="s">
        <v>763</v>
      </c>
      <c r="D386" s="5" t="s">
        <v>15</v>
      </c>
    </row>
    <row r="387" customHeight="1" spans="1:4">
      <c r="A387" s="6"/>
      <c r="B387" s="6"/>
      <c r="C387" s="1" t="s">
        <v>822</v>
      </c>
      <c r="D387" s="5" t="s">
        <v>183</v>
      </c>
    </row>
    <row r="388" customHeight="1" spans="1:4">
      <c r="A388" s="6"/>
      <c r="B388" s="6"/>
      <c r="C388" s="1" t="s">
        <v>1317</v>
      </c>
      <c r="D388" s="5" t="s">
        <v>1554</v>
      </c>
    </row>
    <row r="389" customHeight="1" spans="1:4">
      <c r="A389" s="6"/>
      <c r="B389" s="6"/>
      <c r="C389" s="1" t="s">
        <v>1188</v>
      </c>
      <c r="D389" s="5" t="s">
        <v>1554</v>
      </c>
    </row>
    <row r="390" customHeight="1" spans="1:4">
      <c r="A390" s="6"/>
      <c r="B390" s="6"/>
      <c r="C390" s="1" t="s">
        <v>1112</v>
      </c>
      <c r="D390" s="5" t="s">
        <v>1554</v>
      </c>
    </row>
    <row r="391" customHeight="1" spans="1:4">
      <c r="A391" s="6"/>
      <c r="B391" s="6"/>
      <c r="C391" s="1" t="s">
        <v>1529</v>
      </c>
      <c r="D391" s="5" t="s">
        <v>1554</v>
      </c>
    </row>
    <row r="392" customHeight="1" spans="1:4">
      <c r="A392" s="6"/>
      <c r="B392" s="6"/>
      <c r="C392" s="1" t="s">
        <v>757</v>
      </c>
      <c r="D392" s="5" t="s">
        <v>1554</v>
      </c>
    </row>
    <row r="393" customHeight="1" spans="1:4">
      <c r="A393" s="6"/>
      <c r="B393" s="6"/>
      <c r="C393" s="1" t="s">
        <v>947</v>
      </c>
      <c r="D393" s="5" t="s">
        <v>1554</v>
      </c>
    </row>
    <row r="394" customHeight="1" spans="1:4">
      <c r="A394" s="6"/>
      <c r="B394" s="6"/>
      <c r="C394" s="1" t="s">
        <v>984</v>
      </c>
      <c r="D394" s="5" t="s">
        <v>1554</v>
      </c>
    </row>
    <row r="395" customHeight="1" spans="1:4">
      <c r="A395" s="6"/>
      <c r="B395" s="6"/>
      <c r="C395" s="1" t="s">
        <v>1036</v>
      </c>
      <c r="D395" s="5" t="s">
        <v>15</v>
      </c>
    </row>
    <row r="396" customHeight="1" spans="1:4">
      <c r="A396" s="6"/>
      <c r="B396" s="6"/>
      <c r="C396" s="1" t="s">
        <v>1133</v>
      </c>
      <c r="D396" s="5" t="s">
        <v>1554</v>
      </c>
    </row>
    <row r="397" customHeight="1" spans="1:4">
      <c r="A397" s="6"/>
      <c r="B397" s="6"/>
      <c r="C397" s="1" t="s">
        <v>1530</v>
      </c>
      <c r="D397" s="5" t="s">
        <v>1554</v>
      </c>
    </row>
    <row r="398" customHeight="1" spans="1:4">
      <c r="A398" s="6"/>
      <c r="B398" s="6"/>
      <c r="C398" s="1" t="s">
        <v>1349</v>
      </c>
      <c r="D398" s="5" t="s">
        <v>1554</v>
      </c>
    </row>
    <row r="399" customHeight="1" spans="1:4">
      <c r="A399" s="6"/>
      <c r="B399" s="6"/>
      <c r="C399" s="1" t="s">
        <v>1063</v>
      </c>
      <c r="D399" s="5" t="s">
        <v>15</v>
      </c>
    </row>
    <row r="400" customHeight="1" spans="1:4">
      <c r="A400" s="6"/>
      <c r="B400" s="6"/>
      <c r="C400" s="1" t="s">
        <v>761</v>
      </c>
      <c r="D400" s="5" t="s">
        <v>1554</v>
      </c>
    </row>
    <row r="401" customHeight="1" spans="1:4">
      <c r="A401" s="6"/>
      <c r="B401" s="6"/>
      <c r="C401" s="1" t="s">
        <v>750</v>
      </c>
      <c r="D401" s="5" t="s">
        <v>1554</v>
      </c>
    </row>
    <row r="402" customHeight="1" spans="1:4">
      <c r="A402" s="6"/>
      <c r="B402" s="6"/>
      <c r="C402" s="1" t="s">
        <v>1409</v>
      </c>
      <c r="D402" s="5" t="s">
        <v>1554</v>
      </c>
    </row>
    <row r="403" customHeight="1" spans="1:4">
      <c r="A403" s="6"/>
      <c r="B403" s="6"/>
      <c r="C403" s="1" t="s">
        <v>1269</v>
      </c>
      <c r="D403" s="5" t="s">
        <v>1554</v>
      </c>
    </row>
    <row r="404" customHeight="1" spans="1:4">
      <c r="A404" s="6"/>
      <c r="B404" s="6"/>
      <c r="C404" s="1" t="s">
        <v>1138</v>
      </c>
      <c r="D404" s="5" t="s">
        <v>1554</v>
      </c>
    </row>
    <row r="405" customHeight="1" spans="1:4">
      <c r="A405" s="6"/>
      <c r="B405" s="6"/>
      <c r="C405" s="1" t="s">
        <v>885</v>
      </c>
      <c r="D405" s="5" t="s">
        <v>15</v>
      </c>
    </row>
    <row r="406" customHeight="1" spans="1:4">
      <c r="A406" s="6"/>
      <c r="B406" s="6"/>
      <c r="C406" s="1" t="s">
        <v>705</v>
      </c>
      <c r="D406" s="5" t="s">
        <v>15</v>
      </c>
    </row>
    <row r="407" customHeight="1" spans="1:4">
      <c r="A407" s="6"/>
      <c r="B407" s="6"/>
      <c r="C407" s="1" t="s">
        <v>913</v>
      </c>
      <c r="D407" s="5" t="s">
        <v>15</v>
      </c>
    </row>
    <row r="408" customHeight="1" spans="1:4">
      <c r="A408" s="6"/>
      <c r="B408" s="6"/>
      <c r="C408" s="1" t="s">
        <v>1282</v>
      </c>
      <c r="D408" s="5" t="s">
        <v>1554</v>
      </c>
    </row>
    <row r="409" customHeight="1" spans="1:4">
      <c r="A409" s="6"/>
      <c r="B409" s="6"/>
      <c r="C409" s="1" t="s">
        <v>437</v>
      </c>
      <c r="D409" s="5" t="s">
        <v>15</v>
      </c>
    </row>
    <row r="410" customHeight="1" spans="1:4">
      <c r="A410" s="6"/>
      <c r="B410" s="6"/>
      <c r="C410" s="1" t="s">
        <v>710</v>
      </c>
      <c r="D410" s="5" t="s">
        <v>183</v>
      </c>
    </row>
    <row r="411" customHeight="1" spans="1:4">
      <c r="A411" s="6"/>
      <c r="B411" s="6"/>
      <c r="C411" s="1" t="s">
        <v>401</v>
      </c>
      <c r="D411" s="5" t="s">
        <v>1554</v>
      </c>
    </row>
    <row r="412" customHeight="1" spans="1:4">
      <c r="A412" s="6"/>
      <c r="B412" s="6"/>
      <c r="C412" s="1" t="s">
        <v>1534</v>
      </c>
      <c r="D412" s="5" t="s">
        <v>1554</v>
      </c>
    </row>
    <row r="413" customHeight="1" spans="1:4">
      <c r="A413" s="6"/>
      <c r="B413" s="6"/>
      <c r="C413" s="1" t="s">
        <v>896</v>
      </c>
      <c r="D413" s="5" t="s">
        <v>183</v>
      </c>
    </row>
    <row r="414" customHeight="1" spans="1:4">
      <c r="A414" s="6"/>
      <c r="B414" s="6"/>
      <c r="C414" s="1" t="s">
        <v>328</v>
      </c>
      <c r="D414" s="5" t="s">
        <v>1554</v>
      </c>
    </row>
    <row r="415" customHeight="1" spans="1:4">
      <c r="A415" s="6"/>
      <c r="B415" s="6"/>
      <c r="C415" s="1" t="s">
        <v>466</v>
      </c>
      <c r="D415" s="5" t="s">
        <v>183</v>
      </c>
    </row>
    <row r="416" customHeight="1" spans="1:4">
      <c r="A416" s="6"/>
      <c r="B416" s="6"/>
      <c r="C416" s="1" t="s">
        <v>1216</v>
      </c>
      <c r="D416" s="5" t="s">
        <v>1554</v>
      </c>
    </row>
    <row r="417" customHeight="1" spans="1:4">
      <c r="A417" s="6"/>
      <c r="B417" s="6"/>
      <c r="C417" s="1" t="s">
        <v>716</v>
      </c>
      <c r="D417" s="5" t="s">
        <v>183</v>
      </c>
    </row>
    <row r="418" customHeight="1" spans="1:4">
      <c r="A418" s="6"/>
      <c r="B418" s="6"/>
      <c r="C418" s="1" t="s">
        <v>819</v>
      </c>
      <c r="D418" s="5" t="s">
        <v>183</v>
      </c>
    </row>
    <row r="419" customHeight="1" spans="1:4">
      <c r="A419" s="6"/>
      <c r="B419" s="6"/>
      <c r="C419" s="1" t="s">
        <v>590</v>
      </c>
      <c r="D419" s="5" t="s">
        <v>183</v>
      </c>
    </row>
    <row r="420" customHeight="1" spans="1:4">
      <c r="A420" s="6"/>
      <c r="B420" s="6"/>
      <c r="C420" s="1" t="s">
        <v>354</v>
      </c>
      <c r="D420" s="5" t="s">
        <v>183</v>
      </c>
    </row>
    <row r="421" customHeight="1" spans="1:4">
      <c r="A421" s="6"/>
      <c r="B421" s="6"/>
      <c r="C421" s="1" t="s">
        <v>644</v>
      </c>
      <c r="D421" s="5" t="s">
        <v>183</v>
      </c>
    </row>
    <row r="422" customHeight="1" spans="1:4">
      <c r="A422" s="6"/>
      <c r="B422" s="6"/>
      <c r="C422" s="1" t="s">
        <v>1435</v>
      </c>
      <c r="D422" s="5" t="s">
        <v>1554</v>
      </c>
    </row>
    <row r="423" customHeight="1" spans="1:4">
      <c r="A423" s="6"/>
      <c r="B423" s="6"/>
      <c r="C423" s="1" t="s">
        <v>1045</v>
      </c>
      <c r="D423" s="5" t="s">
        <v>1554</v>
      </c>
    </row>
    <row r="424" customHeight="1" spans="1:4">
      <c r="A424" s="6"/>
      <c r="B424" s="6"/>
      <c r="C424" s="1" t="s">
        <v>1302</v>
      </c>
      <c r="D424" s="5" t="s">
        <v>15</v>
      </c>
    </row>
    <row r="425" customHeight="1" spans="1:4">
      <c r="A425" s="6"/>
      <c r="B425" s="6"/>
      <c r="C425" s="1" t="s">
        <v>654</v>
      </c>
      <c r="D425" s="5" t="s">
        <v>183</v>
      </c>
    </row>
    <row r="426" customHeight="1" spans="1:4">
      <c r="A426" s="6"/>
      <c r="B426" s="6"/>
      <c r="C426" s="1" t="s">
        <v>904</v>
      </c>
      <c r="D426" s="5" t="s">
        <v>1554</v>
      </c>
    </row>
    <row r="427" customHeight="1" spans="1:4">
      <c r="A427" s="6"/>
      <c r="B427" s="6"/>
      <c r="C427" s="1" t="s">
        <v>326</v>
      </c>
      <c r="D427" s="5" t="s">
        <v>1554</v>
      </c>
    </row>
    <row r="428" customHeight="1" spans="1:4">
      <c r="A428" s="6"/>
      <c r="B428" s="6"/>
      <c r="C428" s="1" t="s">
        <v>269</v>
      </c>
      <c r="D428" s="5" t="s">
        <v>15</v>
      </c>
    </row>
    <row r="429" customHeight="1" spans="1:4">
      <c r="A429" s="6"/>
      <c r="B429" s="6"/>
      <c r="C429" s="1" t="s">
        <v>239</v>
      </c>
      <c r="D429" s="5" t="s">
        <v>15</v>
      </c>
    </row>
    <row r="430" customHeight="1" spans="1:4">
      <c r="A430" s="6"/>
      <c r="B430" s="6"/>
      <c r="C430" s="1" t="s">
        <v>1298</v>
      </c>
      <c r="D430" s="5" t="s">
        <v>15</v>
      </c>
    </row>
    <row r="431" customHeight="1" spans="1:4">
      <c r="A431" s="6"/>
      <c r="B431" s="6"/>
      <c r="C431" s="1" t="s">
        <v>395</v>
      </c>
      <c r="D431" s="5" t="s">
        <v>1554</v>
      </c>
    </row>
    <row r="432" customHeight="1" spans="1:4">
      <c r="A432" s="6"/>
      <c r="B432" s="6"/>
      <c r="C432" s="1" t="s">
        <v>1330</v>
      </c>
      <c r="D432" s="5" t="s">
        <v>1554</v>
      </c>
    </row>
    <row r="433" customHeight="1" spans="1:4">
      <c r="A433" s="6"/>
      <c r="B433" s="6"/>
      <c r="C433" s="1" t="s">
        <v>1205</v>
      </c>
      <c r="D433" s="5" t="s">
        <v>1554</v>
      </c>
    </row>
    <row r="434" customHeight="1" spans="1:4">
      <c r="A434" s="6"/>
      <c r="B434" s="6"/>
      <c r="C434" s="1" t="s">
        <v>458</v>
      </c>
      <c r="D434" s="5" t="s">
        <v>15</v>
      </c>
    </row>
    <row r="435" customHeight="1" spans="1:4">
      <c r="A435" s="6"/>
      <c r="B435" s="6"/>
      <c r="C435" s="1" t="s">
        <v>339</v>
      </c>
      <c r="D435" s="5" t="s">
        <v>183</v>
      </c>
    </row>
    <row r="436" customHeight="1" spans="1:4">
      <c r="A436" s="6"/>
      <c r="B436" s="6"/>
      <c r="C436" s="1" t="s">
        <v>1415</v>
      </c>
      <c r="D436" s="5" t="s">
        <v>1554</v>
      </c>
    </row>
    <row r="437" customHeight="1" spans="1:4">
      <c r="A437" s="6"/>
      <c r="B437" s="6"/>
      <c r="C437" s="1" t="s">
        <v>1430</v>
      </c>
      <c r="D437" s="5" t="s">
        <v>1554</v>
      </c>
    </row>
    <row r="438" customHeight="1" spans="1:4">
      <c r="A438" s="6"/>
      <c r="B438" s="6"/>
      <c r="C438" s="1" t="s">
        <v>1102</v>
      </c>
      <c r="D438" s="5" t="s">
        <v>15</v>
      </c>
    </row>
    <row r="439" customHeight="1" spans="1:4">
      <c r="A439" s="6"/>
      <c r="B439" s="6"/>
      <c r="C439" s="1" t="s">
        <v>1410</v>
      </c>
      <c r="D439" s="5" t="s">
        <v>1554</v>
      </c>
    </row>
    <row r="440" customHeight="1" spans="1:4">
      <c r="A440" s="6"/>
      <c r="B440" s="6"/>
      <c r="C440" s="1" t="s">
        <v>729</v>
      </c>
      <c r="D440" s="5" t="s">
        <v>15</v>
      </c>
    </row>
    <row r="441" customHeight="1" spans="1:4">
      <c r="A441" s="6"/>
      <c r="B441" s="6"/>
      <c r="C441" s="1" t="s">
        <v>1193</v>
      </c>
      <c r="D441" s="5" t="s">
        <v>1554</v>
      </c>
    </row>
    <row r="442" customHeight="1" spans="1:4">
      <c r="A442" s="6"/>
      <c r="B442" s="6"/>
      <c r="C442" s="1" t="s">
        <v>1215</v>
      </c>
      <c r="D442" s="5" t="s">
        <v>1554</v>
      </c>
    </row>
    <row r="443" customHeight="1" spans="1:4">
      <c r="A443" s="6"/>
      <c r="B443" s="6"/>
      <c r="C443" s="1" t="s">
        <v>1387</v>
      </c>
      <c r="D443" s="5" t="s">
        <v>1554</v>
      </c>
    </row>
    <row r="444" customHeight="1" spans="1:4">
      <c r="A444" s="6"/>
      <c r="B444" s="6"/>
      <c r="C444" s="1" t="s">
        <v>1334</v>
      </c>
      <c r="D444" s="5" t="s">
        <v>1554</v>
      </c>
    </row>
    <row r="445" customHeight="1" spans="1:4">
      <c r="A445" s="6"/>
      <c r="B445" s="6"/>
      <c r="C445" s="1" t="s">
        <v>460</v>
      </c>
      <c r="D445" s="5" t="s">
        <v>183</v>
      </c>
    </row>
    <row r="446" customHeight="1" spans="1:4">
      <c r="A446" s="6"/>
      <c r="B446" s="6"/>
      <c r="C446" s="1" t="s">
        <v>1416</v>
      </c>
      <c r="D446" s="5" t="s">
        <v>15</v>
      </c>
    </row>
    <row r="447" customHeight="1" spans="1:4">
      <c r="A447" s="6"/>
      <c r="B447" s="6"/>
      <c r="C447" s="1" t="s">
        <v>1176</v>
      </c>
      <c r="D447" s="5" t="s">
        <v>1554</v>
      </c>
    </row>
    <row r="448" customHeight="1" spans="1:4">
      <c r="A448" s="6"/>
      <c r="B448" s="6"/>
      <c r="C448" s="1" t="s">
        <v>691</v>
      </c>
      <c r="D448" s="5" t="s">
        <v>183</v>
      </c>
    </row>
    <row r="449" customHeight="1" spans="1:4">
      <c r="A449" s="6"/>
      <c r="B449" s="6"/>
      <c r="C449" s="1" t="s">
        <v>297</v>
      </c>
      <c r="D449" s="5" t="s">
        <v>1554</v>
      </c>
    </row>
    <row r="450" customHeight="1" spans="1:4">
      <c r="A450" s="6"/>
      <c r="B450" s="6"/>
      <c r="C450" s="1" t="s">
        <v>979</v>
      </c>
      <c r="D450" s="5" t="s">
        <v>15</v>
      </c>
    </row>
    <row r="451" customHeight="1" spans="1:4">
      <c r="A451" s="6"/>
      <c r="B451" s="6"/>
      <c r="C451" s="1" t="s">
        <v>316</v>
      </c>
      <c r="D451" s="5" t="s">
        <v>1554</v>
      </c>
    </row>
    <row r="452" customHeight="1" spans="1:4">
      <c r="A452" s="6"/>
      <c r="B452" s="6"/>
      <c r="C452" s="1" t="s">
        <v>1432</v>
      </c>
      <c r="D452" s="5" t="s">
        <v>15</v>
      </c>
    </row>
    <row r="453" customHeight="1" spans="1:4">
      <c r="A453" s="6"/>
      <c r="B453" s="6"/>
      <c r="C453" s="1" t="s">
        <v>901</v>
      </c>
      <c r="D453" s="5" t="s">
        <v>183</v>
      </c>
    </row>
    <row r="454" customHeight="1" spans="1:4">
      <c r="A454" s="6"/>
      <c r="B454" s="6"/>
      <c r="C454" s="1" t="s">
        <v>843</v>
      </c>
      <c r="D454" s="5" t="s">
        <v>15</v>
      </c>
    </row>
    <row r="455" customHeight="1" spans="1:4">
      <c r="A455" s="6"/>
      <c r="B455" s="6"/>
      <c r="C455" s="1" t="s">
        <v>1542</v>
      </c>
      <c r="D455" s="5" t="s">
        <v>1554</v>
      </c>
    </row>
    <row r="456" customHeight="1" spans="1:4">
      <c r="A456" s="6"/>
      <c r="B456" s="6"/>
      <c r="C456" s="1" t="s">
        <v>342</v>
      </c>
      <c r="D456" s="5" t="s">
        <v>1554</v>
      </c>
    </row>
    <row r="457" customHeight="1" spans="1:4">
      <c r="A457" s="6"/>
      <c r="B457" s="6"/>
      <c r="C457" s="1" t="s">
        <v>495</v>
      </c>
      <c r="D457" s="5" t="s">
        <v>1554</v>
      </c>
    </row>
    <row r="458" customHeight="1" spans="1:4">
      <c r="A458" s="6"/>
      <c r="B458" s="6"/>
      <c r="C458" s="1" t="s">
        <v>1318</v>
      </c>
      <c r="D458" s="5" t="s">
        <v>1554</v>
      </c>
    </row>
    <row r="459" customHeight="1" spans="1:4">
      <c r="A459" s="6"/>
      <c r="B459" s="6"/>
      <c r="C459" s="1" t="s">
        <v>922</v>
      </c>
      <c r="D459" s="5" t="s">
        <v>15</v>
      </c>
    </row>
    <row r="460" customHeight="1" spans="1:4">
      <c r="A460" s="6"/>
      <c r="B460" s="6"/>
      <c r="C460" s="1" t="s">
        <v>1079</v>
      </c>
      <c r="D460" s="5" t="s">
        <v>1554</v>
      </c>
    </row>
    <row r="461" customHeight="1" spans="1:4">
      <c r="A461" s="6"/>
      <c r="B461" s="6"/>
      <c r="C461" s="1" t="s">
        <v>881</v>
      </c>
      <c r="D461" s="5" t="s">
        <v>1554</v>
      </c>
    </row>
    <row r="462" customHeight="1" spans="1:4">
      <c r="A462" s="6"/>
      <c r="B462" s="6"/>
      <c r="C462" s="1" t="s">
        <v>631</v>
      </c>
      <c r="D462" s="5" t="s">
        <v>15</v>
      </c>
    </row>
    <row r="463" customHeight="1" spans="1:4">
      <c r="A463" s="6"/>
      <c r="B463" s="6"/>
      <c r="C463" s="1" t="s">
        <v>1041</v>
      </c>
      <c r="D463" s="5" t="s">
        <v>1554</v>
      </c>
    </row>
    <row r="464" customHeight="1" spans="1:4">
      <c r="A464" s="6"/>
      <c r="B464" s="6"/>
      <c r="C464" s="1" t="s">
        <v>209</v>
      </c>
      <c r="D464" s="5" t="s">
        <v>15</v>
      </c>
    </row>
    <row r="465" customHeight="1" spans="1:4">
      <c r="A465" s="6"/>
      <c r="B465" s="6"/>
      <c r="C465" s="1" t="s">
        <v>853</v>
      </c>
      <c r="D465" s="5" t="s">
        <v>183</v>
      </c>
    </row>
    <row r="466" customHeight="1" spans="1:4">
      <c r="A466" s="6"/>
      <c r="B466" s="6"/>
      <c r="C466" s="1" t="s">
        <v>976</v>
      </c>
      <c r="D466" s="5" t="s">
        <v>183</v>
      </c>
    </row>
    <row r="467" customHeight="1" spans="1:4">
      <c r="A467" s="6"/>
      <c r="B467" s="6"/>
      <c r="C467" s="1" t="s">
        <v>864</v>
      </c>
      <c r="D467" s="5" t="s">
        <v>183</v>
      </c>
    </row>
    <row r="468" customHeight="1" spans="1:4">
      <c r="A468" s="6"/>
      <c r="B468" s="6"/>
      <c r="C468" s="1" t="s">
        <v>846</v>
      </c>
      <c r="D468" s="5" t="s">
        <v>183</v>
      </c>
    </row>
    <row r="469" customHeight="1" spans="1:4">
      <c r="A469" s="6"/>
      <c r="B469" s="6"/>
      <c r="C469" s="1" t="s">
        <v>899</v>
      </c>
      <c r="D469" s="5" t="s">
        <v>183</v>
      </c>
    </row>
    <row r="470" customHeight="1" spans="1:4">
      <c r="A470" s="6"/>
      <c r="B470" s="6"/>
      <c r="C470" s="1" t="s">
        <v>1127</v>
      </c>
      <c r="D470" s="5" t="s">
        <v>183</v>
      </c>
    </row>
    <row r="471" customHeight="1" spans="1:4">
      <c r="A471" s="6"/>
      <c r="B471" s="6"/>
      <c r="C471" s="1" t="s">
        <v>1100</v>
      </c>
      <c r="D471" s="5" t="s">
        <v>183</v>
      </c>
    </row>
    <row r="472" customHeight="1" spans="1:4">
      <c r="A472" s="6"/>
      <c r="B472" s="6"/>
      <c r="C472" s="1" t="s">
        <v>311</v>
      </c>
      <c r="D472" s="5" t="s">
        <v>1554</v>
      </c>
    </row>
    <row r="473" customHeight="1" spans="1:4">
      <c r="A473" s="6"/>
      <c r="B473" s="6"/>
      <c r="C473" s="1" t="s">
        <v>699</v>
      </c>
      <c r="D473" s="5" t="s">
        <v>1554</v>
      </c>
    </row>
    <row r="474" customHeight="1" spans="1:4">
      <c r="A474" s="6"/>
      <c r="B474" s="6"/>
      <c r="C474" s="1" t="s">
        <v>1547</v>
      </c>
      <c r="D474" s="5" t="s">
        <v>1554</v>
      </c>
    </row>
    <row r="475" customHeight="1" spans="1:4">
      <c r="A475" s="6"/>
      <c r="B475" s="1" t="s">
        <v>183</v>
      </c>
      <c r="C475" s="1" t="s">
        <v>555</v>
      </c>
      <c r="D475" s="5" t="s">
        <v>1554</v>
      </c>
    </row>
    <row r="476" customHeight="1" spans="1:4">
      <c r="A476" s="6"/>
      <c r="B476" s="1" t="s">
        <v>190</v>
      </c>
      <c r="C476" s="1" t="s">
        <v>189</v>
      </c>
      <c r="D476" s="5" t="s">
        <v>15</v>
      </c>
    </row>
    <row r="477" customHeight="1" spans="1:4">
      <c r="A477" s="6"/>
      <c r="B477" s="6"/>
      <c r="C477" s="1" t="s">
        <v>618</v>
      </c>
      <c r="D477" s="5" t="s">
        <v>15</v>
      </c>
    </row>
    <row r="478" customHeight="1" spans="1:4">
      <c r="A478" s="6"/>
      <c r="B478" s="6"/>
      <c r="C478" s="1" t="s">
        <v>961</v>
      </c>
      <c r="D478" s="5" t="s">
        <v>15</v>
      </c>
    </row>
    <row r="479" customHeight="1" spans="1:4">
      <c r="A479" s="6"/>
      <c r="B479" s="6"/>
      <c r="C479" s="1" t="s">
        <v>1177</v>
      </c>
      <c r="D479" s="5" t="s">
        <v>15</v>
      </c>
    </row>
    <row r="480" customHeight="1" spans="1:4">
      <c r="A480" s="6"/>
      <c r="B480" s="6"/>
      <c r="C480" s="1" t="s">
        <v>434</v>
      </c>
      <c r="D480" s="5" t="s">
        <v>15</v>
      </c>
    </row>
    <row r="481" customHeight="1" spans="1:4">
      <c r="A481" s="6"/>
      <c r="B481" s="6"/>
      <c r="C481" s="1" t="s">
        <v>926</v>
      </c>
      <c r="D481" s="5" t="s">
        <v>15</v>
      </c>
    </row>
    <row r="482" customHeight="1" spans="1:4">
      <c r="A482" s="6"/>
      <c r="B482" s="6"/>
      <c r="C482" s="1" t="s">
        <v>571</v>
      </c>
      <c r="D482" s="5" t="s">
        <v>15</v>
      </c>
    </row>
    <row r="483" customHeight="1" spans="1:4">
      <c r="A483" s="6"/>
      <c r="B483" s="6"/>
      <c r="C483" s="1" t="s">
        <v>1254</v>
      </c>
      <c r="D483" s="5" t="s">
        <v>15</v>
      </c>
    </row>
    <row r="484" customHeight="1" spans="1:4">
      <c r="A484" s="6"/>
      <c r="B484" s="6"/>
      <c r="C484" s="1" t="s">
        <v>1390</v>
      </c>
      <c r="D484" s="5" t="s">
        <v>15</v>
      </c>
    </row>
    <row r="485" customHeight="1" spans="1:4">
      <c r="A485" s="6"/>
      <c r="B485" s="6"/>
      <c r="C485" s="1" t="s">
        <v>977</v>
      </c>
      <c r="D485" s="5" t="s">
        <v>1554</v>
      </c>
    </row>
    <row r="486" customHeight="1" spans="1:4">
      <c r="A486" s="6"/>
      <c r="B486" s="6"/>
      <c r="C486" s="1" t="s">
        <v>931</v>
      </c>
      <c r="D486" s="5" t="s">
        <v>15</v>
      </c>
    </row>
    <row r="487" customHeight="1" spans="1:4">
      <c r="A487" s="6"/>
      <c r="B487" s="6"/>
      <c r="C487" s="1" t="s">
        <v>1341</v>
      </c>
      <c r="D487" s="5" t="s">
        <v>15</v>
      </c>
    </row>
    <row r="488" customHeight="1" spans="1:4">
      <c r="A488" s="6"/>
      <c r="B488" s="6"/>
      <c r="C488" s="1" t="s">
        <v>980</v>
      </c>
      <c r="D488" s="5" t="s">
        <v>15</v>
      </c>
    </row>
    <row r="489" customHeight="1" spans="1:4">
      <c r="A489" s="6"/>
      <c r="B489" s="6"/>
      <c r="C489" s="1" t="s">
        <v>974</v>
      </c>
      <c r="D489" s="5" t="s">
        <v>15</v>
      </c>
    </row>
    <row r="490" customHeight="1" spans="1:4">
      <c r="A490" s="6"/>
      <c r="B490" s="6"/>
      <c r="C490" s="1" t="s">
        <v>525</v>
      </c>
      <c r="D490" s="5" t="s">
        <v>15</v>
      </c>
    </row>
    <row r="491" customHeight="1" spans="1:4">
      <c r="A491" s="6"/>
      <c r="B491" s="6"/>
      <c r="C491" s="1" t="s">
        <v>844</v>
      </c>
      <c r="D491" s="5" t="s">
        <v>15</v>
      </c>
    </row>
    <row r="492" customHeight="1" spans="1:4">
      <c r="A492" s="6"/>
      <c r="B492" s="6"/>
      <c r="C492" s="1" t="s">
        <v>610</v>
      </c>
      <c r="D492" s="5" t="s">
        <v>15</v>
      </c>
    </row>
    <row r="493" customHeight="1" spans="1:4">
      <c r="A493" s="6"/>
      <c r="B493" s="6"/>
      <c r="C493" s="1" t="s">
        <v>1109</v>
      </c>
      <c r="D493" s="5" t="s">
        <v>15</v>
      </c>
    </row>
    <row r="494" customHeight="1" spans="1:4">
      <c r="A494" s="6"/>
      <c r="B494" s="6"/>
      <c r="C494" s="1" t="s">
        <v>1016</v>
      </c>
      <c r="D494" s="5" t="s">
        <v>15</v>
      </c>
    </row>
    <row r="495" customHeight="1" spans="1:4">
      <c r="A495" s="6"/>
      <c r="B495" s="6"/>
      <c r="C495" s="1" t="s">
        <v>818</v>
      </c>
      <c r="D495" s="5" t="s">
        <v>15</v>
      </c>
    </row>
    <row r="496" customHeight="1" spans="1:4">
      <c r="A496" s="6"/>
      <c r="B496" s="6"/>
      <c r="C496" s="1" t="s">
        <v>616</v>
      </c>
      <c r="D496" s="5" t="s">
        <v>15</v>
      </c>
    </row>
    <row r="497" customHeight="1" spans="1:4">
      <c r="A497" s="6"/>
      <c r="B497" s="6"/>
      <c r="C497" s="1" t="s">
        <v>1174</v>
      </c>
      <c r="D497" s="5" t="s">
        <v>1554</v>
      </c>
    </row>
    <row r="498" customHeight="1" spans="1:4">
      <c r="A498" s="6"/>
      <c r="B498" s="6"/>
      <c r="C498" s="1" t="s">
        <v>1134</v>
      </c>
      <c r="D498" s="5" t="s">
        <v>15</v>
      </c>
    </row>
    <row r="499" customHeight="1" spans="1:4">
      <c r="A499" s="6"/>
      <c r="B499" s="6"/>
      <c r="C499" s="1" t="s">
        <v>753</v>
      </c>
      <c r="D499" s="5" t="s">
        <v>15</v>
      </c>
    </row>
    <row r="500" customHeight="1" spans="1:4">
      <c r="A500" s="6"/>
      <c r="B500" s="6"/>
      <c r="C500" s="1" t="s">
        <v>368</v>
      </c>
      <c r="D500" s="5" t="s">
        <v>1554</v>
      </c>
    </row>
    <row r="501" customHeight="1" spans="1:4">
      <c r="A501" s="6"/>
      <c r="B501" s="1" t="s">
        <v>1554</v>
      </c>
      <c r="C501" s="1" t="s">
        <v>1306</v>
      </c>
      <c r="D501" s="5" t="s">
        <v>1554</v>
      </c>
    </row>
    <row r="502" customHeight="1" spans="1:4">
      <c r="A502" s="6"/>
      <c r="B502" s="6"/>
      <c r="C502" s="1" t="s">
        <v>894</v>
      </c>
      <c r="D502" s="5" t="s">
        <v>1554</v>
      </c>
    </row>
    <row r="503" customHeight="1" spans="1:4">
      <c r="A503" s="6"/>
      <c r="B503" s="6"/>
      <c r="C503" s="1" t="s">
        <v>1020</v>
      </c>
      <c r="D503" s="5" t="s">
        <v>1554</v>
      </c>
    </row>
    <row r="504" customHeight="1" spans="1:4">
      <c r="A504" s="6"/>
      <c r="B504" s="6"/>
      <c r="C504" s="1" t="s">
        <v>1360</v>
      </c>
      <c r="D504" s="5" t="s">
        <v>15</v>
      </c>
    </row>
    <row r="505" customHeight="1" spans="1:4">
      <c r="A505" s="6"/>
      <c r="B505" s="6"/>
      <c r="C505" s="1" t="s">
        <v>1086</v>
      </c>
      <c r="D505" s="5" t="s">
        <v>1554</v>
      </c>
    </row>
    <row r="506" customHeight="1" spans="1:4">
      <c r="A506" s="6"/>
      <c r="B506" s="6"/>
      <c r="C506" s="1" t="s">
        <v>748</v>
      </c>
      <c r="D506" s="5" t="s">
        <v>1554</v>
      </c>
    </row>
    <row r="507" customHeight="1" spans="1:4">
      <c r="A507" s="6"/>
      <c r="B507" s="6"/>
      <c r="C507" s="1" t="s">
        <v>770</v>
      </c>
      <c r="D507" s="5" t="s">
        <v>1554</v>
      </c>
    </row>
    <row r="508" customHeight="1" spans="1:4">
      <c r="A508" s="6"/>
      <c r="B508" s="6"/>
      <c r="C508" s="1" t="s">
        <v>1152</v>
      </c>
      <c r="D508" s="5" t="s">
        <v>1554</v>
      </c>
    </row>
    <row r="509" customHeight="1" spans="1:4">
      <c r="A509" s="6"/>
      <c r="B509" s="6"/>
      <c r="C509" s="1" t="s">
        <v>677</v>
      </c>
      <c r="D509" s="5" t="s">
        <v>1554</v>
      </c>
    </row>
    <row r="510" customHeight="1" spans="1:4">
      <c r="A510" s="6"/>
      <c r="B510" s="6"/>
      <c r="C510" s="1" t="s">
        <v>675</v>
      </c>
      <c r="D510" s="5" t="s">
        <v>1554</v>
      </c>
    </row>
    <row r="511" customHeight="1" spans="1:4">
      <c r="A511" s="6"/>
      <c r="B511" s="6"/>
      <c r="C511" s="1" t="s">
        <v>848</v>
      </c>
      <c r="D511" s="5" t="s">
        <v>1554</v>
      </c>
    </row>
    <row r="512" customHeight="1" spans="1:4">
      <c r="A512" s="6"/>
      <c r="B512" s="6"/>
      <c r="C512" s="1" t="s">
        <v>1246</v>
      </c>
      <c r="D512" s="5" t="s">
        <v>1554</v>
      </c>
    </row>
    <row r="513" customHeight="1" spans="1:4">
      <c r="A513" s="6"/>
      <c r="B513" s="6"/>
      <c r="C513" s="1" t="s">
        <v>1427</v>
      </c>
      <c r="D513" s="5" t="s">
        <v>1554</v>
      </c>
    </row>
    <row r="514" customHeight="1" spans="1:4">
      <c r="A514" s="6"/>
      <c r="B514" s="6"/>
      <c r="C514" s="1" t="s">
        <v>1072</v>
      </c>
      <c r="D514" s="5" t="s">
        <v>1554</v>
      </c>
    </row>
    <row r="515" customHeight="1" spans="1:4">
      <c r="A515" s="6"/>
      <c r="B515" s="6"/>
      <c r="C515" s="1" t="s">
        <v>1303</v>
      </c>
      <c r="D515" s="5" t="s">
        <v>15</v>
      </c>
    </row>
    <row r="516" customHeight="1" spans="1:4">
      <c r="A516" s="6"/>
      <c r="B516" s="6"/>
      <c r="C516" s="1" t="s">
        <v>1436</v>
      </c>
      <c r="D516" s="5" t="s">
        <v>1554</v>
      </c>
    </row>
    <row r="517" customHeight="1" spans="1:4">
      <c r="A517" s="6"/>
      <c r="B517" s="6"/>
      <c r="C517" s="1" t="s">
        <v>1084</v>
      </c>
      <c r="D517" s="5" t="s">
        <v>1554</v>
      </c>
    </row>
    <row r="518" customHeight="1" spans="1:4">
      <c r="A518" s="6"/>
      <c r="B518" s="6"/>
      <c r="C518" s="1" t="s">
        <v>424</v>
      </c>
      <c r="D518" s="5" t="s">
        <v>1554</v>
      </c>
    </row>
    <row r="519" customHeight="1" spans="1:4">
      <c r="A519" s="6"/>
      <c r="B519" s="6"/>
      <c r="C519" s="1" t="s">
        <v>304</v>
      </c>
      <c r="D519" s="5" t="s">
        <v>1554</v>
      </c>
    </row>
    <row r="520" customHeight="1" spans="1:4">
      <c r="A520" s="6"/>
      <c r="B520" s="6"/>
      <c r="C520" s="1" t="s">
        <v>517</v>
      </c>
      <c r="D520" s="5" t="s">
        <v>1554</v>
      </c>
    </row>
    <row r="521" customHeight="1" spans="1:4">
      <c r="A521" s="6"/>
      <c r="B521" s="6"/>
      <c r="C521" s="1" t="s">
        <v>1124</v>
      </c>
      <c r="D521" s="5" t="s">
        <v>1554</v>
      </c>
    </row>
    <row r="522" customHeight="1" spans="1:4">
      <c r="A522" s="6"/>
      <c r="B522" s="6"/>
      <c r="C522" s="1" t="s">
        <v>1189</v>
      </c>
      <c r="D522" s="5" t="s">
        <v>1554</v>
      </c>
    </row>
    <row r="523" customHeight="1" spans="1:4">
      <c r="A523" s="6"/>
      <c r="B523" s="6"/>
      <c r="C523" s="1" t="s">
        <v>308</v>
      </c>
      <c r="D523" s="5" t="s">
        <v>1554</v>
      </c>
    </row>
    <row r="524" customHeight="1" spans="1:4">
      <c r="A524" s="6"/>
      <c r="B524" s="6"/>
      <c r="C524" s="1" t="s">
        <v>1080</v>
      </c>
      <c r="D524" s="5" t="s">
        <v>1554</v>
      </c>
    </row>
    <row r="525" customHeight="1" spans="1:4">
      <c r="A525" s="6"/>
      <c r="B525" s="6"/>
      <c r="C525" s="1" t="s">
        <v>614</v>
      </c>
      <c r="D525" s="5" t="s">
        <v>1554</v>
      </c>
    </row>
    <row r="526" customHeight="1" spans="1:4">
      <c r="A526" s="6"/>
      <c r="B526" s="6"/>
      <c r="C526" s="1" t="s">
        <v>351</v>
      </c>
      <c r="D526" s="5" t="s">
        <v>1554</v>
      </c>
    </row>
    <row r="527" customHeight="1" spans="1:4">
      <c r="A527" s="6"/>
      <c r="B527" s="6"/>
      <c r="C527" s="1" t="s">
        <v>130</v>
      </c>
      <c r="D527" s="5" t="s">
        <v>1554</v>
      </c>
    </row>
    <row r="528" customHeight="1" spans="1:4">
      <c r="A528" s="6"/>
      <c r="B528" s="6"/>
      <c r="C528" s="1" t="s">
        <v>344</v>
      </c>
      <c r="D528" s="5" t="s">
        <v>1554</v>
      </c>
    </row>
    <row r="529" customHeight="1" spans="1:4">
      <c r="A529" s="6"/>
      <c r="B529" s="6"/>
      <c r="C529" s="1" t="s">
        <v>1442</v>
      </c>
      <c r="D529" s="5" t="s">
        <v>1554</v>
      </c>
    </row>
    <row r="530" customHeight="1" spans="1:4">
      <c r="A530" s="6"/>
      <c r="B530" s="6"/>
      <c r="C530" s="1" t="s">
        <v>1046</v>
      </c>
      <c r="D530" s="5" t="s">
        <v>1554</v>
      </c>
    </row>
    <row r="531" customHeight="1" spans="1:4">
      <c r="A531" s="6"/>
      <c r="B531" s="6"/>
      <c r="C531" s="1" t="s">
        <v>318</v>
      </c>
      <c r="D531" s="5" t="s">
        <v>1554</v>
      </c>
    </row>
    <row r="532" customHeight="1" spans="1:4">
      <c r="A532" s="6"/>
      <c r="B532" s="6"/>
      <c r="C532" s="1" t="s">
        <v>393</v>
      </c>
      <c r="D532" s="5" t="s">
        <v>1554</v>
      </c>
    </row>
    <row r="533" customHeight="1" spans="1:4">
      <c r="A533" s="6"/>
      <c r="B533" s="6"/>
      <c r="C533" s="1" t="s">
        <v>299</v>
      </c>
      <c r="D533" s="5" t="s">
        <v>1554</v>
      </c>
    </row>
    <row r="534" customHeight="1" spans="1:4">
      <c r="A534" s="6"/>
      <c r="B534" s="6"/>
      <c r="C534" s="1" t="s">
        <v>1444</v>
      </c>
      <c r="D534" s="5" t="s">
        <v>1554</v>
      </c>
    </row>
    <row r="535" customHeight="1" spans="1:4">
      <c r="A535" s="6"/>
      <c r="B535" s="6"/>
      <c r="C535" s="1" t="s">
        <v>1285</v>
      </c>
      <c r="D535" s="5" t="s">
        <v>1554</v>
      </c>
    </row>
    <row r="536" customHeight="1" spans="1:4">
      <c r="A536" s="6"/>
      <c r="B536" s="6"/>
      <c r="C536" s="1" t="s">
        <v>828</v>
      </c>
      <c r="D536" s="5" t="s">
        <v>1554</v>
      </c>
    </row>
    <row r="537" customHeight="1" spans="1:4">
      <c r="A537" s="6"/>
      <c r="B537" s="6"/>
      <c r="C537" s="1" t="s">
        <v>502</v>
      </c>
      <c r="D537" s="5" t="s">
        <v>1554</v>
      </c>
    </row>
    <row r="538" customHeight="1" spans="1:4">
      <c r="A538" s="6"/>
      <c r="B538" s="6"/>
      <c r="C538" s="1" t="s">
        <v>1230</v>
      </c>
      <c r="D538" s="5" t="s">
        <v>1554</v>
      </c>
    </row>
    <row r="539" customHeight="1" spans="1:4">
      <c r="A539" s="6"/>
      <c r="B539" s="6"/>
      <c r="C539" s="1" t="s">
        <v>866</v>
      </c>
      <c r="D539" s="5" t="s">
        <v>1554</v>
      </c>
    </row>
    <row r="540" customHeight="1" spans="1:4">
      <c r="A540" s="6"/>
      <c r="B540" s="6"/>
      <c r="C540" s="1" t="s">
        <v>704</v>
      </c>
      <c r="D540" s="5" t="s">
        <v>1554</v>
      </c>
    </row>
    <row r="541" customHeight="1" spans="1:4">
      <c r="A541" s="6"/>
      <c r="B541" s="6"/>
      <c r="C541" s="1" t="s">
        <v>426</v>
      </c>
      <c r="D541" s="5" t="s">
        <v>1554</v>
      </c>
    </row>
    <row r="542" customHeight="1" spans="1:4">
      <c r="A542" s="6"/>
      <c r="B542" s="6"/>
      <c r="C542" s="1" t="s">
        <v>441</v>
      </c>
      <c r="D542" s="5" t="s">
        <v>1554</v>
      </c>
    </row>
    <row r="543" customHeight="1" spans="1:4">
      <c r="A543" s="6"/>
      <c r="B543" s="6"/>
      <c r="C543" s="1" t="s">
        <v>1377</v>
      </c>
      <c r="D543" s="5" t="s">
        <v>1554</v>
      </c>
    </row>
    <row r="544" customHeight="1" spans="1:4">
      <c r="A544" s="6"/>
      <c r="B544" s="6"/>
      <c r="C544" s="1" t="s">
        <v>635</v>
      </c>
      <c r="D544" s="5" t="s">
        <v>1554</v>
      </c>
    </row>
    <row r="545" customHeight="1" spans="1:4">
      <c r="A545" s="6"/>
      <c r="B545" s="6"/>
      <c r="C545" s="1" t="s">
        <v>661</v>
      </c>
      <c r="D545" s="5" t="s">
        <v>1554</v>
      </c>
    </row>
    <row r="546" customHeight="1" spans="1:4">
      <c r="A546" s="6"/>
      <c r="B546" s="6"/>
      <c r="C546" s="1" t="s">
        <v>329</v>
      </c>
      <c r="D546" s="5" t="s">
        <v>1554</v>
      </c>
    </row>
    <row r="547" customHeight="1" spans="1:4">
      <c r="A547" s="6"/>
      <c r="B547" s="6"/>
      <c r="C547" s="1" t="s">
        <v>708</v>
      </c>
      <c r="D547" s="5" t="s">
        <v>1554</v>
      </c>
    </row>
    <row r="548" customHeight="1" spans="1:4">
      <c r="A548" s="6"/>
      <c r="B548" s="6"/>
      <c r="C548" s="1" t="s">
        <v>1154</v>
      </c>
      <c r="D548" s="5" t="s">
        <v>1554</v>
      </c>
    </row>
    <row r="549" customHeight="1" spans="1:4">
      <c r="A549" s="6"/>
      <c r="B549" s="6"/>
      <c r="C549" s="1" t="s">
        <v>537</v>
      </c>
      <c r="D549" s="5" t="s">
        <v>1554</v>
      </c>
    </row>
    <row r="550" customHeight="1" spans="1:4">
      <c r="A550" s="6"/>
      <c r="B550" s="6"/>
      <c r="C550" s="1" t="s">
        <v>1314</v>
      </c>
      <c r="D550" s="5" t="s">
        <v>1554</v>
      </c>
    </row>
    <row r="551" customHeight="1" spans="1:4">
      <c r="A551" s="6"/>
      <c r="B551" s="6"/>
      <c r="C551" s="1" t="s">
        <v>162</v>
      </c>
      <c r="D551" s="5" t="s">
        <v>1554</v>
      </c>
    </row>
    <row r="552" customHeight="1" spans="1:4">
      <c r="A552" s="6"/>
      <c r="B552" s="6"/>
      <c r="C552" s="1" t="s">
        <v>633</v>
      </c>
      <c r="D552" s="5" t="s">
        <v>1554</v>
      </c>
    </row>
    <row r="553" customHeight="1" spans="1:4">
      <c r="A553" s="6"/>
      <c r="B553" s="6"/>
      <c r="C553" s="1" t="s">
        <v>350</v>
      </c>
      <c r="D553" s="5" t="s">
        <v>1554</v>
      </c>
    </row>
    <row r="554" customHeight="1" spans="1:4">
      <c r="A554" s="6"/>
      <c r="B554" s="6"/>
      <c r="C554" s="1" t="s">
        <v>103</v>
      </c>
      <c r="D554" s="5" t="s">
        <v>1554</v>
      </c>
    </row>
    <row r="555" customHeight="1" spans="1:4">
      <c r="A555" s="6"/>
      <c r="B555" s="6"/>
      <c r="C555" s="1" t="s">
        <v>1031</v>
      </c>
      <c r="D555" s="5" t="s">
        <v>1554</v>
      </c>
    </row>
    <row r="556" customHeight="1" spans="1:4">
      <c r="A556" s="6"/>
      <c r="B556" s="6"/>
      <c r="C556" s="1" t="s">
        <v>1256</v>
      </c>
      <c r="D556" s="5" t="s">
        <v>1554</v>
      </c>
    </row>
    <row r="557" customHeight="1" spans="1:4">
      <c r="A557" s="6"/>
      <c r="B557" s="6"/>
      <c r="C557" s="1" t="s">
        <v>1235</v>
      </c>
      <c r="D557" s="5" t="s">
        <v>1554</v>
      </c>
    </row>
    <row r="558" customHeight="1" spans="1:4">
      <c r="A558" s="6"/>
      <c r="B558" s="6"/>
      <c r="C558" s="1" t="s">
        <v>1447</v>
      </c>
      <c r="D558" s="5" t="s">
        <v>1554</v>
      </c>
    </row>
    <row r="559" customHeight="1" spans="1:4">
      <c r="A559" s="6"/>
      <c r="B559" s="6"/>
      <c r="C559" s="1" t="s">
        <v>199</v>
      </c>
      <c r="D559" s="5" t="s">
        <v>1554</v>
      </c>
    </row>
    <row r="560" customHeight="1" spans="1:4">
      <c r="A560" s="6"/>
      <c r="B560" s="6"/>
      <c r="C560" s="1" t="s">
        <v>833</v>
      </c>
      <c r="D560" s="5" t="s">
        <v>1554</v>
      </c>
    </row>
    <row r="561" customHeight="1" spans="1:4">
      <c r="A561" s="6"/>
      <c r="B561" s="6"/>
      <c r="C561" s="1" t="s">
        <v>491</v>
      </c>
      <c r="D561" s="5" t="s">
        <v>1554</v>
      </c>
    </row>
    <row r="562" customHeight="1" spans="1:4">
      <c r="A562" s="6"/>
      <c r="B562" s="6"/>
      <c r="C562" s="1" t="s">
        <v>320</v>
      </c>
      <c r="D562" s="5" t="s">
        <v>1554</v>
      </c>
    </row>
    <row r="563" customHeight="1" spans="1:4">
      <c r="A563" s="6"/>
      <c r="B563" s="6"/>
      <c r="C563" s="1" t="s">
        <v>538</v>
      </c>
      <c r="D563" s="5" t="s">
        <v>1554</v>
      </c>
    </row>
    <row r="564" customHeight="1" spans="1:4">
      <c r="A564" s="6"/>
      <c r="B564" s="6"/>
      <c r="C564" s="1" t="s">
        <v>498</v>
      </c>
      <c r="D564" s="5" t="s">
        <v>1554</v>
      </c>
    </row>
    <row r="565" customHeight="1" spans="1:4">
      <c r="A565" s="6"/>
      <c r="B565" s="6"/>
      <c r="C565" s="1" t="s">
        <v>341</v>
      </c>
      <c r="D565" s="5" t="s">
        <v>1554</v>
      </c>
    </row>
    <row r="566" customHeight="1" spans="1:4">
      <c r="A566" s="6"/>
      <c r="B566" s="6"/>
      <c r="C566" s="1" t="s">
        <v>1191</v>
      </c>
      <c r="D566" s="5" t="s">
        <v>1554</v>
      </c>
    </row>
    <row r="567" customHeight="1" spans="1:4">
      <c r="A567" s="6"/>
      <c r="B567" s="6"/>
      <c r="C567" s="1" t="s">
        <v>171</v>
      </c>
      <c r="D567" s="5" t="s">
        <v>1554</v>
      </c>
    </row>
    <row r="568" customHeight="1" spans="1:4">
      <c r="A568" s="6"/>
      <c r="B568" s="6"/>
      <c r="C568" s="1" t="s">
        <v>845</v>
      </c>
      <c r="D568" s="5" t="s">
        <v>1554</v>
      </c>
    </row>
    <row r="569" customHeight="1" spans="1:4">
      <c r="A569" s="6"/>
      <c r="B569" s="6"/>
      <c r="C569" s="1" t="s">
        <v>1450</v>
      </c>
      <c r="D569" s="5" t="s">
        <v>1554</v>
      </c>
    </row>
    <row r="570" customHeight="1" spans="1:4">
      <c r="A570" s="6"/>
      <c r="B570" s="6"/>
      <c r="C570" s="1" t="s">
        <v>887</v>
      </c>
      <c r="D570" s="5" t="s">
        <v>1554</v>
      </c>
    </row>
    <row r="571" customHeight="1" spans="1:4">
      <c r="A571" s="6"/>
      <c r="B571" s="6"/>
      <c r="C571" s="1" t="s">
        <v>487</v>
      </c>
      <c r="D571" s="5" t="s">
        <v>1554</v>
      </c>
    </row>
    <row r="572" customHeight="1" spans="1:4">
      <c r="A572" s="6"/>
      <c r="B572" s="6"/>
      <c r="C572" s="1" t="s">
        <v>242</v>
      </c>
      <c r="D572" s="5" t="s">
        <v>1554</v>
      </c>
    </row>
    <row r="573" customHeight="1" spans="1:4">
      <c r="A573" s="6"/>
      <c r="B573" s="6"/>
      <c r="C573" s="1" t="s">
        <v>56</v>
      </c>
      <c r="D573" s="5" t="s">
        <v>1554</v>
      </c>
    </row>
    <row r="574" customHeight="1" spans="1:4">
      <c r="A574" s="6"/>
      <c r="B574" s="6"/>
      <c r="C574" s="1" t="s">
        <v>94</v>
      </c>
      <c r="D574" s="5" t="s">
        <v>1554</v>
      </c>
    </row>
    <row r="575" customHeight="1" spans="1:4">
      <c r="A575" s="6"/>
      <c r="B575" s="6"/>
      <c r="C575" s="1" t="s">
        <v>1266</v>
      </c>
      <c r="D575" s="5" t="s">
        <v>1554</v>
      </c>
    </row>
    <row r="576" customHeight="1" spans="1:4">
      <c r="A576" s="6"/>
      <c r="B576" s="6"/>
      <c r="C576" s="1" t="s">
        <v>489</v>
      </c>
      <c r="D576" s="5" t="s">
        <v>1554</v>
      </c>
    </row>
    <row r="577" customHeight="1" spans="1:4">
      <c r="A577" s="6"/>
      <c r="B577" s="6"/>
      <c r="C577" s="1" t="s">
        <v>674</v>
      </c>
      <c r="D577" s="5" t="s">
        <v>1554</v>
      </c>
    </row>
    <row r="578" customHeight="1" spans="1:4">
      <c r="A578" s="6"/>
      <c r="B578" s="6"/>
      <c r="C578" s="1" t="s">
        <v>253</v>
      </c>
      <c r="D578" s="5" t="s">
        <v>1554</v>
      </c>
    </row>
    <row r="579" customHeight="1" spans="1:4">
      <c r="A579" s="6"/>
      <c r="B579" s="6"/>
      <c r="C579" s="1" t="s">
        <v>580</v>
      </c>
      <c r="D579" s="5" t="s">
        <v>1554</v>
      </c>
    </row>
    <row r="580" customHeight="1" spans="1:4">
      <c r="A580" s="6"/>
      <c r="B580" s="6"/>
      <c r="C580" s="1" t="s">
        <v>277</v>
      </c>
      <c r="D580" s="5" t="s">
        <v>1554</v>
      </c>
    </row>
    <row r="581" customHeight="1" spans="1:4">
      <c r="A581" s="6"/>
      <c r="B581" s="6"/>
      <c r="C581" s="1" t="s">
        <v>108</v>
      </c>
      <c r="D581" s="5" t="s">
        <v>1554</v>
      </c>
    </row>
    <row r="582" customHeight="1" spans="1:4">
      <c r="A582" s="6"/>
      <c r="B582" s="6"/>
      <c r="C582" s="1" t="s">
        <v>115</v>
      </c>
      <c r="D582" s="5" t="s">
        <v>1554</v>
      </c>
    </row>
    <row r="583" customHeight="1" spans="1:4">
      <c r="A583" s="6"/>
      <c r="B583" s="6"/>
      <c r="C583" s="1" t="s">
        <v>994</v>
      </c>
      <c r="D583" s="5" t="s">
        <v>1554</v>
      </c>
    </row>
    <row r="584" customHeight="1" spans="1:4">
      <c r="A584" s="6"/>
      <c r="B584" s="6"/>
      <c r="C584" s="1" t="s">
        <v>313</v>
      </c>
      <c r="D584" s="5" t="s">
        <v>1554</v>
      </c>
    </row>
    <row r="585" customHeight="1" spans="1:4">
      <c r="A585" s="6"/>
      <c r="B585" s="6"/>
      <c r="C585" s="1" t="s">
        <v>346</v>
      </c>
      <c r="D585" s="5" t="s">
        <v>1554</v>
      </c>
    </row>
    <row r="586" customHeight="1" spans="1:4">
      <c r="A586" s="6"/>
      <c r="B586" s="6"/>
      <c r="C586" s="1" t="s">
        <v>985</v>
      </c>
      <c r="D586" s="5" t="s">
        <v>1554</v>
      </c>
    </row>
    <row r="587" customHeight="1" spans="1:4">
      <c r="A587" s="6"/>
      <c r="B587" s="6"/>
      <c r="C587" s="1" t="s">
        <v>760</v>
      </c>
      <c r="D587" s="5" t="s">
        <v>1554</v>
      </c>
    </row>
    <row r="588" customHeight="1" spans="1:4">
      <c r="A588" s="6"/>
      <c r="B588" s="6"/>
      <c r="C588" s="1" t="s">
        <v>637</v>
      </c>
      <c r="D588" s="5" t="s">
        <v>15</v>
      </c>
    </row>
    <row r="589" customHeight="1" spans="1:4">
      <c r="A589" s="6"/>
      <c r="B589" s="6"/>
      <c r="C589" s="1" t="s">
        <v>321</v>
      </c>
      <c r="D589" s="5" t="s">
        <v>1554</v>
      </c>
    </row>
    <row r="590" customHeight="1" spans="1:4">
      <c r="A590" s="6"/>
      <c r="B590" s="6"/>
      <c r="C590" s="1" t="s">
        <v>110</v>
      </c>
      <c r="D590" s="5" t="s">
        <v>1554</v>
      </c>
    </row>
    <row r="591" customHeight="1" spans="1:4">
      <c r="A591" s="6"/>
      <c r="B591" s="6"/>
      <c r="C591" s="1" t="s">
        <v>626</v>
      </c>
      <c r="D591" s="5" t="s">
        <v>1554</v>
      </c>
    </row>
    <row r="592" customHeight="1" spans="1:4">
      <c r="A592" s="6"/>
      <c r="B592" s="6"/>
      <c r="C592" s="1" t="s">
        <v>952</v>
      </c>
      <c r="D592" s="5" t="s">
        <v>1554</v>
      </c>
    </row>
    <row r="593" customHeight="1" spans="1:4">
      <c r="A593" s="6"/>
      <c r="B593" s="6"/>
      <c r="C593" s="1" t="s">
        <v>1198</v>
      </c>
      <c r="D593" s="5" t="s">
        <v>1554</v>
      </c>
    </row>
    <row r="594" customHeight="1" spans="1:4">
      <c r="A594" s="6"/>
      <c r="B594" s="6"/>
      <c r="C594" s="1" t="s">
        <v>934</v>
      </c>
      <c r="D594" s="5" t="s">
        <v>1554</v>
      </c>
    </row>
    <row r="595" customHeight="1" spans="1:4">
      <c r="A595" s="6"/>
      <c r="B595" s="6"/>
      <c r="C595" s="1" t="s">
        <v>838</v>
      </c>
      <c r="D595" s="5" t="s">
        <v>1554</v>
      </c>
    </row>
    <row r="596" customHeight="1" spans="1:4">
      <c r="A596" s="6"/>
      <c r="B596" s="6"/>
      <c r="C596" s="1" t="s">
        <v>737</v>
      </c>
      <c r="D596" s="5" t="s">
        <v>1554</v>
      </c>
    </row>
    <row r="597" customHeight="1" spans="1:4">
      <c r="A597" s="6"/>
      <c r="B597" s="6"/>
      <c r="C597" s="1" t="s">
        <v>353</v>
      </c>
      <c r="D597" s="5" t="s">
        <v>1554</v>
      </c>
    </row>
    <row r="598" customHeight="1" spans="1:4">
      <c r="A598" s="6"/>
      <c r="B598" s="6"/>
      <c r="C598" s="1" t="s">
        <v>208</v>
      </c>
      <c r="D598" s="5" t="s">
        <v>1554</v>
      </c>
    </row>
    <row r="599" customHeight="1" spans="1:4">
      <c r="A599" s="6"/>
      <c r="B599" s="6"/>
      <c r="C599" s="1" t="s">
        <v>408</v>
      </c>
      <c r="D599" s="5" t="s">
        <v>1554</v>
      </c>
    </row>
    <row r="600" customHeight="1" spans="1:4">
      <c r="A600" s="6"/>
      <c r="B600" s="6"/>
      <c r="C600" s="1" t="s">
        <v>493</v>
      </c>
      <c r="D600" s="5" t="s">
        <v>1554</v>
      </c>
    </row>
    <row r="601" customHeight="1" spans="1:4">
      <c r="A601" s="6"/>
      <c r="B601" s="6"/>
      <c r="C601" s="1" t="s">
        <v>66</v>
      </c>
      <c r="D601" s="5" t="s">
        <v>1554</v>
      </c>
    </row>
    <row r="602" customHeight="1" spans="1:4">
      <c r="A602" s="6"/>
      <c r="B602" s="6"/>
      <c r="C602" s="1" t="s">
        <v>639</v>
      </c>
      <c r="D602" s="5" t="s">
        <v>1554</v>
      </c>
    </row>
    <row r="603" customHeight="1" spans="1:4">
      <c r="A603" s="6"/>
      <c r="B603" s="6"/>
      <c r="C603" s="1" t="s">
        <v>279</v>
      </c>
      <c r="D603" s="5" t="s">
        <v>1554</v>
      </c>
    </row>
    <row r="604" customHeight="1" spans="1:4">
      <c r="A604" s="6"/>
      <c r="B604" s="6"/>
      <c r="C604" s="1" t="s">
        <v>595</v>
      </c>
      <c r="D604" s="5" t="s">
        <v>1554</v>
      </c>
    </row>
    <row r="605" customHeight="1" spans="1:4">
      <c r="A605" s="6"/>
      <c r="B605" s="6"/>
      <c r="C605" s="1" t="s">
        <v>1455</v>
      </c>
      <c r="D605" s="5" t="s">
        <v>1554</v>
      </c>
    </row>
    <row r="606" customHeight="1" spans="1:4">
      <c r="A606" s="6"/>
      <c r="B606" s="6"/>
      <c r="C606" s="1" t="s">
        <v>145</v>
      </c>
      <c r="D606" s="5" t="s">
        <v>1554</v>
      </c>
    </row>
    <row r="607" customHeight="1" spans="1:4">
      <c r="A607" s="6"/>
      <c r="B607" s="6"/>
      <c r="C607" s="1" t="s">
        <v>332</v>
      </c>
      <c r="D607" s="5" t="s">
        <v>1554</v>
      </c>
    </row>
    <row r="608" customHeight="1" spans="1:4">
      <c r="A608" s="6"/>
      <c r="B608" s="6"/>
      <c r="C608" s="1" t="s">
        <v>296</v>
      </c>
      <c r="D608" s="5" t="s">
        <v>1554</v>
      </c>
    </row>
    <row r="609" customHeight="1" spans="1:4">
      <c r="A609" s="6"/>
      <c r="B609" s="6"/>
      <c r="C609" s="1" t="s">
        <v>1316</v>
      </c>
      <c r="D609" s="5" t="s">
        <v>1554</v>
      </c>
    </row>
    <row r="610" customHeight="1" spans="1:4">
      <c r="A610" s="6"/>
      <c r="B610" s="6"/>
      <c r="C610" s="1" t="s">
        <v>1136</v>
      </c>
      <c r="D610" s="5" t="s">
        <v>1554</v>
      </c>
    </row>
    <row r="611" customHeight="1" spans="1:4">
      <c r="A611" s="6"/>
      <c r="B611" s="6"/>
      <c r="C611" s="1" t="s">
        <v>1325</v>
      </c>
      <c r="D611" s="5" t="s">
        <v>1554</v>
      </c>
    </row>
    <row r="612" customHeight="1" spans="1:4">
      <c r="A612" s="6"/>
      <c r="B612" s="6"/>
      <c r="C612" s="1" t="s">
        <v>521</v>
      </c>
      <c r="D612" s="5" t="s">
        <v>1554</v>
      </c>
    </row>
    <row r="613" customHeight="1" spans="1:4">
      <c r="A613" s="6"/>
      <c r="B613" s="6"/>
      <c r="C613" s="1" t="s">
        <v>1110</v>
      </c>
      <c r="D613" s="5" t="s">
        <v>1554</v>
      </c>
    </row>
    <row r="614" customHeight="1" spans="1:4">
      <c r="A614" s="6"/>
      <c r="B614" s="6"/>
      <c r="C614" s="1" t="s">
        <v>176</v>
      </c>
      <c r="D614" s="5" t="s">
        <v>1554</v>
      </c>
    </row>
    <row r="615" customHeight="1" spans="1:4">
      <c r="A615" s="6"/>
      <c r="B615" s="6"/>
      <c r="C615" s="1" t="s">
        <v>1344</v>
      </c>
      <c r="D615" s="5" t="s">
        <v>1554</v>
      </c>
    </row>
    <row r="616" customHeight="1" spans="1:4">
      <c r="A616" s="6"/>
      <c r="B616" s="6"/>
      <c r="C616" s="1" t="s">
        <v>1006</v>
      </c>
      <c r="D616" s="5" t="s">
        <v>1554</v>
      </c>
    </row>
    <row r="617" customHeight="1" spans="1:4">
      <c r="A617" s="6"/>
      <c r="B617" s="6"/>
      <c r="C617" s="1" t="s">
        <v>1082</v>
      </c>
      <c r="D617" s="5" t="s">
        <v>1554</v>
      </c>
    </row>
    <row r="618" customHeight="1" spans="1:4">
      <c r="A618" s="6"/>
      <c r="B618" s="6"/>
      <c r="C618" s="1" t="s">
        <v>1278</v>
      </c>
      <c r="D618" s="5" t="s">
        <v>1554</v>
      </c>
    </row>
    <row r="619" customHeight="1" spans="1:4">
      <c r="A619" s="6"/>
      <c r="B619" s="6"/>
      <c r="C619" s="1" t="s">
        <v>759</v>
      </c>
      <c r="D619" s="5" t="s">
        <v>1554</v>
      </c>
    </row>
    <row r="620" customHeight="1" spans="1:4">
      <c r="A620" s="6"/>
      <c r="B620" s="6"/>
      <c r="C620" s="1" t="s">
        <v>1457</v>
      </c>
      <c r="D620" s="5" t="s">
        <v>1554</v>
      </c>
    </row>
    <row r="621" customHeight="1" spans="1:4">
      <c r="A621" s="6"/>
      <c r="B621" s="6"/>
      <c r="C621" s="1" t="s">
        <v>1226</v>
      </c>
      <c r="D621" s="5" t="s">
        <v>1554</v>
      </c>
    </row>
    <row r="622" customHeight="1" spans="1:4">
      <c r="A622" s="6"/>
      <c r="B622" s="6"/>
      <c r="C622" s="1" t="s">
        <v>290</v>
      </c>
      <c r="D622" s="5" t="s">
        <v>1554</v>
      </c>
    </row>
    <row r="623" customHeight="1" spans="1:4">
      <c r="A623" s="6"/>
      <c r="B623" s="6"/>
      <c r="C623" s="1" t="s">
        <v>503</v>
      </c>
      <c r="D623" s="5" t="s">
        <v>1554</v>
      </c>
    </row>
    <row r="624" customHeight="1" spans="1:4">
      <c r="A624" s="6"/>
      <c r="B624" s="6"/>
      <c r="C624" s="1" t="s">
        <v>767</v>
      </c>
      <c r="D624" s="5" t="s">
        <v>1554</v>
      </c>
    </row>
    <row r="625" customHeight="1" spans="1:4">
      <c r="A625" s="6"/>
      <c r="B625" s="6"/>
      <c r="C625" s="1" t="s">
        <v>243</v>
      </c>
      <c r="D625" s="5" t="s">
        <v>1554</v>
      </c>
    </row>
    <row r="626" customHeight="1" spans="1:4">
      <c r="A626" s="6"/>
      <c r="B626" s="6"/>
      <c r="C626" s="1" t="s">
        <v>423</v>
      </c>
      <c r="D626" s="5" t="s">
        <v>1554</v>
      </c>
    </row>
    <row r="627" customHeight="1" spans="1:4">
      <c r="A627" s="6"/>
      <c r="B627" s="6"/>
      <c r="C627" s="1" t="s">
        <v>545</v>
      </c>
      <c r="D627" s="5" t="s">
        <v>1554</v>
      </c>
    </row>
    <row r="628" customHeight="1" spans="1:4">
      <c r="A628" s="6"/>
      <c r="B628" s="6"/>
      <c r="C628" s="1" t="s">
        <v>44</v>
      </c>
      <c r="D628" s="5" t="s">
        <v>1554</v>
      </c>
    </row>
    <row r="629" customHeight="1" spans="1:4">
      <c r="A629" s="6"/>
      <c r="B629" s="6"/>
      <c r="C629" s="1" t="s">
        <v>554</v>
      </c>
      <c r="D629" s="5" t="s">
        <v>1554</v>
      </c>
    </row>
    <row r="630" customHeight="1" spans="1:4">
      <c r="A630" s="6"/>
      <c r="B630" s="6"/>
      <c r="C630" s="1" t="s">
        <v>415</v>
      </c>
      <c r="D630" s="5" t="s">
        <v>1554</v>
      </c>
    </row>
    <row r="631" customHeight="1" spans="1:4">
      <c r="A631" s="6"/>
      <c r="B631" s="6"/>
      <c r="C631" s="1" t="s">
        <v>215</v>
      </c>
      <c r="D631" s="5" t="s">
        <v>1554</v>
      </c>
    </row>
    <row r="632" customHeight="1" spans="1:4">
      <c r="A632" s="6"/>
      <c r="B632" s="6"/>
      <c r="C632" s="1" t="s">
        <v>123</v>
      </c>
      <c r="D632" s="5" t="s">
        <v>1554</v>
      </c>
    </row>
    <row r="633" customHeight="1" spans="1:4">
      <c r="A633" s="6"/>
      <c r="B633" s="6"/>
      <c r="C633" s="1" t="s">
        <v>560</v>
      </c>
      <c r="D633" s="5" t="s">
        <v>1554</v>
      </c>
    </row>
    <row r="634" customHeight="1" spans="1:4">
      <c r="A634" s="6"/>
      <c r="B634" s="6"/>
      <c r="C634" s="1" t="s">
        <v>386</v>
      </c>
      <c r="D634" s="5" t="s">
        <v>1554</v>
      </c>
    </row>
    <row r="635" customHeight="1" spans="1:4">
      <c r="A635" s="6"/>
      <c r="B635" s="6"/>
      <c r="C635" s="1" t="s">
        <v>206</v>
      </c>
      <c r="D635" s="5" t="s">
        <v>1554</v>
      </c>
    </row>
    <row r="636" customHeight="1" spans="1:4">
      <c r="A636" s="6"/>
      <c r="B636" s="6"/>
      <c r="C636" s="1" t="s">
        <v>89</v>
      </c>
      <c r="D636" s="5" t="s">
        <v>1554</v>
      </c>
    </row>
    <row r="637" customHeight="1" spans="1:4">
      <c r="A637" s="6"/>
      <c r="B637" s="6"/>
      <c r="C637" s="1" t="s">
        <v>552</v>
      </c>
      <c r="D637" s="5" t="s">
        <v>1554</v>
      </c>
    </row>
    <row r="638" customHeight="1" spans="1:4">
      <c r="A638" s="6"/>
      <c r="B638" s="6"/>
      <c r="C638" s="1" t="s">
        <v>565</v>
      </c>
      <c r="D638" s="5" t="s">
        <v>1554</v>
      </c>
    </row>
    <row r="639" customHeight="1" spans="1:4">
      <c r="A639" s="6"/>
      <c r="B639" s="6"/>
      <c r="C639" s="1" t="s">
        <v>1077</v>
      </c>
      <c r="D639" s="5" t="s">
        <v>1554</v>
      </c>
    </row>
    <row r="640" customHeight="1" spans="1:4">
      <c r="A640" s="6"/>
      <c r="B640" s="6"/>
      <c r="C640" s="1" t="s">
        <v>1095</v>
      </c>
      <c r="D640" s="5" t="s">
        <v>1554</v>
      </c>
    </row>
    <row r="641" customHeight="1" spans="1:4">
      <c r="A641" s="6"/>
      <c r="B641" s="6"/>
      <c r="C641" s="1" t="s">
        <v>645</v>
      </c>
      <c r="D641" s="5" t="s">
        <v>1554</v>
      </c>
    </row>
    <row r="642" customHeight="1" spans="1:4">
      <c r="A642" s="6"/>
      <c r="B642" s="6"/>
      <c r="C642" s="1" t="s">
        <v>1257</v>
      </c>
      <c r="D642" s="5" t="s">
        <v>1554</v>
      </c>
    </row>
    <row r="643" customHeight="1" spans="1:4">
      <c r="A643" s="6"/>
      <c r="B643" s="6"/>
      <c r="C643" s="1" t="s">
        <v>475</v>
      </c>
      <c r="D643" s="5" t="s">
        <v>1554</v>
      </c>
    </row>
    <row r="644" customHeight="1" spans="1:4">
      <c r="A644" s="6"/>
      <c r="B644" s="6"/>
      <c r="C644" s="1" t="s">
        <v>1162</v>
      </c>
      <c r="D644" s="5" t="s">
        <v>1554</v>
      </c>
    </row>
    <row r="645" customHeight="1" spans="1:4">
      <c r="A645" s="6"/>
      <c r="B645" s="6"/>
      <c r="C645" s="1" t="s">
        <v>1155</v>
      </c>
      <c r="D645" s="5" t="s">
        <v>1554</v>
      </c>
    </row>
    <row r="646" customHeight="1" spans="1:4">
      <c r="A646" s="6"/>
      <c r="B646" s="6"/>
      <c r="C646" s="1" t="s">
        <v>1113</v>
      </c>
      <c r="D646" s="5" t="s">
        <v>1554</v>
      </c>
    </row>
    <row r="647" customHeight="1" spans="1:4">
      <c r="A647" s="6"/>
      <c r="B647" s="6"/>
      <c r="C647" s="1" t="s">
        <v>1277</v>
      </c>
      <c r="D647" s="5" t="s">
        <v>1554</v>
      </c>
    </row>
    <row r="648" customHeight="1" spans="1:4">
      <c r="A648" s="6"/>
      <c r="B648" s="6"/>
      <c r="C648" s="1" t="s">
        <v>294</v>
      </c>
      <c r="D648" s="5" t="s">
        <v>1554</v>
      </c>
    </row>
    <row r="649" customHeight="1" spans="1:4">
      <c r="A649" s="6"/>
      <c r="B649" s="6"/>
      <c r="C649" s="1" t="s">
        <v>718</v>
      </c>
      <c r="D649" s="5" t="s">
        <v>1554</v>
      </c>
    </row>
    <row r="650" customHeight="1" spans="1:4">
      <c r="A650" s="6"/>
      <c r="B650" s="6"/>
      <c r="C650" s="1" t="s">
        <v>530</v>
      </c>
      <c r="D650" s="5" t="s">
        <v>1554</v>
      </c>
    </row>
    <row r="651" customHeight="1" spans="1:4">
      <c r="A651" s="6"/>
      <c r="B651" s="6"/>
      <c r="C651" s="1" t="s">
        <v>872</v>
      </c>
      <c r="D651" s="5" t="s">
        <v>1554</v>
      </c>
    </row>
    <row r="652" customHeight="1" spans="1:4">
      <c r="A652" s="6"/>
      <c r="B652" s="6"/>
      <c r="C652" s="1" t="s">
        <v>377</v>
      </c>
      <c r="D652" s="5" t="s">
        <v>1554</v>
      </c>
    </row>
    <row r="653" customHeight="1" spans="1:4">
      <c r="A653" s="6"/>
      <c r="B653" s="6"/>
      <c r="C653" s="1" t="s">
        <v>719</v>
      </c>
      <c r="D653" s="5" t="s">
        <v>1554</v>
      </c>
    </row>
    <row r="654" customHeight="1" spans="1:4">
      <c r="A654" s="6"/>
      <c r="B654" s="6"/>
      <c r="C654" s="1" t="s">
        <v>930</v>
      </c>
      <c r="D654" s="5" t="s">
        <v>1554</v>
      </c>
    </row>
    <row r="655" customHeight="1" spans="1:4">
      <c r="A655" s="6"/>
      <c r="B655" s="6"/>
      <c r="C655" s="1" t="s">
        <v>499</v>
      </c>
      <c r="D655" s="5" t="s">
        <v>1554</v>
      </c>
    </row>
    <row r="656" customHeight="1" spans="1:4">
      <c r="A656" s="6"/>
      <c r="B656" s="6"/>
      <c r="C656" s="1" t="s">
        <v>352</v>
      </c>
      <c r="D656" s="5" t="s">
        <v>1554</v>
      </c>
    </row>
    <row r="657" customHeight="1" spans="1:4">
      <c r="A657" s="6"/>
      <c r="B657" s="6"/>
      <c r="C657" s="1" t="s">
        <v>968</v>
      </c>
      <c r="D657" s="5" t="s">
        <v>1554</v>
      </c>
    </row>
    <row r="658" customHeight="1" spans="1:4">
      <c r="A658" s="6"/>
      <c r="B658" s="6"/>
      <c r="C658" s="1" t="s">
        <v>397</v>
      </c>
      <c r="D658" s="5" t="s">
        <v>1554</v>
      </c>
    </row>
    <row r="659" customHeight="1" spans="1:4">
      <c r="A659" s="6"/>
      <c r="B659" s="6"/>
      <c r="C659" s="1" t="s">
        <v>1032</v>
      </c>
      <c r="D659" s="5" t="s">
        <v>1554</v>
      </c>
    </row>
    <row r="660" customHeight="1" spans="1:4">
      <c r="A660" s="6"/>
      <c r="B660" s="6"/>
      <c r="C660" s="1" t="s">
        <v>835</v>
      </c>
      <c r="D660" s="5" t="s">
        <v>1554</v>
      </c>
    </row>
    <row r="661" customHeight="1" spans="1:4">
      <c r="A661" s="6"/>
      <c r="B661" s="6"/>
      <c r="C661" s="1" t="s">
        <v>656</v>
      </c>
      <c r="D661" s="5" t="s">
        <v>1554</v>
      </c>
    </row>
    <row r="662" customHeight="1" spans="1:4">
      <c r="A662" s="6"/>
      <c r="B662" s="6"/>
      <c r="C662" s="1" t="s">
        <v>301</v>
      </c>
      <c r="D662" s="5" t="s">
        <v>1554</v>
      </c>
    </row>
    <row r="663" customHeight="1" spans="1:4">
      <c r="A663" s="6"/>
      <c r="B663" s="6"/>
      <c r="C663" s="1" t="s">
        <v>806</v>
      </c>
      <c r="D663" s="5" t="s">
        <v>1554</v>
      </c>
    </row>
    <row r="664" customHeight="1" spans="1:4">
      <c r="A664" s="6"/>
      <c r="B664" s="6"/>
      <c r="C664" s="1" t="s">
        <v>461</v>
      </c>
      <c r="D664" s="5" t="s">
        <v>1554</v>
      </c>
    </row>
    <row r="665" customHeight="1" spans="1:4">
      <c r="A665" s="6"/>
      <c r="B665" s="6"/>
      <c r="C665" s="1" t="s">
        <v>205</v>
      </c>
      <c r="D665" s="5" t="s">
        <v>1554</v>
      </c>
    </row>
    <row r="666" customHeight="1" spans="1:4">
      <c r="A666" s="6"/>
      <c r="B666" s="6"/>
      <c r="C666" s="1" t="s">
        <v>912</v>
      </c>
      <c r="D666" s="5" t="s">
        <v>1554</v>
      </c>
    </row>
    <row r="667" customHeight="1" spans="1:4">
      <c r="A667" s="6"/>
      <c r="B667" s="6"/>
      <c r="C667" s="1" t="s">
        <v>739</v>
      </c>
      <c r="D667" s="5" t="s">
        <v>1554</v>
      </c>
    </row>
    <row r="668" customHeight="1" spans="1:4">
      <c r="A668" s="6"/>
      <c r="B668" s="6"/>
      <c r="C668" s="1" t="s">
        <v>1463</v>
      </c>
      <c r="D668" s="5" t="s">
        <v>1554</v>
      </c>
    </row>
    <row r="669" customHeight="1" spans="1:4">
      <c r="A669" s="6"/>
      <c r="B669" s="6"/>
      <c r="C669" s="1" t="s">
        <v>1404</v>
      </c>
      <c r="D669" s="5" t="s">
        <v>1554</v>
      </c>
    </row>
    <row r="670" customHeight="1" spans="1:4">
      <c r="A670" s="6"/>
      <c r="B670" s="6"/>
      <c r="C670" s="1" t="s">
        <v>1468</v>
      </c>
      <c r="D670" s="5" t="s">
        <v>1554</v>
      </c>
    </row>
    <row r="671" customHeight="1" spans="1:4">
      <c r="A671" s="6"/>
      <c r="B671" s="6"/>
      <c r="C671" s="1" t="s">
        <v>1111</v>
      </c>
      <c r="D671" s="5" t="s">
        <v>1554</v>
      </c>
    </row>
    <row r="672" customHeight="1" spans="1:4">
      <c r="A672" s="6"/>
      <c r="B672" s="6"/>
      <c r="C672" s="1" t="s">
        <v>470</v>
      </c>
      <c r="D672" s="5" t="s">
        <v>1554</v>
      </c>
    </row>
    <row r="673" customHeight="1" spans="1:4">
      <c r="A673" s="6"/>
      <c r="B673" s="6"/>
      <c r="C673" s="1" t="s">
        <v>490</v>
      </c>
      <c r="D673" s="5" t="s">
        <v>1554</v>
      </c>
    </row>
    <row r="674" customHeight="1" spans="1:4">
      <c r="A674" s="6"/>
      <c r="B674" s="6"/>
      <c r="C674" s="1" t="s">
        <v>942</v>
      </c>
      <c r="D674" s="5" t="s">
        <v>1554</v>
      </c>
    </row>
    <row r="675" customHeight="1" spans="1:4">
      <c r="A675" s="6"/>
      <c r="B675" s="6"/>
      <c r="C675" s="1" t="s">
        <v>268</v>
      </c>
      <c r="D675" s="5" t="s">
        <v>1554</v>
      </c>
    </row>
    <row r="676" customHeight="1" spans="1:4">
      <c r="A676" s="6"/>
      <c r="B676" s="6"/>
      <c r="C676" s="1" t="s">
        <v>1264</v>
      </c>
      <c r="D676" s="5" t="s">
        <v>183</v>
      </c>
    </row>
    <row r="677" customHeight="1" spans="1:4">
      <c r="A677" s="6"/>
      <c r="B677" s="6"/>
      <c r="C677" s="1" t="s">
        <v>361</v>
      </c>
      <c r="D677" s="5" t="s">
        <v>1554</v>
      </c>
    </row>
    <row r="678" customHeight="1" spans="1:4">
      <c r="A678" s="6"/>
      <c r="B678" s="6"/>
      <c r="C678" s="1" t="s">
        <v>734</v>
      </c>
      <c r="D678" s="5" t="s">
        <v>1554</v>
      </c>
    </row>
    <row r="679" customHeight="1" spans="1:4">
      <c r="A679" s="6"/>
      <c r="B679" s="6"/>
      <c r="C679" s="1" t="s">
        <v>821</v>
      </c>
      <c r="D679" s="5" t="s">
        <v>1554</v>
      </c>
    </row>
    <row r="680" customHeight="1" spans="1:4">
      <c r="A680" s="6"/>
      <c r="B680" s="6"/>
      <c r="C680" s="1" t="s">
        <v>824</v>
      </c>
      <c r="D680" s="5" t="s">
        <v>1554</v>
      </c>
    </row>
    <row r="681" customHeight="1" spans="1:4">
      <c r="A681" s="6"/>
      <c r="B681" s="6"/>
      <c r="C681" s="1" t="s">
        <v>504</v>
      </c>
      <c r="D681" s="5" t="s">
        <v>1554</v>
      </c>
    </row>
    <row r="682" customHeight="1" spans="1:4">
      <c r="A682" s="6"/>
      <c r="B682" s="6"/>
      <c r="C682" s="1" t="s">
        <v>562</v>
      </c>
      <c r="D682" s="5" t="s">
        <v>1554</v>
      </c>
    </row>
    <row r="683" customHeight="1" spans="1:4">
      <c r="A683" s="6"/>
      <c r="B683" s="6"/>
      <c r="C683" s="1" t="s">
        <v>1249</v>
      </c>
      <c r="D683" s="5" t="s">
        <v>1554</v>
      </c>
    </row>
    <row r="684" customHeight="1" spans="1:4">
      <c r="A684" s="6"/>
      <c r="B684" s="6"/>
      <c r="C684" s="1" t="s">
        <v>799</v>
      </c>
      <c r="D684" s="5" t="s">
        <v>1554</v>
      </c>
    </row>
    <row r="685" customHeight="1" spans="1:4">
      <c r="A685" s="6"/>
      <c r="B685" s="6"/>
      <c r="C685" s="1" t="s">
        <v>1067</v>
      </c>
      <c r="D685" s="5" t="s">
        <v>1554</v>
      </c>
    </row>
    <row r="686" customHeight="1" spans="1:4">
      <c r="A686" s="6"/>
      <c r="B686" s="6"/>
      <c r="C686" s="1" t="s">
        <v>547</v>
      </c>
      <c r="D686" s="5" t="s">
        <v>1554</v>
      </c>
    </row>
    <row r="687" customHeight="1" spans="1:4">
      <c r="A687" s="6"/>
      <c r="B687" s="6"/>
      <c r="C687" s="1" t="s">
        <v>497</v>
      </c>
      <c r="D687" s="5" t="s">
        <v>1554</v>
      </c>
    </row>
    <row r="688" customHeight="1" spans="1:4">
      <c r="A688" s="6"/>
      <c r="B688" s="6"/>
      <c r="C688" s="1" t="s">
        <v>1083</v>
      </c>
      <c r="D688" s="5" t="s">
        <v>1554</v>
      </c>
    </row>
    <row r="689" customHeight="1" spans="1:4">
      <c r="A689" s="6"/>
      <c r="B689" s="6"/>
      <c r="C689" s="1" t="s">
        <v>485</v>
      </c>
      <c r="D689" s="5" t="s">
        <v>1554</v>
      </c>
    </row>
    <row r="690" customHeight="1" spans="1:4">
      <c r="A690" s="6"/>
      <c r="B690" s="6"/>
      <c r="C690" s="1" t="s">
        <v>951</v>
      </c>
      <c r="D690" s="5" t="s">
        <v>1554</v>
      </c>
    </row>
    <row r="691" customHeight="1" spans="1:4">
      <c r="A691" s="6"/>
      <c r="B691" s="6"/>
      <c r="C691" s="1" t="s">
        <v>989</v>
      </c>
      <c r="D691" s="5" t="s">
        <v>1554</v>
      </c>
    </row>
    <row r="692" customHeight="1" spans="1:4">
      <c r="A692" s="6"/>
      <c r="B692" s="6"/>
      <c r="C692" s="1" t="s">
        <v>367</v>
      </c>
      <c r="D692" s="5" t="s">
        <v>1554</v>
      </c>
    </row>
    <row r="693" customHeight="1" spans="1:4">
      <c r="A693" s="6"/>
      <c r="B693" s="6"/>
      <c r="C693" s="1" t="s">
        <v>152</v>
      </c>
      <c r="D693" s="5" t="s">
        <v>1554</v>
      </c>
    </row>
    <row r="694" customHeight="1" spans="1:4">
      <c r="A694" s="6"/>
      <c r="B694" s="6"/>
      <c r="C694" s="1" t="s">
        <v>905</v>
      </c>
      <c r="D694" s="5" t="s">
        <v>1554</v>
      </c>
    </row>
    <row r="695" customHeight="1" spans="1:4">
      <c r="A695" s="6"/>
      <c r="B695" s="6"/>
      <c r="C695" s="1" t="s">
        <v>1033</v>
      </c>
      <c r="D695" s="5" t="s">
        <v>1554</v>
      </c>
    </row>
    <row r="696" customHeight="1" spans="1:4">
      <c r="A696" s="6"/>
      <c r="B696" s="6"/>
      <c r="C696" s="1" t="s">
        <v>534</v>
      </c>
      <c r="D696" s="5" t="s">
        <v>1554</v>
      </c>
    </row>
    <row r="697" customHeight="1" spans="1:4">
      <c r="A697" s="6"/>
      <c r="B697" s="6"/>
      <c r="C697" s="1" t="s">
        <v>143</v>
      </c>
      <c r="D697" s="5" t="s">
        <v>1554</v>
      </c>
    </row>
    <row r="698" customHeight="1" spans="1:4">
      <c r="A698" s="6"/>
      <c r="B698" s="6"/>
      <c r="C698" s="1" t="s">
        <v>1270</v>
      </c>
      <c r="D698" s="5" t="s">
        <v>1554</v>
      </c>
    </row>
    <row r="699" customHeight="1" spans="1:4">
      <c r="A699" s="6"/>
      <c r="B699" s="6"/>
      <c r="C699" s="1" t="s">
        <v>613</v>
      </c>
      <c r="D699" s="5" t="s">
        <v>1554</v>
      </c>
    </row>
    <row r="700" customHeight="1" spans="1:4">
      <c r="A700" s="6"/>
      <c r="B700" s="6"/>
      <c r="C700" s="1" t="s">
        <v>273</v>
      </c>
      <c r="D700" s="5" t="s">
        <v>1554</v>
      </c>
    </row>
    <row r="701" customHeight="1" spans="1:4">
      <c r="A701" s="6"/>
      <c r="B701" s="6"/>
      <c r="C701" s="1" t="s">
        <v>433</v>
      </c>
      <c r="D701" s="5" t="s">
        <v>1554</v>
      </c>
    </row>
    <row r="702" customHeight="1" spans="1:4">
      <c r="A702" s="6"/>
      <c r="B702" s="6"/>
      <c r="C702" s="1" t="s">
        <v>550</v>
      </c>
      <c r="D702" s="5" t="s">
        <v>1554</v>
      </c>
    </row>
    <row r="703" customHeight="1" spans="1:4">
      <c r="A703" s="6"/>
      <c r="B703" s="6"/>
      <c r="C703" s="1" t="s">
        <v>405</v>
      </c>
      <c r="D703" s="5" t="s">
        <v>1554</v>
      </c>
    </row>
    <row r="704" customHeight="1" spans="1:4">
      <c r="A704" s="6"/>
      <c r="B704" s="6"/>
      <c r="C704" s="1" t="s">
        <v>412</v>
      </c>
      <c r="D704" s="5" t="s">
        <v>1554</v>
      </c>
    </row>
    <row r="705" customHeight="1" spans="1:4">
      <c r="A705" s="6"/>
      <c r="B705" s="6"/>
      <c r="C705" s="1" t="s">
        <v>667</v>
      </c>
      <c r="D705" s="5" t="s">
        <v>1554</v>
      </c>
    </row>
    <row r="706" customHeight="1" spans="1:4">
      <c r="A706" s="6"/>
      <c r="B706" s="6"/>
      <c r="C706" s="1" t="s">
        <v>1477</v>
      </c>
      <c r="D706" s="5" t="s">
        <v>1554</v>
      </c>
    </row>
    <row r="707" customHeight="1" spans="1:4">
      <c r="A707" s="6"/>
      <c r="B707" s="6"/>
      <c r="C707" s="1" t="s">
        <v>524</v>
      </c>
      <c r="D707" s="5" t="s">
        <v>1554</v>
      </c>
    </row>
    <row r="708" customHeight="1" spans="1:4">
      <c r="A708" s="6"/>
      <c r="B708" s="6"/>
      <c r="C708" s="1" t="s">
        <v>163</v>
      </c>
      <c r="D708" s="5" t="s">
        <v>1554</v>
      </c>
    </row>
    <row r="709" customHeight="1" spans="1:4">
      <c r="A709" s="6"/>
      <c r="B709" s="6"/>
      <c r="C709" s="1" t="s">
        <v>174</v>
      </c>
      <c r="D709" s="5" t="s">
        <v>1554</v>
      </c>
    </row>
    <row r="710" customHeight="1" spans="1:4">
      <c r="A710" s="6"/>
      <c r="B710" s="6"/>
      <c r="C710" s="1" t="s">
        <v>223</v>
      </c>
      <c r="D710" s="5" t="s">
        <v>1554</v>
      </c>
    </row>
    <row r="711" customHeight="1" spans="1:4">
      <c r="A711" s="6"/>
      <c r="B711" s="6"/>
      <c r="C711" s="1" t="s">
        <v>1479</v>
      </c>
      <c r="D711" s="5" t="s">
        <v>1554</v>
      </c>
    </row>
    <row r="712" customHeight="1" spans="1:4">
      <c r="A712" s="6"/>
      <c r="B712" s="6"/>
      <c r="C712" s="1" t="s">
        <v>1261</v>
      </c>
      <c r="D712" s="5" t="s">
        <v>1554</v>
      </c>
    </row>
    <row r="713" customHeight="1" spans="1:4">
      <c r="A713" s="6"/>
      <c r="B713" s="6"/>
      <c r="C713" s="1" t="s">
        <v>911</v>
      </c>
      <c r="D713" s="5" t="s">
        <v>1554</v>
      </c>
    </row>
    <row r="714" customHeight="1" spans="1:4">
      <c r="A714" s="6"/>
      <c r="B714" s="6"/>
      <c r="C714" s="1" t="s">
        <v>793</v>
      </c>
      <c r="D714" s="5" t="s">
        <v>1554</v>
      </c>
    </row>
    <row r="715" customHeight="1" spans="1:4">
      <c r="A715" s="6"/>
      <c r="B715" s="6"/>
      <c r="C715" s="1" t="s">
        <v>574</v>
      </c>
      <c r="D715" s="5" t="s">
        <v>1554</v>
      </c>
    </row>
    <row r="716" customHeight="1" spans="1:4">
      <c r="A716" s="6"/>
      <c r="B716" s="6"/>
      <c r="C716" s="1" t="s">
        <v>679</v>
      </c>
      <c r="D716" s="5" t="s">
        <v>1554</v>
      </c>
    </row>
    <row r="717" customHeight="1" spans="1:4">
      <c r="A717" s="6"/>
      <c r="B717" s="6"/>
      <c r="C717" s="1" t="s">
        <v>933</v>
      </c>
      <c r="D717" s="5" t="s">
        <v>1554</v>
      </c>
    </row>
    <row r="718" customHeight="1" spans="1:4">
      <c r="A718" s="6"/>
      <c r="B718" s="6"/>
      <c r="C718" s="1" t="s">
        <v>543</v>
      </c>
      <c r="D718" s="5" t="s">
        <v>1554</v>
      </c>
    </row>
    <row r="719" customHeight="1" spans="1:4">
      <c r="A719" s="6"/>
      <c r="B719" s="6"/>
      <c r="C719" s="1" t="s">
        <v>622</v>
      </c>
      <c r="D719" s="5" t="s">
        <v>1554</v>
      </c>
    </row>
    <row r="720" customHeight="1" spans="1:4">
      <c r="A720" s="6"/>
      <c r="B720" s="6"/>
      <c r="C720" s="1" t="s">
        <v>1418</v>
      </c>
      <c r="D720" s="5" t="s">
        <v>1554</v>
      </c>
    </row>
    <row r="721" customHeight="1" spans="1:4">
      <c r="A721" s="6"/>
      <c r="B721" s="6"/>
      <c r="C721" s="1" t="s">
        <v>532</v>
      </c>
      <c r="D721" s="5" t="s">
        <v>1554</v>
      </c>
    </row>
    <row r="722" customHeight="1" spans="1:4">
      <c r="A722" s="6"/>
      <c r="B722" s="6"/>
      <c r="C722" s="1" t="s">
        <v>500</v>
      </c>
      <c r="D722" s="5" t="s">
        <v>1554</v>
      </c>
    </row>
    <row r="723" customHeight="1" spans="1:4">
      <c r="A723" s="6"/>
      <c r="B723" s="6"/>
      <c r="C723" s="1" t="s">
        <v>816</v>
      </c>
      <c r="D723" s="5" t="s">
        <v>1554</v>
      </c>
    </row>
    <row r="724" customHeight="1" spans="1:4">
      <c r="A724" s="6"/>
      <c r="B724" s="6"/>
      <c r="C724" s="1" t="s">
        <v>289</v>
      </c>
      <c r="D724" s="5" t="s">
        <v>1554</v>
      </c>
    </row>
    <row r="725" customHeight="1" spans="1:4">
      <c r="A725" s="6"/>
      <c r="B725" s="6"/>
      <c r="C725" s="1" t="s">
        <v>366</v>
      </c>
      <c r="D725" s="5" t="s">
        <v>1554</v>
      </c>
    </row>
    <row r="726" customHeight="1" spans="1:4">
      <c r="A726" s="6"/>
      <c r="B726" s="6"/>
      <c r="C726" s="1" t="s">
        <v>324</v>
      </c>
      <c r="D726" s="5" t="s">
        <v>1554</v>
      </c>
    </row>
    <row r="727" customHeight="1" spans="1:4">
      <c r="A727" s="6"/>
      <c r="B727" s="6"/>
      <c r="C727" s="1" t="s">
        <v>902</v>
      </c>
      <c r="D727" s="5" t="s">
        <v>1554</v>
      </c>
    </row>
    <row r="728" customHeight="1" spans="1:4">
      <c r="A728" s="6"/>
      <c r="B728" s="6"/>
      <c r="C728" s="1" t="s">
        <v>535</v>
      </c>
      <c r="D728" s="5" t="s">
        <v>1554</v>
      </c>
    </row>
    <row r="729" customHeight="1" spans="1:4">
      <c r="A729" s="6"/>
      <c r="B729" s="6"/>
      <c r="C729" s="1" t="s">
        <v>697</v>
      </c>
      <c r="D729" s="5" t="s">
        <v>1554</v>
      </c>
    </row>
    <row r="730" customHeight="1" spans="1:4">
      <c r="A730" s="6"/>
      <c r="B730" s="6"/>
      <c r="C730" s="1" t="s">
        <v>1028</v>
      </c>
      <c r="D730" s="5" t="s">
        <v>1554</v>
      </c>
    </row>
    <row r="731" customHeight="1" spans="1:4">
      <c r="A731" s="6"/>
      <c r="B731" s="6"/>
      <c r="C731" s="1" t="s">
        <v>1358</v>
      </c>
      <c r="D731" s="5" t="s">
        <v>1554</v>
      </c>
    </row>
    <row r="732" customHeight="1" spans="1:4">
      <c r="A732" s="6"/>
      <c r="B732" s="6"/>
      <c r="C732" s="1" t="s">
        <v>331</v>
      </c>
      <c r="D732" s="5" t="s">
        <v>1554</v>
      </c>
    </row>
    <row r="733" customHeight="1" spans="1:4">
      <c r="A733" s="6"/>
      <c r="B733" s="6"/>
      <c r="C733" s="1" t="s">
        <v>1192</v>
      </c>
      <c r="D733" s="5" t="s">
        <v>1554</v>
      </c>
    </row>
    <row r="734" customHeight="1" spans="1:4">
      <c r="A734" s="6"/>
      <c r="B734" s="6"/>
      <c r="C734" s="1" t="s">
        <v>766</v>
      </c>
      <c r="D734" s="5" t="s">
        <v>1554</v>
      </c>
    </row>
    <row r="735" customHeight="1" spans="1:4">
      <c r="A735" s="6"/>
      <c r="B735" s="6"/>
      <c r="C735" s="1" t="s">
        <v>813</v>
      </c>
      <c r="D735" s="5" t="s">
        <v>1554</v>
      </c>
    </row>
    <row r="736" customHeight="1" spans="1:4">
      <c r="A736" s="6"/>
      <c r="B736" s="6"/>
      <c r="C736" s="1" t="s">
        <v>877</v>
      </c>
      <c r="D736" s="5" t="s">
        <v>1554</v>
      </c>
    </row>
    <row r="737" customHeight="1" spans="1:4">
      <c r="A737" s="6"/>
      <c r="B737" s="6"/>
      <c r="C737" s="1" t="s">
        <v>307</v>
      </c>
      <c r="D737" s="5" t="s">
        <v>1554</v>
      </c>
    </row>
    <row r="738" customHeight="1" spans="1:4">
      <c r="A738" s="6"/>
      <c r="B738" s="6"/>
      <c r="C738" s="1" t="s">
        <v>1485</v>
      </c>
      <c r="D738" s="5" t="s">
        <v>1554</v>
      </c>
    </row>
    <row r="739" customHeight="1" spans="1:4">
      <c r="A739" s="6"/>
      <c r="B739" s="6"/>
      <c r="C739" s="1" t="s">
        <v>969</v>
      </c>
      <c r="D739" s="5" t="s">
        <v>1554</v>
      </c>
    </row>
    <row r="740" customHeight="1" spans="1:4">
      <c r="A740" s="6"/>
      <c r="B740" s="6"/>
      <c r="C740" s="1" t="s">
        <v>1324</v>
      </c>
      <c r="D740" s="5" t="s">
        <v>1554</v>
      </c>
    </row>
    <row r="741" customHeight="1" spans="1:4">
      <c r="A741" s="6"/>
      <c r="B741" s="6"/>
      <c r="C741" s="1" t="s">
        <v>1116</v>
      </c>
      <c r="D741" s="5" t="s">
        <v>1554</v>
      </c>
    </row>
    <row r="742" customHeight="1" spans="1:4">
      <c r="A742" s="6"/>
      <c r="B742" s="6"/>
      <c r="C742" s="1" t="s">
        <v>857</v>
      </c>
      <c r="D742" s="5" t="s">
        <v>1554</v>
      </c>
    </row>
    <row r="743" customHeight="1" spans="1:4">
      <c r="A743" s="6"/>
      <c r="B743" s="6"/>
      <c r="C743" s="1" t="s">
        <v>1085</v>
      </c>
      <c r="D743" s="5" t="s">
        <v>1554</v>
      </c>
    </row>
    <row r="744" customHeight="1" spans="1:4">
      <c r="A744" s="6"/>
      <c r="B744" s="6"/>
      <c r="C744" s="1" t="s">
        <v>1332</v>
      </c>
      <c r="D744" s="5" t="s">
        <v>1554</v>
      </c>
    </row>
    <row r="745" customHeight="1" spans="1:4">
      <c r="A745" s="6"/>
      <c r="B745" s="6"/>
      <c r="C745" s="1" t="s">
        <v>698</v>
      </c>
      <c r="D745" s="5" t="s">
        <v>1554</v>
      </c>
    </row>
    <row r="746" customHeight="1" spans="1:4">
      <c r="A746" s="6"/>
      <c r="B746" s="6"/>
      <c r="C746" s="1" t="s">
        <v>1025</v>
      </c>
      <c r="D746" s="5" t="s">
        <v>1554</v>
      </c>
    </row>
    <row r="747" customHeight="1" spans="1:4">
      <c r="A747" s="6"/>
      <c r="B747" s="6"/>
      <c r="C747" s="1" t="s">
        <v>567</v>
      </c>
      <c r="D747" s="5" t="s">
        <v>1554</v>
      </c>
    </row>
    <row r="748" customHeight="1" spans="1:4">
      <c r="A748" s="6"/>
      <c r="B748" s="6"/>
      <c r="C748" s="1" t="s">
        <v>561</v>
      </c>
      <c r="D748" s="5" t="s">
        <v>1554</v>
      </c>
    </row>
    <row r="749" customHeight="1" spans="1:4">
      <c r="A749" s="6"/>
      <c r="B749" s="6"/>
      <c r="C749" s="1" t="s">
        <v>310</v>
      </c>
      <c r="D749" s="5" t="s">
        <v>1554</v>
      </c>
    </row>
    <row r="750" customHeight="1" spans="1:4">
      <c r="A750" s="6"/>
      <c r="B750" s="6"/>
      <c r="C750" s="1" t="s">
        <v>97</v>
      </c>
      <c r="D750" s="5" t="s">
        <v>1554</v>
      </c>
    </row>
    <row r="751" customHeight="1" spans="1:4">
      <c r="A751" s="6"/>
      <c r="B751" s="6"/>
      <c r="C751" s="1" t="s">
        <v>112</v>
      </c>
      <c r="D751" s="5" t="s">
        <v>1554</v>
      </c>
    </row>
    <row r="752" customHeight="1" spans="1:4">
      <c r="A752" s="6"/>
      <c r="B752" s="6"/>
      <c r="C752" s="1" t="s">
        <v>356</v>
      </c>
      <c r="D752" s="5" t="s">
        <v>1554</v>
      </c>
    </row>
    <row r="753" customHeight="1" spans="1:4">
      <c r="A753" s="6"/>
      <c r="B753" s="6"/>
      <c r="C753" s="1" t="s">
        <v>285</v>
      </c>
      <c r="D753" s="5" t="s">
        <v>1554</v>
      </c>
    </row>
    <row r="754" customHeight="1" spans="1:4">
      <c r="A754" s="6"/>
      <c r="B754" s="6"/>
      <c r="C754" s="1" t="s">
        <v>60</v>
      </c>
      <c r="D754" s="5" t="s">
        <v>1554</v>
      </c>
    </row>
    <row r="755" customHeight="1" spans="1:4">
      <c r="A755" s="6"/>
      <c r="B755" s="6"/>
      <c r="C755" s="1" t="s">
        <v>137</v>
      </c>
      <c r="D755" s="5" t="s">
        <v>1554</v>
      </c>
    </row>
    <row r="756" customHeight="1" spans="1:4">
      <c r="A756" s="6"/>
      <c r="B756" s="6"/>
      <c r="C756" s="1" t="s">
        <v>32</v>
      </c>
      <c r="D756" s="5" t="s">
        <v>1554</v>
      </c>
    </row>
    <row r="757" customHeight="1" spans="1:4">
      <c r="A757" s="6"/>
      <c r="B757" s="6"/>
      <c r="C757" s="1" t="s">
        <v>104</v>
      </c>
      <c r="D757" s="5" t="s">
        <v>1554</v>
      </c>
    </row>
    <row r="758" customHeight="1" spans="1:4">
      <c r="A758" s="6"/>
      <c r="B758" s="6"/>
      <c r="C758" s="1" t="s">
        <v>101</v>
      </c>
      <c r="D758" s="5" t="s">
        <v>1554</v>
      </c>
    </row>
    <row r="759" customHeight="1" spans="1:4">
      <c r="A759" s="6"/>
      <c r="B759" s="6"/>
      <c r="C759" s="1" t="s">
        <v>266</v>
      </c>
      <c r="D759" s="5" t="s">
        <v>1554</v>
      </c>
    </row>
    <row r="760" customHeight="1" spans="1:4">
      <c r="A760" s="6"/>
      <c r="B760" s="6"/>
      <c r="C760" s="1" t="s">
        <v>274</v>
      </c>
      <c r="D760" s="5" t="s">
        <v>1554</v>
      </c>
    </row>
    <row r="761" customHeight="1" spans="1:4">
      <c r="A761" s="6"/>
      <c r="B761" s="6"/>
      <c r="C761" s="1" t="s">
        <v>1487</v>
      </c>
      <c r="D761" s="5" t="s">
        <v>1554</v>
      </c>
    </row>
    <row r="762" customHeight="1" spans="1:4">
      <c r="A762" s="6"/>
      <c r="B762" s="6"/>
      <c r="C762" s="1" t="s">
        <v>201</v>
      </c>
      <c r="D762" s="5" t="s">
        <v>1554</v>
      </c>
    </row>
    <row r="763" customHeight="1" spans="1:4">
      <c r="A763" s="6"/>
      <c r="B763" s="6"/>
      <c r="C763" s="1" t="s">
        <v>1489</v>
      </c>
      <c r="D763" s="5" t="s">
        <v>1554</v>
      </c>
    </row>
    <row r="764" customHeight="1" spans="1:4">
      <c r="A764" s="6"/>
      <c r="B764" s="6"/>
      <c r="C764" s="1" t="s">
        <v>85</v>
      </c>
      <c r="D764" s="5" t="s">
        <v>1554</v>
      </c>
    </row>
    <row r="765" customHeight="1" spans="1:4">
      <c r="A765" s="6"/>
      <c r="B765" s="6"/>
      <c r="C765" s="1" t="s">
        <v>78</v>
      </c>
      <c r="D765" s="5" t="s">
        <v>1554</v>
      </c>
    </row>
    <row r="766" customHeight="1" spans="1:4">
      <c r="A766" s="6"/>
      <c r="B766" s="6"/>
      <c r="C766" s="1" t="s">
        <v>95</v>
      </c>
      <c r="D766" s="5" t="s">
        <v>1554</v>
      </c>
    </row>
    <row r="767" customHeight="1" spans="1:4">
      <c r="A767" s="6"/>
      <c r="B767" s="6"/>
      <c r="C767" s="1" t="s">
        <v>150</v>
      </c>
      <c r="D767" s="5" t="s">
        <v>1554</v>
      </c>
    </row>
    <row r="768" customHeight="1" spans="1:4">
      <c r="A768" s="6"/>
      <c r="B768" s="6"/>
      <c r="C768" s="1" t="s">
        <v>271</v>
      </c>
      <c r="D768" s="5" t="s">
        <v>1554</v>
      </c>
    </row>
    <row r="769" customHeight="1" spans="1:4">
      <c r="A769" s="6"/>
      <c r="B769" s="6"/>
      <c r="C769" s="1" t="s">
        <v>492</v>
      </c>
      <c r="D769" s="5" t="s">
        <v>1554</v>
      </c>
    </row>
    <row r="770" customHeight="1" spans="1:4">
      <c r="A770" s="6"/>
      <c r="B770" s="6"/>
      <c r="C770" s="1" t="s">
        <v>48</v>
      </c>
      <c r="D770" s="5" t="s">
        <v>1554</v>
      </c>
    </row>
    <row r="771" customHeight="1" spans="1:4">
      <c r="A771" s="6"/>
      <c r="B771" s="6"/>
      <c r="C771" s="1" t="s">
        <v>22</v>
      </c>
      <c r="D771" s="5" t="s">
        <v>1554</v>
      </c>
    </row>
    <row r="772" customHeight="1" spans="1:4">
      <c r="A772" s="6"/>
      <c r="B772" s="6"/>
      <c r="C772" s="1" t="s">
        <v>323</v>
      </c>
      <c r="D772" s="5" t="s">
        <v>1554</v>
      </c>
    </row>
    <row r="773" customHeight="1" spans="1:4">
      <c r="A773" s="6"/>
      <c r="B773" s="6"/>
      <c r="C773" s="1" t="s">
        <v>970</v>
      </c>
      <c r="D773" s="5" t="s">
        <v>1554</v>
      </c>
    </row>
    <row r="774" customHeight="1" spans="1:4">
      <c r="A774" s="6"/>
      <c r="B774" s="6"/>
      <c r="C774" s="1" t="s">
        <v>551</v>
      </c>
      <c r="D774" s="5" t="s">
        <v>1554</v>
      </c>
    </row>
    <row r="775" customHeight="1" spans="1:4">
      <c r="A775" s="6"/>
      <c r="B775" s="6"/>
      <c r="C775" s="1" t="s">
        <v>193</v>
      </c>
      <c r="D775" s="5" t="s">
        <v>1554</v>
      </c>
    </row>
    <row r="776" customHeight="1" spans="1:4">
      <c r="A776" s="6"/>
      <c r="B776" s="6"/>
      <c r="C776" s="1" t="s">
        <v>494</v>
      </c>
      <c r="D776" s="5" t="s">
        <v>1554</v>
      </c>
    </row>
    <row r="777" customHeight="1" spans="1:4">
      <c r="A777" s="6"/>
      <c r="B777" s="6"/>
      <c r="C777" s="1" t="s">
        <v>903</v>
      </c>
      <c r="D777" s="5" t="s">
        <v>1554</v>
      </c>
    </row>
    <row r="778" customHeight="1" spans="1:4">
      <c r="A778" s="6"/>
      <c r="B778" s="6"/>
      <c r="C778" s="1" t="s">
        <v>1491</v>
      </c>
      <c r="D778" s="5" t="s">
        <v>1554</v>
      </c>
    </row>
    <row r="779" customHeight="1" spans="1:4">
      <c r="A779" s="6"/>
      <c r="B779" s="6"/>
      <c r="C779" s="1" t="s">
        <v>231</v>
      </c>
      <c r="D779" s="5" t="s">
        <v>1554</v>
      </c>
    </row>
    <row r="780" customHeight="1" spans="1:4">
      <c r="A780" s="6"/>
      <c r="B780" s="6"/>
      <c r="C780" s="1" t="s">
        <v>1492</v>
      </c>
      <c r="D780" s="5" t="s">
        <v>1554</v>
      </c>
    </row>
    <row r="781" customHeight="1" spans="1:4">
      <c r="A781" s="6"/>
      <c r="B781" s="6"/>
      <c r="C781" s="1" t="s">
        <v>854</v>
      </c>
      <c r="D781" s="5" t="s">
        <v>1554</v>
      </c>
    </row>
    <row r="782" customHeight="1" spans="1:4">
      <c r="A782" s="6"/>
      <c r="B782" s="6"/>
      <c r="C782" s="1" t="s">
        <v>670</v>
      </c>
      <c r="D782" s="5" t="s">
        <v>1554</v>
      </c>
    </row>
    <row r="783" customHeight="1" spans="1:4">
      <c r="A783" s="6"/>
      <c r="B783" s="6"/>
      <c r="C783" s="1" t="s">
        <v>1494</v>
      </c>
      <c r="D783" s="5" t="s">
        <v>1554</v>
      </c>
    </row>
    <row r="784" customHeight="1" spans="1:4">
      <c r="A784" s="6"/>
      <c r="B784" s="6"/>
      <c r="C784" s="1" t="s">
        <v>380</v>
      </c>
      <c r="D784" s="5" t="s">
        <v>1554</v>
      </c>
    </row>
    <row r="785" customHeight="1" spans="1:4">
      <c r="A785" s="6"/>
      <c r="B785" s="6"/>
      <c r="C785" s="1" t="s">
        <v>549</v>
      </c>
      <c r="D785" s="5" t="s">
        <v>1554</v>
      </c>
    </row>
    <row r="786" customHeight="1" spans="1:4">
      <c r="A786" s="6"/>
      <c r="B786" s="6"/>
      <c r="C786" s="1" t="s">
        <v>51</v>
      </c>
      <c r="D786" s="5" t="s">
        <v>1554</v>
      </c>
    </row>
    <row r="787" customHeight="1" spans="1:4">
      <c r="A787" s="6"/>
      <c r="B787" s="6"/>
      <c r="C787" s="1" t="s">
        <v>1500</v>
      </c>
      <c r="D787" s="5" t="s">
        <v>1554</v>
      </c>
    </row>
    <row r="788" customHeight="1" spans="1:4">
      <c r="A788" s="6"/>
      <c r="B788" s="6"/>
      <c r="C788" s="1" t="s">
        <v>594</v>
      </c>
      <c r="D788" s="5" t="s">
        <v>1554</v>
      </c>
    </row>
    <row r="789" customHeight="1" spans="1:4">
      <c r="A789" s="6"/>
      <c r="B789" s="6"/>
      <c r="C789" s="1" t="s">
        <v>900</v>
      </c>
      <c r="D789" s="5" t="s">
        <v>1554</v>
      </c>
    </row>
    <row r="790" customHeight="1" spans="1:4">
      <c r="A790" s="6"/>
      <c r="B790" s="6"/>
      <c r="C790" s="1" t="s">
        <v>49</v>
      </c>
      <c r="D790" s="5" t="s">
        <v>1554</v>
      </c>
    </row>
    <row r="791" customHeight="1" spans="1:4">
      <c r="A791" s="6"/>
      <c r="B791" s="6"/>
      <c r="C791" s="1" t="s">
        <v>272</v>
      </c>
      <c r="D791" s="5" t="s">
        <v>1554</v>
      </c>
    </row>
    <row r="792" customHeight="1" spans="1:4">
      <c r="A792" s="6"/>
      <c r="B792" s="6"/>
      <c r="C792" s="1" t="s">
        <v>863</v>
      </c>
      <c r="D792" s="5" t="s">
        <v>1554</v>
      </c>
    </row>
    <row r="793" customHeight="1" spans="1:4">
      <c r="A793" s="6"/>
      <c r="B793" s="6"/>
      <c r="C793" s="1" t="s">
        <v>596</v>
      </c>
      <c r="D793" s="5" t="s">
        <v>1554</v>
      </c>
    </row>
    <row r="794" customHeight="1" spans="1:4">
      <c r="A794" s="6"/>
      <c r="B794" s="6"/>
      <c r="C794" s="1" t="s">
        <v>1496</v>
      </c>
      <c r="D794" s="5" t="s">
        <v>1554</v>
      </c>
    </row>
    <row r="795" customHeight="1" spans="1:4">
      <c r="A795" s="6"/>
      <c r="B795" s="6"/>
      <c r="C795" s="1" t="s">
        <v>501</v>
      </c>
      <c r="D795" s="5" t="s">
        <v>1554</v>
      </c>
    </row>
    <row r="796" customHeight="1" spans="1:4">
      <c r="A796" s="6"/>
      <c r="B796" s="6"/>
      <c r="C796" s="1" t="s">
        <v>76</v>
      </c>
      <c r="D796" s="5" t="s">
        <v>1554</v>
      </c>
    </row>
    <row r="797" customHeight="1" spans="1:4">
      <c r="A797" s="6"/>
      <c r="B797" s="6"/>
      <c r="C797" s="1" t="s">
        <v>628</v>
      </c>
      <c r="D797" s="5" t="s">
        <v>1554</v>
      </c>
    </row>
    <row r="798" customHeight="1" spans="1:4">
      <c r="A798" s="6"/>
      <c r="B798" s="6"/>
      <c r="C798" s="1" t="s">
        <v>518</v>
      </c>
      <c r="D798" s="5" t="s">
        <v>1554</v>
      </c>
    </row>
    <row r="799" customHeight="1" spans="1:4">
      <c r="A799" s="6"/>
      <c r="B799" s="6"/>
      <c r="C799" s="1" t="s">
        <v>856</v>
      </c>
      <c r="D799" s="5" t="s">
        <v>1554</v>
      </c>
    </row>
    <row r="800" customHeight="1" spans="1:4">
      <c r="A800" s="6"/>
      <c r="B800" s="6"/>
      <c r="C800" s="1" t="s">
        <v>1043</v>
      </c>
      <c r="D800" s="5" t="s">
        <v>1554</v>
      </c>
    </row>
    <row r="801" customHeight="1" spans="1:4">
      <c r="A801" s="6"/>
      <c r="B801" s="6"/>
      <c r="C801" s="1" t="s">
        <v>1108</v>
      </c>
      <c r="D801" s="5" t="s">
        <v>1554</v>
      </c>
    </row>
    <row r="802" customHeight="1" spans="1:4">
      <c r="A802" s="6"/>
      <c r="B802" s="6"/>
      <c r="C802" s="1" t="s">
        <v>1281</v>
      </c>
      <c r="D802" s="5" t="s">
        <v>1554</v>
      </c>
    </row>
    <row r="803" customHeight="1" spans="1:4">
      <c r="A803" s="6"/>
      <c r="B803" s="6"/>
      <c r="C803" s="1" t="s">
        <v>686</v>
      </c>
      <c r="D803" s="5" t="s">
        <v>1554</v>
      </c>
    </row>
    <row r="804" customHeight="1" spans="1:4">
      <c r="A804" s="6"/>
      <c r="B804" s="6"/>
      <c r="C804" s="1" t="s">
        <v>808</v>
      </c>
      <c r="D804" s="5" t="s">
        <v>1554</v>
      </c>
    </row>
    <row r="805" customHeight="1" spans="1:4">
      <c r="A805" s="6"/>
      <c r="B805" s="6"/>
      <c r="C805" s="1" t="s">
        <v>593</v>
      </c>
      <c r="D805" s="5" t="s">
        <v>1554</v>
      </c>
    </row>
    <row r="806" customHeight="1" spans="1:4">
      <c r="A806" s="6"/>
      <c r="B806" s="6"/>
      <c r="C806" s="1" t="s">
        <v>1501</v>
      </c>
      <c r="D806" s="5" t="s">
        <v>1554</v>
      </c>
    </row>
    <row r="807" customHeight="1" spans="1:4">
      <c r="A807" s="6"/>
      <c r="B807" s="6"/>
      <c r="C807" s="1" t="s">
        <v>946</v>
      </c>
      <c r="D807" s="5" t="s">
        <v>1554</v>
      </c>
    </row>
    <row r="808" customHeight="1" spans="1:4">
      <c r="A808" s="6"/>
      <c r="B808" s="6"/>
      <c r="C808" s="1" t="s">
        <v>293</v>
      </c>
      <c r="D808" s="5" t="s">
        <v>1554</v>
      </c>
    </row>
    <row r="809" customHeight="1" spans="1:4">
      <c r="A809" s="6"/>
      <c r="B809" s="6"/>
      <c r="C809" s="1" t="s">
        <v>914</v>
      </c>
      <c r="D809" s="5" t="s">
        <v>1554</v>
      </c>
    </row>
    <row r="810" customHeight="1" spans="1:4">
      <c r="A810" s="6"/>
      <c r="B810" s="6"/>
      <c r="C810" s="1" t="s">
        <v>1195</v>
      </c>
      <c r="D810" s="5" t="s">
        <v>1554</v>
      </c>
    </row>
    <row r="811" customHeight="1" spans="1:4">
      <c r="A811" s="6"/>
      <c r="B811" s="6"/>
      <c r="C811" s="1" t="s">
        <v>1096</v>
      </c>
      <c r="D811" s="5" t="s">
        <v>1554</v>
      </c>
    </row>
    <row r="812" customHeight="1" spans="1:4">
      <c r="A812" s="6"/>
      <c r="B812" s="6"/>
      <c r="C812" s="1" t="s">
        <v>855</v>
      </c>
      <c r="D812" s="5" t="s">
        <v>1554</v>
      </c>
    </row>
    <row r="813" customHeight="1" spans="1:4">
      <c r="A813" s="6"/>
      <c r="B813" s="6"/>
      <c r="C813" s="1" t="s">
        <v>1503</v>
      </c>
      <c r="D813" s="5" t="s">
        <v>1554</v>
      </c>
    </row>
    <row r="814" customHeight="1" spans="1:4">
      <c r="A814" s="6"/>
      <c r="B814" s="6"/>
      <c r="C814" s="1" t="s">
        <v>464</v>
      </c>
      <c r="D814" s="5" t="s">
        <v>1554</v>
      </c>
    </row>
    <row r="815" customHeight="1" spans="1:4">
      <c r="A815" s="6"/>
      <c r="B815" s="6"/>
      <c r="C815" s="1" t="s">
        <v>483</v>
      </c>
      <c r="D815" s="5" t="s">
        <v>1554</v>
      </c>
    </row>
    <row r="816" customHeight="1" spans="1:4">
      <c r="A816" s="6"/>
      <c r="B816" s="6"/>
      <c r="C816" s="1" t="s">
        <v>736</v>
      </c>
      <c r="D816" s="5" t="s">
        <v>1554</v>
      </c>
    </row>
    <row r="817" customHeight="1" spans="1:4">
      <c r="A817" s="6"/>
      <c r="B817" s="6"/>
      <c r="C817" s="1" t="s">
        <v>1498</v>
      </c>
      <c r="D817" s="5" t="s">
        <v>1554</v>
      </c>
    </row>
    <row r="818" customHeight="1" spans="1:4">
      <c r="A818" s="6"/>
      <c r="B818" s="6"/>
      <c r="C818" s="1" t="s">
        <v>673</v>
      </c>
      <c r="D818" s="5" t="s">
        <v>1554</v>
      </c>
    </row>
    <row r="819" customHeight="1" spans="1:4">
      <c r="A819" s="6"/>
      <c r="B819" s="6"/>
      <c r="C819" s="1" t="s">
        <v>1505</v>
      </c>
      <c r="D819" s="5" t="s">
        <v>1554</v>
      </c>
    </row>
    <row r="820" customHeight="1" spans="1:4">
      <c r="A820" s="6"/>
      <c r="B820" s="6"/>
      <c r="C820" s="1" t="s">
        <v>756</v>
      </c>
      <c r="D820" s="5" t="s">
        <v>1554</v>
      </c>
    </row>
    <row r="821" customHeight="1" spans="1:4">
      <c r="A821" s="6"/>
      <c r="B821" s="6"/>
      <c r="C821" s="1" t="s">
        <v>559</v>
      </c>
      <c r="D821" s="5" t="s">
        <v>1554</v>
      </c>
    </row>
    <row r="822" customHeight="1" spans="1:4">
      <c r="A822" s="6"/>
      <c r="B822" s="6"/>
      <c r="C822" s="1" t="s">
        <v>1094</v>
      </c>
      <c r="D822" s="5" t="s">
        <v>1554</v>
      </c>
    </row>
    <row r="823" customHeight="1" spans="1:4">
      <c r="A823" s="6"/>
      <c r="B823" s="6"/>
      <c r="C823" s="1" t="s">
        <v>448</v>
      </c>
      <c r="D823" s="5" t="s">
        <v>1554</v>
      </c>
    </row>
    <row r="824" customHeight="1" spans="1:4">
      <c r="A824" s="6"/>
      <c r="B824" s="6"/>
      <c r="C824" s="1" t="s">
        <v>402</v>
      </c>
      <c r="D824" s="5" t="s">
        <v>1554</v>
      </c>
    </row>
    <row r="825" customHeight="1" spans="1:4">
      <c r="A825" s="6"/>
      <c r="B825" s="6"/>
      <c r="C825" s="1" t="s">
        <v>602</v>
      </c>
      <c r="D825" s="5" t="s">
        <v>1554</v>
      </c>
    </row>
    <row r="826" customHeight="1" spans="1:4">
      <c r="A826" s="6"/>
      <c r="B826" s="6"/>
      <c r="C826" s="1" t="s">
        <v>194</v>
      </c>
      <c r="D826" s="5" t="s">
        <v>1554</v>
      </c>
    </row>
    <row r="827" customHeight="1" spans="1:4">
      <c r="A827" s="6"/>
      <c r="B827" s="6"/>
      <c r="C827" s="1" t="s">
        <v>410</v>
      </c>
      <c r="D827" s="5" t="s">
        <v>1554</v>
      </c>
    </row>
    <row r="828" customHeight="1" spans="1:4">
      <c r="A828" s="6"/>
      <c r="B828" s="6"/>
      <c r="C828" s="1" t="s">
        <v>1507</v>
      </c>
      <c r="D828" s="5" t="s">
        <v>1554</v>
      </c>
    </row>
    <row r="829" customHeight="1" spans="1:4">
      <c r="A829" s="6"/>
      <c r="B829" s="6"/>
      <c r="C829" s="1" t="s">
        <v>314</v>
      </c>
      <c r="D829" s="5" t="s">
        <v>1554</v>
      </c>
    </row>
    <row r="830" customHeight="1" spans="1:4">
      <c r="A830" s="6"/>
      <c r="B830" s="6"/>
      <c r="C830" s="1" t="s">
        <v>1509</v>
      </c>
      <c r="D830" s="5" t="s">
        <v>1554</v>
      </c>
    </row>
    <row r="831" customHeight="1" spans="1:4">
      <c r="A831" s="6"/>
      <c r="B831" s="6"/>
      <c r="C831" s="1" t="s">
        <v>488</v>
      </c>
      <c r="D831" s="5" t="s">
        <v>1554</v>
      </c>
    </row>
    <row r="832" customHeight="1" spans="1:4">
      <c r="A832" s="6"/>
      <c r="B832" s="6"/>
      <c r="C832" s="1" t="s">
        <v>394</v>
      </c>
      <c r="D832" s="5" t="s">
        <v>1554</v>
      </c>
    </row>
    <row r="833" customHeight="1" spans="1:4">
      <c r="A833" s="6"/>
      <c r="B833" s="6"/>
      <c r="C833" s="1" t="s">
        <v>484</v>
      </c>
      <c r="D833" s="5" t="s">
        <v>1554</v>
      </c>
    </row>
    <row r="834" customHeight="1" spans="1:4">
      <c r="A834" s="6"/>
      <c r="B834" s="6"/>
      <c r="C834" s="1" t="s">
        <v>69</v>
      </c>
      <c r="D834" s="5" t="s">
        <v>1554</v>
      </c>
    </row>
    <row r="835" customHeight="1" spans="1:4">
      <c r="A835" s="6"/>
      <c r="B835" s="6"/>
      <c r="C835" s="1" t="s">
        <v>65</v>
      </c>
      <c r="D835" s="5" t="s">
        <v>1554</v>
      </c>
    </row>
    <row r="836" customHeight="1" spans="1:4">
      <c r="A836" s="6"/>
      <c r="B836" s="6"/>
      <c r="C836" s="1" t="s">
        <v>664</v>
      </c>
      <c r="D836" s="5" t="s">
        <v>1554</v>
      </c>
    </row>
    <row r="837" customHeight="1" spans="1:4">
      <c r="A837" s="6"/>
      <c r="B837" s="6"/>
      <c r="C837" s="1" t="s">
        <v>411</v>
      </c>
      <c r="D837" s="5" t="s">
        <v>1554</v>
      </c>
    </row>
    <row r="838" customHeight="1" spans="1:4">
      <c r="A838" s="6"/>
      <c r="B838" s="6"/>
      <c r="C838" s="1" t="s">
        <v>1130</v>
      </c>
      <c r="D838" s="5" t="s">
        <v>1554</v>
      </c>
    </row>
    <row r="839" customHeight="1" spans="1:4">
      <c r="A839" s="6"/>
      <c r="B839" s="6"/>
      <c r="C839" s="1" t="s">
        <v>604</v>
      </c>
      <c r="D839" s="5" t="s">
        <v>1554</v>
      </c>
    </row>
    <row r="840" customHeight="1" spans="1:4">
      <c r="A840" s="6"/>
      <c r="B840" s="6"/>
      <c r="C840" s="1" t="s">
        <v>216</v>
      </c>
      <c r="D840" s="5" t="s">
        <v>1554</v>
      </c>
    </row>
    <row r="841" customHeight="1" spans="1:4">
      <c r="A841" s="6"/>
      <c r="B841" s="6"/>
      <c r="C841" s="1" t="s">
        <v>652</v>
      </c>
      <c r="D841" s="5" t="s">
        <v>1554</v>
      </c>
    </row>
    <row r="842" customHeight="1" spans="1:4">
      <c r="A842" s="6"/>
      <c r="B842" s="6"/>
      <c r="C842" s="1" t="s">
        <v>478</v>
      </c>
      <c r="D842" s="5" t="s">
        <v>1554</v>
      </c>
    </row>
    <row r="843" customHeight="1" spans="1:4">
      <c r="A843" s="6"/>
      <c r="B843" s="6"/>
      <c r="C843" s="1" t="s">
        <v>42</v>
      </c>
      <c r="D843" s="5" t="s">
        <v>1554</v>
      </c>
    </row>
    <row r="844" customHeight="1" spans="1:4">
      <c r="A844" s="6"/>
      <c r="B844" s="6"/>
      <c r="C844" s="1" t="s">
        <v>247</v>
      </c>
      <c r="D844" s="5" t="s">
        <v>1554</v>
      </c>
    </row>
    <row r="845" customHeight="1" spans="1:4">
      <c r="A845" s="6"/>
      <c r="B845" s="6"/>
      <c r="C845" s="1" t="s">
        <v>1099</v>
      </c>
      <c r="D845" s="5" t="s">
        <v>1554</v>
      </c>
    </row>
    <row r="846" customHeight="1" spans="1:4">
      <c r="A846" s="6"/>
      <c r="B846" s="6"/>
      <c r="C846" s="1" t="s">
        <v>715</v>
      </c>
      <c r="D846" s="5" t="s">
        <v>15</v>
      </c>
    </row>
    <row r="847" customHeight="1" spans="1:4">
      <c r="A847" s="6"/>
      <c r="B847" s="6"/>
      <c r="C847" s="1" t="s">
        <v>267</v>
      </c>
      <c r="D847" s="5" t="s">
        <v>1554</v>
      </c>
    </row>
    <row r="848" customHeight="1" spans="1:4">
      <c r="A848" s="6"/>
      <c r="B848" s="6"/>
      <c r="C848" s="1" t="s">
        <v>955</v>
      </c>
      <c r="D848" s="5" t="s">
        <v>1554</v>
      </c>
    </row>
    <row r="849" customHeight="1" spans="1:4">
      <c r="A849" s="6"/>
      <c r="B849" s="6"/>
      <c r="C849" s="1" t="s">
        <v>1169</v>
      </c>
      <c r="D849" s="5" t="s">
        <v>1554</v>
      </c>
    </row>
    <row r="850" customHeight="1" spans="1:4">
      <c r="A850" s="6"/>
      <c r="B850" s="6"/>
      <c r="C850" s="1" t="s">
        <v>797</v>
      </c>
      <c r="D850" s="5" t="s">
        <v>1554</v>
      </c>
    </row>
    <row r="851" customHeight="1" spans="1:4">
      <c r="A851" s="6"/>
      <c r="B851" s="6"/>
      <c r="C851" s="1" t="s">
        <v>1190</v>
      </c>
      <c r="D851" s="5" t="s">
        <v>1554</v>
      </c>
    </row>
    <row r="852" customHeight="1" spans="1:4">
      <c r="A852" s="6"/>
      <c r="B852" s="6"/>
      <c r="C852" s="1" t="s">
        <v>403</v>
      </c>
      <c r="D852" s="5" t="s">
        <v>1554</v>
      </c>
    </row>
    <row r="853" customHeight="1" spans="1:4">
      <c r="A853" s="6"/>
      <c r="B853" s="6"/>
      <c r="C853" s="1" t="s">
        <v>982</v>
      </c>
      <c r="D853" s="5" t="s">
        <v>1554</v>
      </c>
    </row>
    <row r="854" customHeight="1" spans="1:4">
      <c r="A854" s="6"/>
      <c r="B854" s="6"/>
      <c r="C854" s="1" t="s">
        <v>1218</v>
      </c>
      <c r="D854" s="5" t="s">
        <v>1554</v>
      </c>
    </row>
    <row r="855" customHeight="1" spans="1:4">
      <c r="A855" s="6"/>
      <c r="B855" s="6"/>
      <c r="C855" s="1" t="s">
        <v>1309</v>
      </c>
      <c r="D855" s="5" t="s">
        <v>1554</v>
      </c>
    </row>
    <row r="856" customHeight="1" spans="1:4">
      <c r="A856" s="6"/>
      <c r="B856" s="6"/>
      <c r="C856" s="1" t="s">
        <v>1371</v>
      </c>
      <c r="D856" s="5" t="s">
        <v>1554</v>
      </c>
    </row>
    <row r="857" customHeight="1" spans="1:4">
      <c r="A857" s="6"/>
      <c r="B857" s="6"/>
      <c r="C857" s="1" t="s">
        <v>369</v>
      </c>
      <c r="D857" s="5" t="s">
        <v>1554</v>
      </c>
    </row>
    <row r="858" customHeight="1" spans="1:4">
      <c r="A858" s="6"/>
      <c r="B858" s="6"/>
      <c r="C858" s="1" t="s">
        <v>414</v>
      </c>
      <c r="D858" s="5" t="s">
        <v>1554</v>
      </c>
    </row>
    <row r="859" customHeight="1" spans="1:4">
      <c r="A859" s="6"/>
      <c r="B859" s="6"/>
      <c r="C859" s="1" t="s">
        <v>1199</v>
      </c>
      <c r="D859" s="5" t="s">
        <v>1554</v>
      </c>
    </row>
    <row r="860" customHeight="1" spans="1:4">
      <c r="A860" s="6"/>
      <c r="B860" s="6"/>
      <c r="C860" s="1" t="s">
        <v>717</v>
      </c>
      <c r="D860" s="5" t="s">
        <v>1554</v>
      </c>
    </row>
    <row r="861" customHeight="1" spans="1:4">
      <c r="A861" s="6"/>
      <c r="B861" s="6"/>
      <c r="C861" s="1" t="s">
        <v>365</v>
      </c>
      <c r="D861" s="5" t="s">
        <v>183</v>
      </c>
    </row>
    <row r="862" customHeight="1" spans="1:4">
      <c r="A862" s="6"/>
      <c r="B862" s="6"/>
      <c r="C862" s="1" t="s">
        <v>541</v>
      </c>
      <c r="D862" s="5" t="s">
        <v>1554</v>
      </c>
    </row>
    <row r="863" customHeight="1" spans="1:4">
      <c r="A863" s="6"/>
      <c r="B863" s="6"/>
      <c r="C863" s="1" t="s">
        <v>111</v>
      </c>
      <c r="D863" s="5" t="s">
        <v>1554</v>
      </c>
    </row>
    <row r="864" customHeight="1" spans="1:4">
      <c r="A864" s="6"/>
      <c r="B864" s="6"/>
      <c r="C864" s="1" t="s">
        <v>1513</v>
      </c>
      <c r="D864" s="5" t="s">
        <v>1554</v>
      </c>
    </row>
    <row r="865" customHeight="1" spans="1:4">
      <c r="A865" s="6"/>
      <c r="B865" s="6"/>
      <c r="C865" s="1" t="s">
        <v>620</v>
      </c>
      <c r="D865" s="5" t="s">
        <v>1554</v>
      </c>
    </row>
    <row r="866" customHeight="1" spans="1:4">
      <c r="A866" s="6"/>
      <c r="B866" s="6"/>
      <c r="C866" s="1" t="s">
        <v>232</v>
      </c>
      <c r="D866" s="5" t="s">
        <v>1554</v>
      </c>
    </row>
    <row r="867" customHeight="1" spans="1:4">
      <c r="A867" s="6"/>
      <c r="B867" s="6"/>
      <c r="C867" s="1" t="s">
        <v>219</v>
      </c>
      <c r="D867" s="5" t="s">
        <v>1554</v>
      </c>
    </row>
    <row r="868" customHeight="1" spans="1:4">
      <c r="A868" s="6"/>
      <c r="B868" s="6"/>
      <c r="C868" s="1" t="s">
        <v>156</v>
      </c>
      <c r="D868" s="5" t="s">
        <v>1554</v>
      </c>
    </row>
    <row r="869" customHeight="1" spans="1:4">
      <c r="A869" s="6"/>
      <c r="B869" s="6"/>
      <c r="C869" s="1" t="s">
        <v>52</v>
      </c>
      <c r="D869" s="5" t="s">
        <v>1554</v>
      </c>
    </row>
    <row r="870" customHeight="1" spans="1:4">
      <c r="A870" s="6"/>
      <c r="B870" s="6"/>
      <c r="C870" s="1" t="s">
        <v>70</v>
      </c>
      <c r="D870" s="5" t="s">
        <v>1554</v>
      </c>
    </row>
    <row r="871" customHeight="1" spans="1:4">
      <c r="A871" s="6"/>
      <c r="B871" s="6"/>
      <c r="C871" s="1" t="s">
        <v>74</v>
      </c>
      <c r="D871" s="5" t="s">
        <v>1554</v>
      </c>
    </row>
    <row r="872" customHeight="1" spans="1:4">
      <c r="A872" s="6"/>
      <c r="B872" s="6"/>
      <c r="C872" s="1" t="s">
        <v>420</v>
      </c>
      <c r="D872" s="5" t="s">
        <v>1554</v>
      </c>
    </row>
    <row r="873" customHeight="1" spans="1:4">
      <c r="A873" s="6"/>
      <c r="B873" s="6"/>
      <c r="C873" s="1" t="s">
        <v>690</v>
      </c>
      <c r="D873" s="5" t="s">
        <v>1554</v>
      </c>
    </row>
    <row r="874" customHeight="1" spans="1:4">
      <c r="A874" s="6"/>
      <c r="B874" s="6"/>
      <c r="C874" s="1" t="s">
        <v>222</v>
      </c>
      <c r="D874" s="5" t="s">
        <v>1554</v>
      </c>
    </row>
    <row r="875" customHeight="1" spans="1:4">
      <c r="A875" s="6"/>
      <c r="B875" s="6"/>
      <c r="C875" s="1" t="s">
        <v>114</v>
      </c>
      <c r="D875" s="5" t="s">
        <v>1554</v>
      </c>
    </row>
    <row r="876" customHeight="1" spans="1:4">
      <c r="A876" s="6"/>
      <c r="B876" s="6"/>
      <c r="C876" s="1" t="s">
        <v>817</v>
      </c>
      <c r="D876" s="5" t="s">
        <v>1554</v>
      </c>
    </row>
    <row r="877" customHeight="1" spans="1:4">
      <c r="A877" s="6"/>
      <c r="B877" s="6"/>
      <c r="C877" s="1" t="s">
        <v>508</v>
      </c>
      <c r="D877" s="5" t="s">
        <v>1554</v>
      </c>
    </row>
    <row r="878" customHeight="1" spans="1:4">
      <c r="A878" s="6"/>
      <c r="B878" s="6"/>
      <c r="C878" s="1" t="s">
        <v>944</v>
      </c>
      <c r="D878" s="5" t="s">
        <v>1554</v>
      </c>
    </row>
    <row r="879" customHeight="1" spans="1:4">
      <c r="A879" s="6"/>
      <c r="B879" s="6"/>
      <c r="C879" s="1" t="s">
        <v>1104</v>
      </c>
      <c r="D879" s="5" t="s">
        <v>1554</v>
      </c>
    </row>
    <row r="880" customHeight="1" spans="1:4">
      <c r="A880" s="6"/>
      <c r="B880" s="6"/>
      <c r="C880" s="1" t="s">
        <v>469</v>
      </c>
      <c r="D880" s="5" t="s">
        <v>1554</v>
      </c>
    </row>
    <row r="881" customHeight="1" spans="1:4">
      <c r="A881" s="6"/>
      <c r="B881" s="6"/>
      <c r="C881" s="1" t="s">
        <v>1022</v>
      </c>
      <c r="D881" s="5" t="s">
        <v>1554</v>
      </c>
    </row>
    <row r="882" customHeight="1" spans="1:4">
      <c r="A882" s="6"/>
      <c r="B882" s="6"/>
      <c r="C882" s="1" t="s">
        <v>1223</v>
      </c>
      <c r="D882" s="5" t="s">
        <v>1554</v>
      </c>
    </row>
    <row r="883" customHeight="1" spans="1:4">
      <c r="A883" s="6"/>
      <c r="B883" s="6"/>
      <c r="C883" s="1" t="s">
        <v>570</v>
      </c>
      <c r="D883" s="5" t="s">
        <v>1554</v>
      </c>
    </row>
    <row r="884" customHeight="1" spans="1:4">
      <c r="A884" s="6"/>
      <c r="B884" s="6"/>
      <c r="C884" s="1" t="s">
        <v>506</v>
      </c>
      <c r="D884" s="5" t="s">
        <v>1554</v>
      </c>
    </row>
    <row r="885" customHeight="1" spans="1:4">
      <c r="A885" s="6"/>
      <c r="B885" s="6"/>
      <c r="C885" s="1" t="s">
        <v>455</v>
      </c>
      <c r="D885" s="5" t="s">
        <v>1554</v>
      </c>
    </row>
    <row r="886" customHeight="1" spans="1:4">
      <c r="A886" s="6"/>
      <c r="B886" s="6"/>
      <c r="C886" s="1" t="s">
        <v>454</v>
      </c>
      <c r="D886" s="5" t="s">
        <v>1554</v>
      </c>
    </row>
    <row r="887" customHeight="1" spans="1:4">
      <c r="A887" s="6"/>
      <c r="B887" s="6"/>
      <c r="C887" s="1" t="s">
        <v>398</v>
      </c>
      <c r="D887" s="5" t="s">
        <v>1554</v>
      </c>
    </row>
    <row r="888" customHeight="1" spans="1:4">
      <c r="A888" s="6"/>
      <c r="B888" s="6"/>
      <c r="C888" s="1" t="s">
        <v>1515</v>
      </c>
      <c r="D888" s="5" t="s">
        <v>1554</v>
      </c>
    </row>
    <row r="889" customHeight="1" spans="1:4">
      <c r="A889" s="6"/>
      <c r="B889" s="6"/>
      <c r="C889" s="1" t="s">
        <v>920</v>
      </c>
      <c r="D889" s="5" t="s">
        <v>1554</v>
      </c>
    </row>
    <row r="890" customHeight="1" spans="1:4">
      <c r="A890" s="6"/>
      <c r="B890" s="6"/>
      <c r="C890" s="1" t="s">
        <v>564</v>
      </c>
      <c r="D890" s="5" t="s">
        <v>1554</v>
      </c>
    </row>
    <row r="891" customHeight="1" spans="1:4">
      <c r="A891" s="6"/>
      <c r="B891" s="6"/>
      <c r="C891" s="1" t="s">
        <v>1517</v>
      </c>
      <c r="D891" s="5" t="s">
        <v>1554</v>
      </c>
    </row>
    <row r="892" customHeight="1" spans="1:4">
      <c r="A892" s="6"/>
      <c r="B892" s="6"/>
      <c r="C892" s="1" t="s">
        <v>832</v>
      </c>
      <c r="D892" s="5" t="s">
        <v>1554</v>
      </c>
    </row>
    <row r="893" customHeight="1" spans="1:4">
      <c r="A893" s="6"/>
      <c r="B893" s="6"/>
      <c r="C893" s="1" t="s">
        <v>878</v>
      </c>
      <c r="D893" s="5" t="s">
        <v>1554</v>
      </c>
    </row>
    <row r="894" customHeight="1" spans="1:4">
      <c r="A894" s="6"/>
      <c r="B894" s="6"/>
      <c r="C894" s="1" t="s">
        <v>634</v>
      </c>
      <c r="D894" s="5" t="s">
        <v>1554</v>
      </c>
    </row>
    <row r="895" customHeight="1" spans="1:4">
      <c r="A895" s="6"/>
      <c r="B895" s="6"/>
      <c r="C895" s="1" t="s">
        <v>762</v>
      </c>
      <c r="D895" s="5" t="s">
        <v>1554</v>
      </c>
    </row>
    <row r="896" customHeight="1" spans="1:4">
      <c r="A896" s="6"/>
      <c r="B896" s="6"/>
      <c r="C896" s="1" t="s">
        <v>1519</v>
      </c>
      <c r="D896" s="5" t="s">
        <v>1554</v>
      </c>
    </row>
    <row r="897" customHeight="1" spans="1:4">
      <c r="A897" s="6"/>
      <c r="B897" s="6"/>
      <c r="C897" s="1" t="s">
        <v>649</v>
      </c>
      <c r="D897" s="5" t="s">
        <v>1554</v>
      </c>
    </row>
    <row r="898" customHeight="1" spans="1:4">
      <c r="A898" s="6"/>
      <c r="B898" s="6"/>
      <c r="C898" s="1" t="s">
        <v>932</v>
      </c>
      <c r="D898" s="5" t="s">
        <v>1554</v>
      </c>
    </row>
    <row r="899" customHeight="1" spans="1:4">
      <c r="A899" s="6"/>
      <c r="B899" s="6"/>
      <c r="C899" s="1" t="s">
        <v>735</v>
      </c>
      <c r="D899" s="5" t="s">
        <v>1554</v>
      </c>
    </row>
    <row r="900" customHeight="1" spans="1:4">
      <c r="A900" s="6"/>
      <c r="B900" s="6"/>
      <c r="C900" s="1" t="s">
        <v>917</v>
      </c>
      <c r="D900" s="5" t="s">
        <v>1554</v>
      </c>
    </row>
    <row r="901" customHeight="1" spans="1:4">
      <c r="A901" s="6"/>
      <c r="B901" s="6"/>
      <c r="C901" s="1" t="s">
        <v>919</v>
      </c>
      <c r="D901" s="5" t="s">
        <v>1554</v>
      </c>
    </row>
    <row r="902" customHeight="1" spans="1:4">
      <c r="A902" s="6"/>
      <c r="B902" s="6"/>
      <c r="C902" s="1" t="s">
        <v>884</v>
      </c>
      <c r="D902" s="5" t="s">
        <v>1554</v>
      </c>
    </row>
    <row r="903" customHeight="1" spans="1:4">
      <c r="A903" s="6"/>
      <c r="B903" s="6"/>
      <c r="C903" s="1" t="s">
        <v>569</v>
      </c>
      <c r="D903" s="5" t="s">
        <v>1554</v>
      </c>
    </row>
    <row r="904" customHeight="1" spans="1:4">
      <c r="A904" s="6"/>
      <c r="B904" s="6"/>
      <c r="C904" s="1" t="s">
        <v>834</v>
      </c>
      <c r="D904" s="5" t="s">
        <v>1554</v>
      </c>
    </row>
    <row r="905" customHeight="1" spans="1:4">
      <c r="A905" s="6"/>
      <c r="B905" s="6"/>
      <c r="C905" s="1" t="s">
        <v>607</v>
      </c>
      <c r="D905" s="5" t="s">
        <v>1554</v>
      </c>
    </row>
    <row r="906" customHeight="1" spans="1:4">
      <c r="A906" s="6"/>
      <c r="B906" s="6"/>
      <c r="C906" s="1" t="s">
        <v>883</v>
      </c>
      <c r="D906" s="5" t="s">
        <v>1554</v>
      </c>
    </row>
    <row r="907" customHeight="1" spans="1:4">
      <c r="A907" s="6"/>
      <c r="B907" s="6"/>
      <c r="C907" s="1" t="s">
        <v>1300</v>
      </c>
      <c r="D907" s="5" t="s">
        <v>1554</v>
      </c>
    </row>
    <row r="908" customHeight="1" spans="1:4">
      <c r="A908" s="6"/>
      <c r="B908" s="6"/>
      <c r="C908" s="1" t="s">
        <v>1255</v>
      </c>
      <c r="D908" s="5" t="s">
        <v>1554</v>
      </c>
    </row>
    <row r="909" customHeight="1" spans="1:4">
      <c r="A909" s="6"/>
      <c r="B909" s="6"/>
      <c r="C909" s="1" t="s">
        <v>1372</v>
      </c>
      <c r="D909" s="5" t="s">
        <v>1554</v>
      </c>
    </row>
    <row r="910" customHeight="1" spans="1:4">
      <c r="A910" s="6"/>
      <c r="B910" s="6"/>
      <c r="C910" s="1" t="s">
        <v>1369</v>
      </c>
      <c r="D910" s="5" t="s">
        <v>1554</v>
      </c>
    </row>
    <row r="911" customHeight="1" spans="1:4">
      <c r="A911" s="6"/>
      <c r="B911" s="6"/>
      <c r="C911" s="1" t="s">
        <v>1370</v>
      </c>
      <c r="D911" s="5" t="s">
        <v>1554</v>
      </c>
    </row>
    <row r="912" customHeight="1" spans="1:4">
      <c r="A912" s="6"/>
      <c r="B912" s="6"/>
      <c r="C912" s="1" t="s">
        <v>1333</v>
      </c>
      <c r="D912" s="5" t="s">
        <v>1554</v>
      </c>
    </row>
    <row r="913" customHeight="1" spans="1:4">
      <c r="A913" s="6"/>
      <c r="B913" s="6"/>
      <c r="C913" s="1" t="s">
        <v>1381</v>
      </c>
      <c r="D913" s="5" t="s">
        <v>1554</v>
      </c>
    </row>
    <row r="914" customHeight="1" spans="1:4">
      <c r="A914" s="6"/>
      <c r="B914" s="6"/>
      <c r="C914" s="1" t="s">
        <v>1364</v>
      </c>
      <c r="D914" s="5" t="s">
        <v>1554</v>
      </c>
    </row>
    <row r="915" customHeight="1" spans="1:4">
      <c r="A915" s="6"/>
      <c r="B915" s="6"/>
      <c r="C915" s="1" t="s">
        <v>1395</v>
      </c>
      <c r="D915" s="5" t="s">
        <v>1554</v>
      </c>
    </row>
    <row r="916" customHeight="1" spans="1:4">
      <c r="A916" s="6"/>
      <c r="B916" s="6"/>
      <c r="C916" s="1" t="s">
        <v>1406</v>
      </c>
      <c r="D916" s="5" t="s">
        <v>1554</v>
      </c>
    </row>
    <row r="917" customHeight="1" spans="1:4">
      <c r="A917" s="6"/>
      <c r="B917" s="6"/>
      <c r="C917" s="1" t="s">
        <v>1351</v>
      </c>
      <c r="D917" s="5" t="s">
        <v>1554</v>
      </c>
    </row>
    <row r="918" customHeight="1" spans="1:4">
      <c r="A918" s="6"/>
      <c r="B918" s="6"/>
      <c r="C918" s="1" t="s">
        <v>1337</v>
      </c>
      <c r="D918" s="5" t="s">
        <v>1554</v>
      </c>
    </row>
    <row r="919" customHeight="1" spans="1:4">
      <c r="A919" s="6"/>
      <c r="B919" s="6"/>
      <c r="C919" s="1" t="s">
        <v>1374</v>
      </c>
      <c r="D919" s="5" t="s">
        <v>1554</v>
      </c>
    </row>
    <row r="920" customHeight="1" spans="1:4">
      <c r="A920" s="6"/>
      <c r="B920" s="6"/>
      <c r="C920" s="1" t="s">
        <v>1389</v>
      </c>
      <c r="D920" s="5" t="s">
        <v>1554</v>
      </c>
    </row>
    <row r="921" customHeight="1" spans="1:4">
      <c r="A921" s="6"/>
      <c r="B921" s="6"/>
      <c r="C921" s="1" t="s">
        <v>1407</v>
      </c>
      <c r="D921" s="5" t="s">
        <v>1554</v>
      </c>
    </row>
    <row r="922" customHeight="1" spans="1:4">
      <c r="A922" s="6"/>
      <c r="B922" s="6"/>
      <c r="C922" s="1" t="s">
        <v>1267</v>
      </c>
      <c r="D922" s="5" t="s">
        <v>1554</v>
      </c>
    </row>
    <row r="923" customHeight="1" spans="1:4">
      <c r="A923" s="6"/>
      <c r="B923" s="6"/>
      <c r="C923" s="1" t="s">
        <v>1301</v>
      </c>
      <c r="D923" s="5" t="s">
        <v>1554</v>
      </c>
    </row>
    <row r="924" customHeight="1" spans="1:4">
      <c r="A924" s="6"/>
      <c r="B924" s="6"/>
      <c r="C924" s="1" t="s">
        <v>1403</v>
      </c>
      <c r="D924" s="5" t="s">
        <v>1554</v>
      </c>
    </row>
    <row r="925" customHeight="1" spans="1:4">
      <c r="A925" s="6"/>
      <c r="B925" s="6"/>
      <c r="C925" s="1" t="s">
        <v>1386</v>
      </c>
      <c r="D925" s="5" t="s">
        <v>1554</v>
      </c>
    </row>
    <row r="926" customHeight="1" spans="1:4">
      <c r="A926" s="6"/>
      <c r="B926" s="6"/>
      <c r="C926" s="1" t="s">
        <v>1396</v>
      </c>
      <c r="D926" s="5" t="s">
        <v>1554</v>
      </c>
    </row>
    <row r="927" customHeight="1" spans="1:4">
      <c r="A927" s="6"/>
      <c r="B927" s="6"/>
      <c r="C927" s="1" t="s">
        <v>1211</v>
      </c>
      <c r="D927" s="5" t="s">
        <v>1554</v>
      </c>
    </row>
    <row r="928" customHeight="1" spans="1:4">
      <c r="A928" s="6"/>
      <c r="B928" s="6"/>
      <c r="C928" s="1" t="s">
        <v>1384</v>
      </c>
      <c r="D928" s="5" t="s">
        <v>1554</v>
      </c>
    </row>
    <row r="929" customHeight="1" spans="1:4">
      <c r="A929" s="6"/>
      <c r="B929" s="6"/>
      <c r="C929" s="1" t="s">
        <v>1368</v>
      </c>
      <c r="D929" s="5" t="s">
        <v>1554</v>
      </c>
    </row>
    <row r="930" customHeight="1" spans="1:4">
      <c r="A930" s="6"/>
      <c r="B930" s="6"/>
      <c r="C930" s="1" t="s">
        <v>1408</v>
      </c>
      <c r="D930" s="5" t="s">
        <v>1554</v>
      </c>
    </row>
    <row r="931" customHeight="1" spans="1:4">
      <c r="A931" s="6"/>
      <c r="B931" s="6"/>
      <c r="C931" s="1" t="s">
        <v>1322</v>
      </c>
      <c r="D931" s="5" t="s">
        <v>1554</v>
      </c>
    </row>
    <row r="932" customHeight="1" spans="1:4">
      <c r="A932" s="6"/>
      <c r="B932" s="6"/>
      <c r="C932" s="1" t="s">
        <v>1399</v>
      </c>
      <c r="D932" s="5" t="s">
        <v>1554</v>
      </c>
    </row>
    <row r="933" customHeight="1" spans="1:4">
      <c r="A933" s="6"/>
      <c r="B933" s="6"/>
      <c r="C933" s="1" t="s">
        <v>1323</v>
      </c>
      <c r="D933" s="5" t="s">
        <v>1554</v>
      </c>
    </row>
    <row r="934" customHeight="1" spans="1:4">
      <c r="A934" s="6"/>
      <c r="B934" s="6"/>
      <c r="C934" s="1" t="s">
        <v>1397</v>
      </c>
      <c r="D934" s="5" t="s">
        <v>1554</v>
      </c>
    </row>
    <row r="935" customHeight="1" spans="1:4">
      <c r="A935" s="6"/>
      <c r="B935" s="6"/>
      <c r="C935" s="1" t="s">
        <v>1375</v>
      </c>
      <c r="D935" s="5" t="s">
        <v>1554</v>
      </c>
    </row>
    <row r="936" customHeight="1" spans="1:4">
      <c r="A936" s="6"/>
      <c r="B936" s="6"/>
      <c r="C936" s="1" t="s">
        <v>1414</v>
      </c>
      <c r="D936" s="5" t="s">
        <v>1554</v>
      </c>
    </row>
    <row r="937" customHeight="1" spans="1:4">
      <c r="A937" s="6"/>
      <c r="B937" s="6"/>
      <c r="C937" s="1" t="s">
        <v>1359</v>
      </c>
      <c r="D937" s="5" t="s">
        <v>1554</v>
      </c>
    </row>
    <row r="938" customHeight="1" spans="1:4">
      <c r="A938" s="6"/>
      <c r="B938" s="6"/>
      <c r="C938" s="1" t="s">
        <v>1521</v>
      </c>
      <c r="D938" s="5" t="s">
        <v>1554</v>
      </c>
    </row>
    <row r="939" customHeight="1" spans="1:4">
      <c r="A939" s="6"/>
      <c r="B939" s="6"/>
      <c r="C939" s="1" t="s">
        <v>244</v>
      </c>
      <c r="D939" s="5" t="s">
        <v>1554</v>
      </c>
    </row>
    <row r="940" customHeight="1" spans="1:4">
      <c r="A940" s="6"/>
      <c r="B940" s="6"/>
      <c r="C940" s="1" t="s">
        <v>676</v>
      </c>
      <c r="D940" s="5" t="s">
        <v>15</v>
      </c>
    </row>
    <row r="941" customHeight="1" spans="1:4">
      <c r="A941" s="6"/>
      <c r="B941" s="6"/>
      <c r="C941" s="1" t="s">
        <v>1071</v>
      </c>
      <c r="D941" s="5" t="s">
        <v>1554</v>
      </c>
    </row>
    <row r="942" customHeight="1" spans="1:4">
      <c r="A942" s="6"/>
      <c r="B942" s="6"/>
      <c r="C942" s="1" t="s">
        <v>1037</v>
      </c>
      <c r="D942" s="5" t="s">
        <v>1554</v>
      </c>
    </row>
    <row r="943" customHeight="1" spans="1:4">
      <c r="A943" s="6"/>
      <c r="B943" s="6"/>
      <c r="C943" s="1" t="s">
        <v>121</v>
      </c>
      <c r="D943" s="5" t="s">
        <v>1554</v>
      </c>
    </row>
    <row r="944" customHeight="1" spans="1:4">
      <c r="A944" s="6"/>
      <c r="B944" s="6"/>
      <c r="C944" s="1" t="s">
        <v>1048</v>
      </c>
      <c r="D944" s="5" t="s">
        <v>1554</v>
      </c>
    </row>
    <row r="945" customHeight="1" spans="1:4">
      <c r="A945" s="6"/>
      <c r="B945" s="6"/>
      <c r="C945" s="1" t="s">
        <v>459</v>
      </c>
      <c r="D945" s="5" t="s">
        <v>1554</v>
      </c>
    </row>
    <row r="946" customHeight="1" spans="1:4">
      <c r="A946" s="6"/>
      <c r="B946" s="6"/>
      <c r="C946" s="1" t="s">
        <v>432</v>
      </c>
      <c r="D946" s="5" t="s">
        <v>1554</v>
      </c>
    </row>
    <row r="947" customHeight="1" spans="1:4">
      <c r="A947" s="6"/>
      <c r="B947" s="6"/>
      <c r="C947" s="1" t="s">
        <v>1040</v>
      </c>
      <c r="D947" s="5" t="s">
        <v>1554</v>
      </c>
    </row>
    <row r="948" customHeight="1" spans="1:4">
      <c r="A948" s="6"/>
      <c r="B948" s="6"/>
      <c r="C948" s="1" t="s">
        <v>592</v>
      </c>
      <c r="D948" s="5" t="s">
        <v>1554</v>
      </c>
    </row>
    <row r="949" customHeight="1" spans="1:4">
      <c r="A949" s="6"/>
      <c r="B949" s="6"/>
      <c r="C949" s="1" t="s">
        <v>406</v>
      </c>
      <c r="D949" s="5" t="s">
        <v>1554</v>
      </c>
    </row>
    <row r="950" customHeight="1" spans="1:4">
      <c r="A950" s="6"/>
      <c r="B950" s="6"/>
      <c r="C950" s="1" t="s">
        <v>364</v>
      </c>
      <c r="D950" s="5" t="s">
        <v>1554</v>
      </c>
    </row>
    <row r="951" customHeight="1" spans="1:4">
      <c r="A951" s="6"/>
      <c r="B951" s="6"/>
      <c r="C951" s="1" t="s">
        <v>531</v>
      </c>
      <c r="D951" s="5" t="s">
        <v>1554</v>
      </c>
    </row>
    <row r="952" customHeight="1" spans="1:4">
      <c r="A952" s="6"/>
      <c r="B952" s="6"/>
      <c r="C952" s="1" t="s">
        <v>802</v>
      </c>
      <c r="D952" s="5" t="s">
        <v>1554</v>
      </c>
    </row>
    <row r="953" customHeight="1" spans="1:4">
      <c r="A953" s="6"/>
      <c r="B953" s="6"/>
      <c r="C953" s="1" t="s">
        <v>170</v>
      </c>
      <c r="D953" s="5" t="s">
        <v>1554</v>
      </c>
    </row>
    <row r="954" customHeight="1" spans="1:4">
      <c r="A954" s="6"/>
      <c r="B954" s="6"/>
      <c r="C954" s="1" t="s">
        <v>798</v>
      </c>
      <c r="D954" s="5" t="s">
        <v>1554</v>
      </c>
    </row>
    <row r="955" customHeight="1" spans="1:4">
      <c r="A955" s="6"/>
      <c r="B955" s="6"/>
      <c r="C955" s="1" t="s">
        <v>125</v>
      </c>
      <c r="D955" s="5" t="s">
        <v>1554</v>
      </c>
    </row>
    <row r="956" customHeight="1" spans="1:4">
      <c r="A956" s="6"/>
      <c r="B956" s="6"/>
      <c r="C956" s="1" t="s">
        <v>1054</v>
      </c>
      <c r="D956" s="5" t="s">
        <v>1554</v>
      </c>
    </row>
    <row r="957" customHeight="1" spans="1:4">
      <c r="A957" s="6"/>
      <c r="B957" s="6"/>
      <c r="C957" s="1" t="s">
        <v>325</v>
      </c>
      <c r="D957" s="5" t="s">
        <v>1554</v>
      </c>
    </row>
    <row r="958" customHeight="1" spans="1:4">
      <c r="A958" s="6"/>
      <c r="B958" s="6"/>
      <c r="C958" s="1" t="s">
        <v>396</v>
      </c>
      <c r="D958" s="5" t="s">
        <v>1554</v>
      </c>
    </row>
    <row r="959" customHeight="1" spans="1:4">
      <c r="A959" s="6"/>
      <c r="B959" s="6"/>
      <c r="C959" s="1" t="s">
        <v>1026</v>
      </c>
      <c r="D959" s="5" t="s">
        <v>1554</v>
      </c>
    </row>
    <row r="960" customHeight="1" spans="1:4">
      <c r="A960" s="6"/>
      <c r="B960" s="6"/>
      <c r="C960" s="1" t="s">
        <v>1527</v>
      </c>
      <c r="D960" s="5" t="s">
        <v>1554</v>
      </c>
    </row>
    <row r="961" customHeight="1" spans="1:4">
      <c r="A961" s="6"/>
      <c r="B961" s="6"/>
      <c r="C961" s="1" t="s">
        <v>612</v>
      </c>
      <c r="D961" s="5" t="s">
        <v>1554</v>
      </c>
    </row>
    <row r="962" customHeight="1" spans="1:4">
      <c r="A962" s="6"/>
      <c r="B962" s="6"/>
      <c r="C962" s="1" t="s">
        <v>1357</v>
      </c>
      <c r="D962" s="5" t="s">
        <v>1554</v>
      </c>
    </row>
    <row r="963" customHeight="1" spans="1:4">
      <c r="A963" s="6"/>
      <c r="B963" s="6"/>
      <c r="C963" s="1" t="s">
        <v>1331</v>
      </c>
      <c r="D963" s="5" t="s">
        <v>1554</v>
      </c>
    </row>
    <row r="964" customHeight="1" spans="1:4">
      <c r="A964" s="6"/>
      <c r="B964" s="6"/>
      <c r="C964" s="1" t="s">
        <v>373</v>
      </c>
      <c r="D964" s="5" t="s">
        <v>1554</v>
      </c>
    </row>
    <row r="965" customHeight="1" spans="1:4">
      <c r="A965" s="6"/>
      <c r="B965" s="6"/>
      <c r="C965" s="1" t="s">
        <v>852</v>
      </c>
      <c r="D965" s="5" t="s">
        <v>1554</v>
      </c>
    </row>
    <row r="966" customHeight="1" spans="1:4">
      <c r="A966" s="6"/>
      <c r="B966" s="6"/>
      <c r="C966" s="1" t="s">
        <v>814</v>
      </c>
      <c r="D966" s="5" t="s">
        <v>1554</v>
      </c>
    </row>
    <row r="967" customHeight="1" spans="1:4">
      <c r="A967" s="6"/>
      <c r="B967" s="6"/>
      <c r="C967" s="1" t="s">
        <v>1424</v>
      </c>
      <c r="D967" s="5" t="s">
        <v>1554</v>
      </c>
    </row>
    <row r="968" customHeight="1" spans="1:4">
      <c r="A968" s="6"/>
      <c r="B968" s="6"/>
      <c r="C968" s="1" t="s">
        <v>522</v>
      </c>
      <c r="D968" s="5" t="s">
        <v>1554</v>
      </c>
    </row>
    <row r="969" customHeight="1" spans="1:4">
      <c r="A969" s="6"/>
      <c r="B969" s="6"/>
      <c r="C969" s="1" t="s">
        <v>195</v>
      </c>
      <c r="D969" s="5" t="s">
        <v>1554</v>
      </c>
    </row>
    <row r="970" customHeight="1" spans="1:4">
      <c r="A970" s="6"/>
      <c r="B970" s="6"/>
      <c r="C970" s="1" t="s">
        <v>583</v>
      </c>
      <c r="D970" s="5" t="s">
        <v>1554</v>
      </c>
    </row>
    <row r="971" customHeight="1" spans="1:4">
      <c r="A971" s="6"/>
      <c r="B971" s="6"/>
      <c r="C971" s="1" t="s">
        <v>1533</v>
      </c>
      <c r="D971" s="5" t="s">
        <v>1554</v>
      </c>
    </row>
    <row r="972" customHeight="1" spans="1:4">
      <c r="A972" s="6"/>
      <c r="B972" s="6"/>
      <c r="C972" s="1" t="s">
        <v>533</v>
      </c>
      <c r="D972" s="5" t="s">
        <v>1554</v>
      </c>
    </row>
    <row r="973" customHeight="1" spans="1:4">
      <c r="A973" s="6"/>
      <c r="B973" s="6"/>
      <c r="C973" s="1" t="s">
        <v>804</v>
      </c>
      <c r="D973" s="5" t="s">
        <v>1554</v>
      </c>
    </row>
    <row r="974" customHeight="1" spans="1:4">
      <c r="A974" s="6"/>
      <c r="B974" s="6"/>
      <c r="C974" s="1" t="s">
        <v>665</v>
      </c>
      <c r="D974" s="5" t="s">
        <v>1554</v>
      </c>
    </row>
    <row r="975" customHeight="1" spans="1:4">
      <c r="A975" s="6"/>
      <c r="B975" s="6"/>
      <c r="C975" s="1" t="s">
        <v>360</v>
      </c>
      <c r="D975" s="5" t="s">
        <v>1554</v>
      </c>
    </row>
    <row r="976" customHeight="1" spans="1:4">
      <c r="A976" s="6"/>
      <c r="B976" s="6"/>
      <c r="C976" s="1" t="s">
        <v>61</v>
      </c>
      <c r="D976" s="5" t="s">
        <v>1554</v>
      </c>
    </row>
    <row r="977" customHeight="1" spans="1:4">
      <c r="A977" s="6"/>
      <c r="B977" s="6"/>
      <c r="C977" s="1" t="s">
        <v>255</v>
      </c>
      <c r="D977" s="5" t="s">
        <v>1554</v>
      </c>
    </row>
    <row r="978" customHeight="1" spans="1:4">
      <c r="A978" s="6"/>
      <c r="B978" s="6"/>
      <c r="C978" s="1" t="s">
        <v>120</v>
      </c>
      <c r="D978" s="5" t="s">
        <v>1554</v>
      </c>
    </row>
    <row r="979" customHeight="1" spans="1:4">
      <c r="A979" s="6"/>
      <c r="B979" s="6"/>
      <c r="C979" s="1" t="s">
        <v>477</v>
      </c>
      <c r="D979" s="5" t="s">
        <v>1554</v>
      </c>
    </row>
    <row r="980" customHeight="1" spans="1:4">
      <c r="A980" s="6"/>
      <c r="B980" s="6"/>
      <c r="C980" s="1" t="s">
        <v>192</v>
      </c>
      <c r="D980" s="5" t="s">
        <v>1554</v>
      </c>
    </row>
    <row r="981" customHeight="1" spans="1:4">
      <c r="A981" s="6"/>
      <c r="B981" s="6"/>
      <c r="C981" s="1" t="s">
        <v>91</v>
      </c>
      <c r="D981" s="5" t="s">
        <v>1554</v>
      </c>
    </row>
    <row r="982" customHeight="1" spans="1:4">
      <c r="A982" s="6"/>
      <c r="B982" s="6"/>
      <c r="C982" s="1" t="s">
        <v>390</v>
      </c>
      <c r="D982" s="5" t="s">
        <v>1554</v>
      </c>
    </row>
    <row r="983" customHeight="1" spans="1:4">
      <c r="A983" s="6"/>
      <c r="B983" s="6"/>
      <c r="C983" s="1" t="s">
        <v>71</v>
      </c>
      <c r="D983" s="5" t="s">
        <v>1554</v>
      </c>
    </row>
    <row r="984" customHeight="1" spans="1:4">
      <c r="A984" s="6"/>
      <c r="B984" s="6"/>
      <c r="C984" s="1" t="s">
        <v>376</v>
      </c>
      <c r="D984" s="5" t="s">
        <v>1554</v>
      </c>
    </row>
    <row r="985" customHeight="1" spans="1:4">
      <c r="A985" s="6"/>
      <c r="B985" s="6"/>
      <c r="C985" s="1" t="s">
        <v>172</v>
      </c>
      <c r="D985" s="5" t="s">
        <v>1554</v>
      </c>
    </row>
    <row r="986" customHeight="1" spans="1:4">
      <c r="A986" s="6"/>
      <c r="B986" s="6"/>
      <c r="C986" s="1" t="s">
        <v>467</v>
      </c>
      <c r="D986" s="5" t="s">
        <v>1554</v>
      </c>
    </row>
    <row r="987" customHeight="1" spans="1:4">
      <c r="A987" s="6"/>
      <c r="B987" s="6"/>
      <c r="C987" s="1" t="s">
        <v>755</v>
      </c>
      <c r="D987" s="5" t="s">
        <v>1554</v>
      </c>
    </row>
    <row r="988" customHeight="1" spans="1:4">
      <c r="A988" s="6"/>
      <c r="B988" s="6"/>
      <c r="C988" s="1" t="s">
        <v>248</v>
      </c>
      <c r="D988" s="5" t="s">
        <v>1554</v>
      </c>
    </row>
    <row r="989" customHeight="1" spans="1:4">
      <c r="A989" s="6"/>
      <c r="B989" s="6"/>
      <c r="C989" s="1" t="s">
        <v>372</v>
      </c>
      <c r="D989" s="5" t="s">
        <v>1554</v>
      </c>
    </row>
    <row r="990" customHeight="1" spans="1:4">
      <c r="A990" s="6"/>
      <c r="B990" s="6"/>
      <c r="C990" s="1" t="s">
        <v>1400</v>
      </c>
      <c r="D990" s="5" t="s">
        <v>1554</v>
      </c>
    </row>
    <row r="991" customHeight="1" spans="1:4">
      <c r="A991" s="6"/>
      <c r="B991" s="6"/>
      <c r="C991" s="1" t="s">
        <v>1137</v>
      </c>
      <c r="D991" s="5" t="s">
        <v>1554</v>
      </c>
    </row>
    <row r="992" customHeight="1" spans="1:4">
      <c r="A992" s="6"/>
      <c r="B992" s="6"/>
      <c r="C992" s="1" t="s">
        <v>876</v>
      </c>
      <c r="D992" s="5" t="s">
        <v>1554</v>
      </c>
    </row>
    <row r="993" customHeight="1" spans="1:4">
      <c r="A993" s="6"/>
      <c r="B993" s="6"/>
      <c r="C993" s="1" t="s">
        <v>801</v>
      </c>
      <c r="D993" s="5" t="s">
        <v>1554</v>
      </c>
    </row>
    <row r="994" customHeight="1" spans="1:4">
      <c r="A994" s="6"/>
      <c r="B994" s="6"/>
      <c r="C994" s="1" t="s">
        <v>815</v>
      </c>
      <c r="D994" s="5" t="s">
        <v>1554</v>
      </c>
    </row>
    <row r="995" customHeight="1" spans="1:4">
      <c r="A995" s="6"/>
      <c r="B995" s="6"/>
      <c r="C995" s="1" t="s">
        <v>563</v>
      </c>
      <c r="D995" s="5" t="s">
        <v>1554</v>
      </c>
    </row>
    <row r="996" customHeight="1" spans="1:4">
      <c r="A996" s="6"/>
      <c r="B996" s="6"/>
      <c r="C996" s="1" t="s">
        <v>568</v>
      </c>
      <c r="D996" s="5" t="s">
        <v>1554</v>
      </c>
    </row>
    <row r="997" customHeight="1" spans="1:4">
      <c r="A997" s="6"/>
      <c r="B997" s="6"/>
      <c r="C997" s="1" t="s">
        <v>672</v>
      </c>
      <c r="D997" s="5" t="s">
        <v>1554</v>
      </c>
    </row>
    <row r="998" customHeight="1" spans="1:4">
      <c r="A998" s="6"/>
      <c r="B998" s="6"/>
      <c r="C998" s="1" t="s">
        <v>663</v>
      </c>
      <c r="D998" s="5" t="s">
        <v>1554</v>
      </c>
    </row>
    <row r="999" customHeight="1" spans="1:4">
      <c r="A999" s="6"/>
      <c r="B999" s="6"/>
      <c r="C999" s="1" t="s">
        <v>653</v>
      </c>
      <c r="D999" s="5" t="s">
        <v>1554</v>
      </c>
    </row>
    <row r="1000" customHeight="1" spans="1:4">
      <c r="A1000" s="6"/>
      <c r="B1000" s="6"/>
      <c r="C1000" s="1" t="s">
        <v>668</v>
      </c>
      <c r="D1000" s="5" t="s">
        <v>1554</v>
      </c>
    </row>
    <row r="1001" customHeight="1" spans="1:4">
      <c r="A1001" s="6"/>
      <c r="B1001" s="6"/>
      <c r="C1001" s="1" t="s">
        <v>140</v>
      </c>
      <c r="D1001" s="5" t="s">
        <v>1554</v>
      </c>
    </row>
    <row r="1002" customHeight="1" spans="1:4">
      <c r="A1002" s="6"/>
      <c r="B1002" s="6"/>
      <c r="C1002" s="1" t="s">
        <v>1253</v>
      </c>
      <c r="D1002" s="5" t="s">
        <v>1554</v>
      </c>
    </row>
    <row r="1003" customHeight="1" spans="1:4">
      <c r="A1003" s="6"/>
      <c r="B1003" s="6"/>
      <c r="C1003" s="1" t="s">
        <v>1536</v>
      </c>
      <c r="D1003" s="5" t="s">
        <v>1554</v>
      </c>
    </row>
    <row r="1004" customHeight="1" spans="1:4">
      <c r="A1004" s="6"/>
      <c r="B1004" s="6"/>
      <c r="C1004" s="1" t="s">
        <v>1001</v>
      </c>
      <c r="D1004" s="5" t="s">
        <v>1554</v>
      </c>
    </row>
    <row r="1005" customHeight="1" spans="1:4">
      <c r="A1005" s="6"/>
      <c r="B1005" s="6"/>
      <c r="C1005" s="1" t="s">
        <v>669</v>
      </c>
      <c r="D1005" s="5" t="s">
        <v>1554</v>
      </c>
    </row>
    <row r="1006" customHeight="1" spans="1:4">
      <c r="A1006" s="6"/>
      <c r="B1006" s="6"/>
      <c r="C1006" s="1" t="s">
        <v>404</v>
      </c>
      <c r="D1006" s="5" t="s">
        <v>1554</v>
      </c>
    </row>
    <row r="1007" customHeight="1" spans="1:4">
      <c r="A1007" s="6"/>
      <c r="B1007" s="6"/>
      <c r="C1007" s="1" t="s">
        <v>1093</v>
      </c>
      <c r="D1007" s="5" t="s">
        <v>1554</v>
      </c>
    </row>
    <row r="1008" customHeight="1" spans="1:4">
      <c r="A1008" s="6"/>
      <c r="B1008" s="6"/>
      <c r="C1008" s="1" t="s">
        <v>915</v>
      </c>
      <c r="D1008" s="5" t="s">
        <v>1554</v>
      </c>
    </row>
    <row r="1009" customHeight="1" spans="1:4">
      <c r="A1009" s="6"/>
      <c r="B1009" s="6"/>
      <c r="C1009" s="1" t="s">
        <v>1243</v>
      </c>
      <c r="D1009" s="5" t="s">
        <v>1554</v>
      </c>
    </row>
    <row r="1010" customHeight="1" spans="1:4">
      <c r="A1010" s="6"/>
      <c r="B1010" s="6"/>
      <c r="C1010" s="1" t="s">
        <v>431</v>
      </c>
      <c r="D1010" s="5" t="s">
        <v>1554</v>
      </c>
    </row>
    <row r="1011" customHeight="1" spans="1:4">
      <c r="A1011" s="6"/>
      <c r="B1011" s="6"/>
      <c r="C1011" s="1" t="s">
        <v>558</v>
      </c>
      <c r="D1011" s="5" t="s">
        <v>1554</v>
      </c>
    </row>
    <row r="1012" customHeight="1" spans="1:4">
      <c r="A1012" s="6"/>
      <c r="B1012" s="6"/>
      <c r="C1012" s="1" t="s">
        <v>1059</v>
      </c>
      <c r="D1012" s="5" t="s">
        <v>1554</v>
      </c>
    </row>
    <row r="1013" customHeight="1" spans="1:4">
      <c r="A1013" s="6"/>
      <c r="B1013" s="6"/>
      <c r="C1013" s="1" t="s">
        <v>1179</v>
      </c>
      <c r="D1013" s="5" t="s">
        <v>1554</v>
      </c>
    </row>
    <row r="1014" customHeight="1" spans="1:4">
      <c r="A1014" s="6"/>
      <c r="B1014" s="6"/>
      <c r="C1014" s="1" t="s">
        <v>1131</v>
      </c>
      <c r="D1014" s="5" t="s">
        <v>1554</v>
      </c>
    </row>
    <row r="1015" customHeight="1" spans="1:4">
      <c r="A1015" s="6"/>
      <c r="B1015" s="6"/>
      <c r="C1015" s="1" t="s">
        <v>1321</v>
      </c>
      <c r="D1015" s="5" t="s">
        <v>1554</v>
      </c>
    </row>
    <row r="1016" customHeight="1" spans="1:4">
      <c r="A1016" s="6"/>
      <c r="B1016" s="6"/>
      <c r="C1016" s="1" t="s">
        <v>772</v>
      </c>
      <c r="D1016" s="5" t="s">
        <v>1554</v>
      </c>
    </row>
    <row r="1017" customHeight="1" spans="1:4">
      <c r="A1017" s="6"/>
      <c r="B1017" s="6"/>
      <c r="C1017" s="1" t="s">
        <v>337</v>
      </c>
      <c r="D1017" s="5" t="s">
        <v>1554</v>
      </c>
    </row>
    <row r="1018" customHeight="1" spans="1:4">
      <c r="A1018" s="6"/>
      <c r="B1018" s="6"/>
      <c r="C1018" s="1" t="s">
        <v>425</v>
      </c>
      <c r="D1018" s="5" t="s">
        <v>1554</v>
      </c>
    </row>
    <row r="1019" customHeight="1" spans="1:4">
      <c r="A1019" s="6"/>
      <c r="B1019" s="6"/>
      <c r="C1019" s="1" t="s">
        <v>1426</v>
      </c>
      <c r="D1019" s="5" t="s">
        <v>1554</v>
      </c>
    </row>
    <row r="1020" customHeight="1" spans="1:4">
      <c r="A1020" s="6"/>
      <c r="B1020" s="6"/>
      <c r="C1020" s="1" t="s">
        <v>1129</v>
      </c>
      <c r="D1020" s="5" t="s">
        <v>1554</v>
      </c>
    </row>
    <row r="1021" customHeight="1" spans="1:4">
      <c r="A1021" s="6"/>
      <c r="B1021" s="6"/>
      <c r="C1021" s="1" t="s">
        <v>935</v>
      </c>
      <c r="D1021" s="5" t="s">
        <v>1554</v>
      </c>
    </row>
    <row r="1022" customHeight="1" spans="1:4">
      <c r="A1022" s="6"/>
      <c r="B1022" s="6"/>
      <c r="C1022" s="1" t="s">
        <v>1034</v>
      </c>
      <c r="D1022" s="5" t="s">
        <v>1554</v>
      </c>
    </row>
    <row r="1023" customHeight="1" spans="1:4">
      <c r="A1023" s="6"/>
      <c r="B1023" s="6"/>
      <c r="C1023" s="1" t="s">
        <v>1343</v>
      </c>
      <c r="D1023" s="5" t="s">
        <v>1554</v>
      </c>
    </row>
    <row r="1024" customHeight="1" spans="1:4">
      <c r="A1024" s="6"/>
      <c r="B1024" s="6"/>
      <c r="C1024" s="1" t="s">
        <v>291</v>
      </c>
      <c r="D1024" s="5" t="s">
        <v>1554</v>
      </c>
    </row>
    <row r="1025" customHeight="1" spans="1:4">
      <c r="A1025" s="6"/>
      <c r="B1025" s="6"/>
      <c r="C1025" s="1" t="s">
        <v>666</v>
      </c>
      <c r="D1025" s="5" t="s">
        <v>1554</v>
      </c>
    </row>
    <row r="1026" customHeight="1" spans="1:4">
      <c r="A1026" s="6"/>
      <c r="B1026" s="6"/>
      <c r="C1026" s="1" t="s">
        <v>1252</v>
      </c>
      <c r="D1026" s="5" t="s">
        <v>1554</v>
      </c>
    </row>
    <row r="1027" customHeight="1" spans="1:4">
      <c r="A1027" s="6"/>
      <c r="B1027" s="6"/>
      <c r="C1027" s="1" t="s">
        <v>953</v>
      </c>
      <c r="D1027" s="5" t="s">
        <v>1554</v>
      </c>
    </row>
    <row r="1028" customHeight="1" spans="1:4">
      <c r="A1028" s="6"/>
      <c r="B1028" s="6"/>
      <c r="C1028" s="1" t="s">
        <v>1541</v>
      </c>
      <c r="D1028" s="5" t="s">
        <v>1554</v>
      </c>
    </row>
    <row r="1029" customHeight="1" spans="1:4">
      <c r="A1029" s="6"/>
      <c r="B1029" s="6"/>
      <c r="C1029" s="1" t="s">
        <v>1222</v>
      </c>
      <c r="D1029" s="5" t="s">
        <v>1554</v>
      </c>
    </row>
    <row r="1030" customHeight="1" spans="1:4">
      <c r="A1030" s="6"/>
      <c r="B1030" s="6"/>
      <c r="C1030" s="1" t="s">
        <v>370</v>
      </c>
      <c r="D1030" s="5" t="s">
        <v>1554</v>
      </c>
    </row>
    <row r="1031" customHeight="1" spans="1:4">
      <c r="A1031" s="6"/>
      <c r="B1031" s="6"/>
      <c r="C1031" s="1" t="s">
        <v>1219</v>
      </c>
      <c r="D1031" s="5" t="s">
        <v>1554</v>
      </c>
    </row>
    <row r="1032" customHeight="1" spans="1:4">
      <c r="A1032" s="6"/>
      <c r="B1032" s="6"/>
      <c r="C1032" s="1" t="s">
        <v>792</v>
      </c>
      <c r="D1032" s="5" t="s">
        <v>1554</v>
      </c>
    </row>
    <row r="1033" customHeight="1" spans="1:4">
      <c r="A1033" s="6"/>
      <c r="B1033" s="6"/>
      <c r="C1033" s="1" t="s">
        <v>1002</v>
      </c>
      <c r="D1033" s="5" t="s">
        <v>1554</v>
      </c>
    </row>
    <row r="1034" customHeight="1" spans="1:4">
      <c r="A1034" s="6"/>
      <c r="B1034" s="6"/>
      <c r="C1034" s="1" t="s">
        <v>476</v>
      </c>
      <c r="D1034" s="5" t="s">
        <v>1554</v>
      </c>
    </row>
    <row r="1035" customHeight="1" spans="1:4">
      <c r="A1035" s="6"/>
      <c r="B1035" s="6"/>
      <c r="C1035" s="1" t="s">
        <v>355</v>
      </c>
      <c r="D1035" s="5" t="s">
        <v>1554</v>
      </c>
    </row>
    <row r="1036" customHeight="1" spans="1:4">
      <c r="A1036" s="6"/>
      <c r="B1036" s="6"/>
      <c r="C1036" s="1" t="s">
        <v>1047</v>
      </c>
      <c r="D1036" s="5" t="s">
        <v>1554</v>
      </c>
    </row>
    <row r="1037" customHeight="1" spans="1:4">
      <c r="A1037" s="6"/>
      <c r="B1037" s="6"/>
      <c r="C1037" s="1" t="s">
        <v>749</v>
      </c>
      <c r="D1037" s="5" t="s">
        <v>1554</v>
      </c>
    </row>
    <row r="1038" customHeight="1" spans="1:4">
      <c r="A1038" s="6"/>
      <c r="B1038" s="6"/>
      <c r="C1038" s="1" t="s">
        <v>1196</v>
      </c>
      <c r="D1038" s="5" t="s">
        <v>1554</v>
      </c>
    </row>
    <row r="1039" customHeight="1" spans="1:4">
      <c r="A1039" s="6"/>
      <c r="B1039" s="6"/>
      <c r="C1039" s="1" t="s">
        <v>1391</v>
      </c>
      <c r="D1039" s="5" t="s">
        <v>1554</v>
      </c>
    </row>
    <row r="1040" customHeight="1" spans="1:4">
      <c r="A1040" s="6"/>
      <c r="B1040" s="6"/>
      <c r="C1040" s="1" t="s">
        <v>837</v>
      </c>
      <c r="D1040" s="5" t="s">
        <v>1554</v>
      </c>
    </row>
    <row r="1041" customHeight="1" spans="1:4">
      <c r="A1041" s="6"/>
      <c r="B1041" s="6"/>
      <c r="C1041" s="1" t="s">
        <v>1021</v>
      </c>
      <c r="D1041" s="5" t="s">
        <v>1554</v>
      </c>
    </row>
    <row r="1042" customHeight="1" spans="1:4">
      <c r="A1042" s="6"/>
      <c r="B1042" s="6"/>
      <c r="C1042" s="1" t="s">
        <v>769</v>
      </c>
      <c r="D1042" s="5" t="s">
        <v>1554</v>
      </c>
    </row>
    <row r="1043" customHeight="1" spans="1:4">
      <c r="A1043" s="6"/>
      <c r="B1043" s="6"/>
      <c r="C1043" s="1" t="s">
        <v>597</v>
      </c>
      <c r="D1043" s="5" t="s">
        <v>1554</v>
      </c>
    </row>
    <row r="1044" customHeight="1" spans="1:4">
      <c r="A1044" s="6"/>
      <c r="B1044" s="6"/>
      <c r="C1044" s="1" t="s">
        <v>601</v>
      </c>
      <c r="D1044" s="5" t="s">
        <v>1554</v>
      </c>
    </row>
    <row r="1045" customHeight="1" spans="1:4">
      <c r="A1045" s="6"/>
      <c r="B1045" s="6"/>
      <c r="C1045" s="1" t="s">
        <v>768</v>
      </c>
      <c r="D1045" s="5" t="s">
        <v>1554</v>
      </c>
    </row>
    <row r="1046" customHeight="1" spans="1:4">
      <c r="A1046" s="6"/>
      <c r="B1046" s="6"/>
      <c r="C1046" s="1" t="s">
        <v>1194</v>
      </c>
      <c r="D1046" s="5" t="s">
        <v>1554</v>
      </c>
    </row>
    <row r="1047" customHeight="1" spans="1:4">
      <c r="A1047" s="6"/>
      <c r="B1047" s="6"/>
      <c r="C1047" s="1" t="s">
        <v>161</v>
      </c>
      <c r="D1047" s="5" t="s">
        <v>1554</v>
      </c>
    </row>
    <row r="1048" customHeight="1" spans="1:4">
      <c r="A1048" s="6"/>
      <c r="B1048" s="6"/>
      <c r="C1048" s="1" t="s">
        <v>997</v>
      </c>
      <c r="D1048" s="5" t="s">
        <v>1554</v>
      </c>
    </row>
    <row r="1049" customHeight="1" spans="1:4">
      <c r="A1049" s="6"/>
      <c r="B1049" s="6"/>
      <c r="C1049" s="1" t="s">
        <v>546</v>
      </c>
      <c r="D1049" s="5" t="s">
        <v>1554</v>
      </c>
    </row>
    <row r="1050" customHeight="1" spans="1:4">
      <c r="A1050" s="6"/>
      <c r="B1050" s="6"/>
      <c r="C1050" s="1" t="s">
        <v>204</v>
      </c>
      <c r="D1050" s="5" t="s">
        <v>1554</v>
      </c>
    </row>
    <row r="1051" customHeight="1" spans="1:4">
      <c r="A1051" s="6"/>
      <c r="B1051" s="6"/>
      <c r="C1051" s="1" t="s">
        <v>886</v>
      </c>
      <c r="D1051" s="5" t="s">
        <v>1554</v>
      </c>
    </row>
    <row r="1052" customHeight="1" spans="1:4">
      <c r="A1052" s="6"/>
      <c r="B1052" s="6"/>
      <c r="C1052" s="1" t="s">
        <v>302</v>
      </c>
      <c r="D1052" s="5" t="s">
        <v>1554</v>
      </c>
    </row>
    <row r="1053" customHeight="1" spans="1:4">
      <c r="A1053" s="6"/>
      <c r="B1053" s="6"/>
      <c r="C1053" s="1" t="s">
        <v>731</v>
      </c>
      <c r="D1053" s="5" t="s">
        <v>1554</v>
      </c>
    </row>
    <row r="1054" customHeight="1" spans="1:4">
      <c r="A1054" s="6"/>
      <c r="B1054" s="6"/>
      <c r="C1054" s="1" t="s">
        <v>1295</v>
      </c>
      <c r="D1054" s="5" t="s">
        <v>1554</v>
      </c>
    </row>
    <row r="1055" customHeight="1" spans="1:4">
      <c r="A1055" s="6"/>
      <c r="B1055" s="6"/>
      <c r="C1055" s="1" t="s">
        <v>1042</v>
      </c>
      <c r="D1055" s="5" t="s">
        <v>1554</v>
      </c>
    </row>
    <row r="1056" customHeight="1" spans="1:4">
      <c r="A1056" s="6"/>
      <c r="B1056" s="6"/>
      <c r="C1056" s="1" t="s">
        <v>363</v>
      </c>
      <c r="D1056" s="5" t="s">
        <v>1554</v>
      </c>
    </row>
    <row r="1057" customHeight="1" spans="1:4">
      <c r="A1057" s="6"/>
      <c r="B1057" s="6"/>
      <c r="C1057" s="1" t="s">
        <v>606</v>
      </c>
      <c r="D1057" s="5" t="s">
        <v>1554</v>
      </c>
    </row>
    <row r="1058" customHeight="1" spans="1:4">
      <c r="A1058" s="6"/>
      <c r="B1058" s="6"/>
      <c r="C1058" s="1" t="s">
        <v>986</v>
      </c>
      <c r="D1058" s="5" t="s">
        <v>1554</v>
      </c>
    </row>
    <row r="1059" customHeight="1" spans="1:4">
      <c r="A1059" s="6"/>
      <c r="B1059" s="6"/>
      <c r="C1059" s="1" t="s">
        <v>1221</v>
      </c>
      <c r="D1059" s="5" t="s">
        <v>1554</v>
      </c>
    </row>
    <row r="1060" customHeight="1" spans="1:4">
      <c r="A1060" s="6"/>
      <c r="B1060" s="6"/>
      <c r="C1060" s="1" t="s">
        <v>1163</v>
      </c>
      <c r="D1060" s="5" t="s">
        <v>1554</v>
      </c>
    </row>
    <row r="1061" customHeight="1" spans="1:4">
      <c r="A1061" s="6"/>
      <c r="B1061" s="6"/>
      <c r="C1061" s="1" t="s">
        <v>249</v>
      </c>
      <c r="D1061" s="5" t="s">
        <v>1554</v>
      </c>
    </row>
    <row r="1062" customHeight="1" spans="1:4">
      <c r="A1062" s="6"/>
      <c r="B1062" s="6"/>
      <c r="C1062" s="1" t="s">
        <v>1073</v>
      </c>
      <c r="D1062" s="5" t="s">
        <v>1554</v>
      </c>
    </row>
    <row r="1063" customHeight="1" spans="1:4">
      <c r="A1063" s="6"/>
      <c r="B1063" s="6"/>
      <c r="C1063" s="1" t="s">
        <v>703</v>
      </c>
      <c r="D1063" s="5" t="s">
        <v>1554</v>
      </c>
    </row>
    <row r="1064" customHeight="1" spans="1:4">
      <c r="A1064" s="6"/>
      <c r="B1064" s="6"/>
      <c r="C1064" s="1" t="s">
        <v>1335</v>
      </c>
      <c r="D1064" s="5" t="s">
        <v>1554</v>
      </c>
    </row>
    <row r="1065" customHeight="1" spans="1:4">
      <c r="A1065" s="6"/>
      <c r="B1065" s="6"/>
      <c r="C1065" s="1" t="s">
        <v>1392</v>
      </c>
      <c r="D1065" s="5" t="s">
        <v>1554</v>
      </c>
    </row>
    <row r="1066" customHeight="1" spans="1:4">
      <c r="A1066" s="6"/>
      <c r="B1066" s="6"/>
      <c r="C1066" s="1" t="s">
        <v>1545</v>
      </c>
      <c r="D1066" s="5" t="s">
        <v>1554</v>
      </c>
    </row>
    <row r="1067" customHeight="1" spans="1:4">
      <c r="A1067" s="10" t="s">
        <v>1556</v>
      </c>
      <c r="B1067" s="10"/>
      <c r="C1067" s="10"/>
      <c r="D1067" s="6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workbookViewId="0">
      <selection activeCell="A1" sqref="A1"/>
    </sheetView>
  </sheetViews>
  <sheetFormatPr defaultColWidth="14.4259259259259" defaultRowHeight="15" customHeight="1"/>
  <cols>
    <col min="1" max="1" width="9.57407407407407" customWidth="1"/>
    <col min="2" max="2" width="94.5740740740741" customWidth="1"/>
  </cols>
  <sheetData>
    <row r="1" customHeight="1" spans="1:26">
      <c r="A1" s="64" t="s">
        <v>1559</v>
      </c>
      <c r="B1" s="65" t="s">
        <v>1560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customHeight="1" spans="1:26">
      <c r="A2" s="53" t="b">
        <v>1</v>
      </c>
      <c r="B2" s="66" t="s">
        <v>1561</v>
      </c>
    </row>
    <row r="3" customHeight="1" spans="1:26">
      <c r="A3" s="67" t="b">
        <v>0</v>
      </c>
      <c r="B3" s="66" t="s">
        <v>1562</v>
      </c>
    </row>
    <row r="4" customHeight="1" spans="1:26">
      <c r="A4" s="53" t="b">
        <v>1</v>
      </c>
      <c r="B4" s="66" t="s">
        <v>1563</v>
      </c>
    </row>
    <row r="5" customHeight="1" spans="1:26">
      <c r="A5" s="53" t="b">
        <v>0</v>
      </c>
      <c r="B5" s="66" t="s">
        <v>1564</v>
      </c>
    </row>
    <row r="6" customHeight="1" spans="1:26">
      <c r="A6" s="53" t="b">
        <v>0</v>
      </c>
      <c r="B6" s="66" t="s">
        <v>1565</v>
      </c>
    </row>
    <row r="7" customHeight="1" spans="1:26">
      <c r="A7" s="53" t="b">
        <v>0</v>
      </c>
      <c r="B7" s="66" t="s">
        <v>1566</v>
      </c>
    </row>
    <row r="8" customHeight="1" spans="1:26">
      <c r="A8" s="53" t="b">
        <v>0</v>
      </c>
      <c r="B8" s="66" t="s">
        <v>1567</v>
      </c>
    </row>
    <row r="9" customHeight="1" spans="1:26">
      <c r="A9" s="53" t="b">
        <v>0</v>
      </c>
      <c r="B9" s="66" t="s">
        <v>1568</v>
      </c>
    </row>
    <row r="10" customHeight="1" spans="1:26">
      <c r="A10" s="53" t="b">
        <v>0</v>
      </c>
      <c r="B10" s="66" t="s">
        <v>1569</v>
      </c>
    </row>
    <row r="11" customHeight="1" spans="1:26">
      <c r="B11" s="68"/>
    </row>
    <row r="12" customHeight="1" spans="1:26">
      <c r="B12" s="68"/>
    </row>
    <row r="13" customHeight="1" spans="1:26">
      <c r="B13" s="68"/>
    </row>
    <row r="14" customHeight="1" spans="1:26">
      <c r="B14" s="68"/>
    </row>
    <row r="15" customHeight="1" spans="1:26">
      <c r="B15" s="68"/>
    </row>
    <row r="16" customHeight="1" spans="1:26">
      <c r="B16" s="68"/>
    </row>
    <row r="17" customHeight="1" spans="2:2">
      <c r="B17" s="68"/>
    </row>
    <row r="18" customHeight="1" spans="2:2">
      <c r="B18" s="68"/>
    </row>
    <row r="19" customHeight="1" spans="2:2">
      <c r="B19" s="68"/>
    </row>
    <row r="20" customHeight="1" spans="2:2">
      <c r="B20" s="68"/>
    </row>
    <row r="21" customHeight="1" spans="2:2">
      <c r="B21" s="68"/>
    </row>
    <row r="22" customHeight="1" spans="2:2">
      <c r="B22" s="68"/>
    </row>
    <row r="23" customHeight="1" spans="2:2">
      <c r="B23" s="68"/>
    </row>
    <row r="24" customHeight="1" spans="2:2">
      <c r="B24" s="68"/>
    </row>
    <row r="25" customHeight="1" spans="2:2">
      <c r="B25" s="68"/>
    </row>
    <row r="26" customHeight="1" spans="2:2">
      <c r="B26" s="68"/>
    </row>
    <row r="27" customHeight="1" spans="2:2">
      <c r="B27" s="68"/>
    </row>
    <row r="28" customHeight="1" spans="2:2">
      <c r="B28" s="68"/>
    </row>
    <row r="29" customHeight="1" spans="2:2">
      <c r="B29" s="68"/>
    </row>
    <row r="30" customHeight="1" spans="2:2">
      <c r="B30" s="68"/>
    </row>
    <row r="31" customHeight="1" spans="2:2">
      <c r="B31" s="68"/>
    </row>
    <row r="32" customHeight="1" spans="2:2">
      <c r="B32" s="68"/>
    </row>
    <row r="33" customHeight="1" spans="2:2">
      <c r="B33" s="68"/>
    </row>
    <row r="34" customHeight="1" spans="2:2">
      <c r="B34" s="68"/>
    </row>
    <row r="35" customHeight="1" spans="2:2">
      <c r="B35" s="68"/>
    </row>
    <row r="36" customHeight="1" spans="2:2">
      <c r="B36" s="68"/>
    </row>
    <row r="37" customHeight="1" spans="2:2">
      <c r="B37" s="68"/>
    </row>
    <row r="38" customHeight="1" spans="2:2">
      <c r="B38" s="68"/>
    </row>
    <row r="39" customHeight="1" spans="2:2">
      <c r="B39" s="68"/>
    </row>
    <row r="40" customHeight="1" spans="2:2">
      <c r="B40" s="68"/>
    </row>
    <row r="41" customHeight="1" spans="2:2">
      <c r="B41" s="68"/>
    </row>
    <row r="42" customHeight="1" spans="2:2">
      <c r="B42" s="68"/>
    </row>
    <row r="43" customHeight="1" spans="2:2">
      <c r="B43" s="68"/>
    </row>
    <row r="44" customHeight="1" spans="2:2">
      <c r="B44" s="68"/>
    </row>
    <row r="45" customHeight="1" spans="2:2">
      <c r="B45" s="68"/>
    </row>
    <row r="46" customHeight="1" spans="2:2">
      <c r="B46" s="68"/>
    </row>
    <row r="47" customHeight="1" spans="2:2">
      <c r="B47" s="68"/>
    </row>
    <row r="48" customHeight="1" spans="2:2">
      <c r="B48" s="68"/>
    </row>
    <row r="49" customHeight="1" spans="2:2">
      <c r="B49" s="68"/>
    </row>
    <row r="50" customHeight="1" spans="2:2">
      <c r="B50" s="68"/>
    </row>
    <row r="51" customHeight="1" spans="2:2">
      <c r="B51" s="68"/>
    </row>
    <row r="52" customHeight="1" spans="2:2">
      <c r="B52" s="68"/>
    </row>
    <row r="53" customHeight="1" spans="2:2">
      <c r="B53" s="68"/>
    </row>
    <row r="54" customHeight="1" spans="2:2">
      <c r="B54" s="68"/>
    </row>
    <row r="55" customHeight="1" spans="2:2">
      <c r="B55" s="68"/>
    </row>
    <row r="56" customHeight="1" spans="2:2">
      <c r="B56" s="68"/>
    </row>
    <row r="57" customHeight="1" spans="2:2">
      <c r="B57" s="68"/>
    </row>
    <row r="58" customHeight="1" spans="2:2">
      <c r="B58" s="68"/>
    </row>
    <row r="59" customHeight="1" spans="2:2">
      <c r="B59" s="68"/>
    </row>
    <row r="60" customHeight="1" spans="2:2">
      <c r="B60" s="68"/>
    </row>
    <row r="61" customHeight="1" spans="2:2">
      <c r="B61" s="68"/>
    </row>
    <row r="62" customHeight="1" spans="2:2">
      <c r="B62" s="68"/>
    </row>
    <row r="63" customHeight="1" spans="2:2">
      <c r="B63" s="68"/>
    </row>
    <row r="64" customHeight="1" spans="2:2">
      <c r="B64" s="68"/>
    </row>
    <row r="65" customHeight="1" spans="2:2">
      <c r="B65" s="68"/>
    </row>
    <row r="66" customHeight="1" spans="2:2">
      <c r="B66" s="68"/>
    </row>
    <row r="67" customHeight="1" spans="2:2">
      <c r="B67" s="68"/>
    </row>
    <row r="68" customHeight="1" spans="2:2">
      <c r="B68" s="68"/>
    </row>
    <row r="69" customHeight="1" spans="2:2">
      <c r="B69" s="68"/>
    </row>
    <row r="70" customHeight="1" spans="2:2">
      <c r="B70" s="68"/>
    </row>
    <row r="71" customHeight="1" spans="2:2">
      <c r="B71" s="68"/>
    </row>
    <row r="72" customHeight="1" spans="2:2">
      <c r="B72" s="68"/>
    </row>
    <row r="73" customHeight="1" spans="2:2">
      <c r="B73" s="68"/>
    </row>
    <row r="74" customHeight="1" spans="2:2">
      <c r="B74" s="68"/>
    </row>
    <row r="75" customHeight="1" spans="2:2">
      <c r="B75" s="68"/>
    </row>
    <row r="76" customHeight="1" spans="2:2">
      <c r="B76" s="68"/>
    </row>
    <row r="77" customHeight="1" spans="2:2">
      <c r="B77" s="68"/>
    </row>
    <row r="78" customHeight="1" spans="2:2">
      <c r="B78" s="68"/>
    </row>
    <row r="79" customHeight="1" spans="2:2">
      <c r="B79" s="68"/>
    </row>
    <row r="80" customHeight="1" spans="2:2">
      <c r="B80" s="68"/>
    </row>
    <row r="81" customHeight="1" spans="2:2">
      <c r="B81" s="68"/>
    </row>
    <row r="82" customHeight="1" spans="2:2">
      <c r="B82" s="68"/>
    </row>
    <row r="83" customHeight="1" spans="2:2">
      <c r="B83" s="68"/>
    </row>
    <row r="84" customHeight="1" spans="2:2">
      <c r="B84" s="68"/>
    </row>
    <row r="85" customHeight="1" spans="2:2">
      <c r="B85" s="68"/>
    </row>
    <row r="86" customHeight="1" spans="2:2">
      <c r="B86" s="68"/>
    </row>
    <row r="87" customHeight="1" spans="2:2">
      <c r="B87" s="68"/>
    </row>
    <row r="88" customHeight="1" spans="2:2">
      <c r="B88" s="68"/>
    </row>
    <row r="89" customHeight="1" spans="2:2">
      <c r="B89" s="68"/>
    </row>
    <row r="90" customHeight="1" spans="2:2">
      <c r="B90" s="68"/>
    </row>
    <row r="91" customHeight="1" spans="2:2">
      <c r="B91" s="68"/>
    </row>
    <row r="92" customHeight="1" spans="2:2">
      <c r="B92" s="68"/>
    </row>
    <row r="93" customHeight="1" spans="2:2">
      <c r="B93" s="68"/>
    </row>
    <row r="94" customHeight="1" spans="2:2">
      <c r="B94" s="68"/>
    </row>
    <row r="95" customHeight="1" spans="2:2">
      <c r="B95" s="68"/>
    </row>
    <row r="96" customHeight="1" spans="2:2">
      <c r="B96" s="68"/>
    </row>
    <row r="97" customHeight="1" spans="2:2">
      <c r="B97" s="68"/>
    </row>
    <row r="98" customHeight="1" spans="2:2">
      <c r="B98" s="68"/>
    </row>
    <row r="99" customHeight="1" spans="2:2">
      <c r="B99" s="68"/>
    </row>
    <row r="100" customHeight="1" spans="2:2">
      <c r="B100" s="68"/>
    </row>
    <row r="101" customHeight="1" spans="2:2">
      <c r="B101" s="68"/>
    </row>
    <row r="102" customHeight="1" spans="2:2">
      <c r="B102" s="68"/>
    </row>
    <row r="103" customHeight="1" spans="2:2">
      <c r="B103" s="68"/>
    </row>
    <row r="104" customHeight="1" spans="2:2">
      <c r="B104" s="68"/>
    </row>
    <row r="105" customHeight="1" spans="2:2">
      <c r="B105" s="68"/>
    </row>
    <row r="106" customHeight="1" spans="2:2">
      <c r="B106" s="68"/>
    </row>
    <row r="107" customHeight="1" spans="2:2">
      <c r="B107" s="68"/>
    </row>
    <row r="108" customHeight="1" spans="2:2">
      <c r="B108" s="68"/>
    </row>
    <row r="109" customHeight="1" spans="2:2">
      <c r="B109" s="68"/>
    </row>
    <row r="110" customHeight="1" spans="2:2">
      <c r="B110" s="68"/>
    </row>
    <row r="111" customHeight="1" spans="2:2">
      <c r="B111" s="68"/>
    </row>
    <row r="112" customHeight="1" spans="2:2">
      <c r="B112" s="68"/>
    </row>
    <row r="113" customHeight="1" spans="2:2">
      <c r="B113" s="68"/>
    </row>
    <row r="114" customHeight="1" spans="2:2">
      <c r="B114" s="68"/>
    </row>
    <row r="115" customHeight="1" spans="2:2">
      <c r="B115" s="68"/>
    </row>
    <row r="116" customHeight="1" spans="2:2">
      <c r="B116" s="68"/>
    </row>
    <row r="117" customHeight="1" spans="2:2">
      <c r="B117" s="68"/>
    </row>
    <row r="118" customHeight="1" spans="2:2">
      <c r="B118" s="68"/>
    </row>
    <row r="119" customHeight="1" spans="2:2">
      <c r="B119" s="68"/>
    </row>
    <row r="120" customHeight="1" spans="2:2">
      <c r="B120" s="68"/>
    </row>
    <row r="121" customHeight="1" spans="2:2">
      <c r="B121" s="68"/>
    </row>
    <row r="122" customHeight="1" spans="2:2">
      <c r="B122" s="68"/>
    </row>
    <row r="123" customHeight="1" spans="2:2">
      <c r="B123" s="68"/>
    </row>
    <row r="124" customHeight="1" spans="2:2">
      <c r="B124" s="68"/>
    </row>
    <row r="125" customHeight="1" spans="2:2">
      <c r="B125" s="68"/>
    </row>
    <row r="126" customHeight="1" spans="2:2">
      <c r="B126" s="68"/>
    </row>
    <row r="127" customHeight="1" spans="2:2">
      <c r="B127" s="68"/>
    </row>
    <row r="128" customHeight="1" spans="2:2">
      <c r="B128" s="68"/>
    </row>
    <row r="129" customHeight="1" spans="2:2">
      <c r="B129" s="68"/>
    </row>
    <row r="130" customHeight="1" spans="2:2">
      <c r="B130" s="68"/>
    </row>
    <row r="131" customHeight="1" spans="2:2">
      <c r="B131" s="68"/>
    </row>
    <row r="132" customHeight="1" spans="2:2">
      <c r="B132" s="68"/>
    </row>
    <row r="133" customHeight="1" spans="2:2">
      <c r="B133" s="68"/>
    </row>
    <row r="134" customHeight="1" spans="2:2">
      <c r="B134" s="68"/>
    </row>
    <row r="135" customHeight="1" spans="2:2">
      <c r="B135" s="68"/>
    </row>
    <row r="136" customHeight="1" spans="2:2">
      <c r="B136" s="68"/>
    </row>
    <row r="137" customHeight="1" spans="2:2">
      <c r="B137" s="68"/>
    </row>
    <row r="138" customHeight="1" spans="2:2">
      <c r="B138" s="68"/>
    </row>
    <row r="139" customHeight="1" spans="2:2">
      <c r="B139" s="68"/>
    </row>
    <row r="140" customHeight="1" spans="2:2">
      <c r="B140" s="68"/>
    </row>
    <row r="141" customHeight="1" spans="2:2">
      <c r="B141" s="68"/>
    </row>
    <row r="142" customHeight="1" spans="2:2">
      <c r="B142" s="68"/>
    </row>
    <row r="143" customHeight="1" spans="2:2">
      <c r="B143" s="68"/>
    </row>
    <row r="144" customHeight="1" spans="2:2">
      <c r="B144" s="68"/>
    </row>
    <row r="145" customHeight="1" spans="2:2">
      <c r="B145" s="68"/>
    </row>
    <row r="146" customHeight="1" spans="2:2">
      <c r="B146" s="68"/>
    </row>
    <row r="147" customHeight="1" spans="2:2">
      <c r="B147" s="68"/>
    </row>
    <row r="148" customHeight="1" spans="2:2">
      <c r="B148" s="68"/>
    </row>
    <row r="149" customHeight="1" spans="2:2">
      <c r="B149" s="68"/>
    </row>
    <row r="150" customHeight="1" spans="2:2">
      <c r="B150" s="68"/>
    </row>
    <row r="151" customHeight="1" spans="2:2">
      <c r="B151" s="68"/>
    </row>
    <row r="152" customHeight="1" spans="2:2">
      <c r="B152" s="68"/>
    </row>
    <row r="153" customHeight="1" spans="2:2">
      <c r="B153" s="68"/>
    </row>
    <row r="154" customHeight="1" spans="2:2">
      <c r="B154" s="68"/>
    </row>
    <row r="155" customHeight="1" spans="2:2">
      <c r="B155" s="68"/>
    </row>
    <row r="156" customHeight="1" spans="2:2">
      <c r="B156" s="68"/>
    </row>
    <row r="157" customHeight="1" spans="2:2">
      <c r="B157" s="68"/>
    </row>
    <row r="158" customHeight="1" spans="2:2">
      <c r="B158" s="68"/>
    </row>
    <row r="159" customHeight="1" spans="2:2">
      <c r="B159" s="68"/>
    </row>
    <row r="160" customHeight="1" spans="2:2">
      <c r="B160" s="68"/>
    </row>
    <row r="161" customHeight="1" spans="2:2">
      <c r="B161" s="68"/>
    </row>
    <row r="162" customHeight="1" spans="2:2">
      <c r="B162" s="68"/>
    </row>
    <row r="163" customHeight="1" spans="2:2">
      <c r="B163" s="68"/>
    </row>
    <row r="164" customHeight="1" spans="2:2">
      <c r="B164" s="68"/>
    </row>
    <row r="165" customHeight="1" spans="2:2">
      <c r="B165" s="68"/>
    </row>
    <row r="166" customHeight="1" spans="2:2">
      <c r="B166" s="68"/>
    </row>
    <row r="167" customHeight="1" spans="2:2">
      <c r="B167" s="68"/>
    </row>
    <row r="168" customHeight="1" spans="2:2">
      <c r="B168" s="68"/>
    </row>
    <row r="169" customHeight="1" spans="2:2">
      <c r="B169" s="68"/>
    </row>
    <row r="170" customHeight="1" spans="2:2">
      <c r="B170" s="68"/>
    </row>
    <row r="171" customHeight="1" spans="2:2">
      <c r="B171" s="68"/>
    </row>
    <row r="172" customHeight="1" spans="2:2">
      <c r="B172" s="68"/>
    </row>
    <row r="173" customHeight="1" spans="2:2">
      <c r="B173" s="68"/>
    </row>
    <row r="174" customHeight="1" spans="2:2">
      <c r="B174" s="68"/>
    </row>
    <row r="175" customHeight="1" spans="2:2">
      <c r="B175" s="68"/>
    </row>
    <row r="176" customHeight="1" spans="2:2">
      <c r="B176" s="68"/>
    </row>
    <row r="177" customHeight="1" spans="2:2">
      <c r="B177" s="68"/>
    </row>
    <row r="178" customHeight="1" spans="2:2">
      <c r="B178" s="68"/>
    </row>
    <row r="179" customHeight="1" spans="2:2">
      <c r="B179" s="68"/>
    </row>
    <row r="180" customHeight="1" spans="2:2">
      <c r="B180" s="68"/>
    </row>
    <row r="181" customHeight="1" spans="2:2">
      <c r="B181" s="68"/>
    </row>
    <row r="182" customHeight="1" spans="2:2">
      <c r="B182" s="68"/>
    </row>
    <row r="183" customHeight="1" spans="2:2">
      <c r="B183" s="68"/>
    </row>
    <row r="184" customHeight="1" spans="2:2">
      <c r="B184" s="68"/>
    </row>
    <row r="185" customHeight="1" spans="2:2">
      <c r="B185" s="68"/>
    </row>
    <row r="186" customHeight="1" spans="2:2">
      <c r="B186" s="68"/>
    </row>
    <row r="187" customHeight="1" spans="2:2">
      <c r="B187" s="68"/>
    </row>
    <row r="188" customHeight="1" spans="2:2">
      <c r="B188" s="68"/>
    </row>
    <row r="189" customHeight="1" spans="2:2">
      <c r="B189" s="68"/>
    </row>
    <row r="190" customHeight="1" spans="2:2">
      <c r="B190" s="68"/>
    </row>
    <row r="191" customHeight="1" spans="2:2">
      <c r="B191" s="68"/>
    </row>
    <row r="192" customHeight="1" spans="2:2">
      <c r="B192" s="68"/>
    </row>
    <row r="193" customHeight="1" spans="2:2">
      <c r="B193" s="68"/>
    </row>
    <row r="194" customHeight="1" spans="2:2">
      <c r="B194" s="68"/>
    </row>
    <row r="195" customHeight="1" spans="2:2">
      <c r="B195" s="68"/>
    </row>
    <row r="196" customHeight="1" spans="2:2">
      <c r="B196" s="68"/>
    </row>
    <row r="197" customHeight="1" spans="2:2">
      <c r="B197" s="68"/>
    </row>
    <row r="198" customHeight="1" spans="2:2">
      <c r="B198" s="68"/>
    </row>
    <row r="199" customHeight="1" spans="2:2">
      <c r="B199" s="68"/>
    </row>
    <row r="200" customHeight="1" spans="2:2">
      <c r="B200" s="68"/>
    </row>
    <row r="201" customHeight="1" spans="2:2">
      <c r="B201" s="68"/>
    </row>
    <row r="202" customHeight="1" spans="2:2">
      <c r="B202" s="68"/>
    </row>
    <row r="203" customHeight="1" spans="2:2">
      <c r="B203" s="68"/>
    </row>
    <row r="204" customHeight="1" spans="2:2">
      <c r="B204" s="68"/>
    </row>
    <row r="205" customHeight="1" spans="2:2">
      <c r="B205" s="68"/>
    </row>
    <row r="206" customHeight="1" spans="2:2">
      <c r="B206" s="68"/>
    </row>
    <row r="207" customHeight="1" spans="2:2">
      <c r="B207" s="68"/>
    </row>
    <row r="208" customHeight="1" spans="2:2">
      <c r="B208" s="68"/>
    </row>
    <row r="209" customHeight="1" spans="2:2">
      <c r="B209" s="68"/>
    </row>
    <row r="210" customHeight="1" spans="2:2">
      <c r="B210" s="68"/>
    </row>
    <row r="211" customHeight="1" spans="2:2">
      <c r="B211" s="68"/>
    </row>
    <row r="212" customHeight="1" spans="2:2">
      <c r="B212" s="68"/>
    </row>
    <row r="213" customHeight="1" spans="2:2">
      <c r="B213" s="68"/>
    </row>
    <row r="214" customHeight="1" spans="2:2">
      <c r="B214" s="68"/>
    </row>
    <row r="215" customHeight="1" spans="2:2">
      <c r="B215" s="68"/>
    </row>
    <row r="216" customHeight="1" spans="2:2">
      <c r="B216" s="68"/>
    </row>
    <row r="217" customHeight="1" spans="2:2">
      <c r="B217" s="68"/>
    </row>
    <row r="218" customHeight="1" spans="2:2">
      <c r="B218" s="68"/>
    </row>
    <row r="219" customHeight="1" spans="2:2">
      <c r="B219" s="68"/>
    </row>
    <row r="220" customHeight="1" spans="2:2">
      <c r="B220" s="68"/>
    </row>
    <row r="221" customHeight="1" spans="2:2">
      <c r="B221" s="68"/>
    </row>
    <row r="222" customHeight="1" spans="2:2">
      <c r="B222" s="68"/>
    </row>
    <row r="223" customHeight="1" spans="2:2">
      <c r="B223" s="68"/>
    </row>
    <row r="224" customHeight="1" spans="2:2">
      <c r="B224" s="68"/>
    </row>
    <row r="225" customHeight="1" spans="2:2">
      <c r="B225" s="68"/>
    </row>
    <row r="226" customHeight="1" spans="2:2">
      <c r="B226" s="68"/>
    </row>
    <row r="227" customHeight="1" spans="2:2">
      <c r="B227" s="68"/>
    </row>
    <row r="228" customHeight="1" spans="2:2">
      <c r="B228" s="68"/>
    </row>
    <row r="229" customHeight="1" spans="2:2">
      <c r="B229" s="68"/>
    </row>
    <row r="230" customHeight="1" spans="2:2">
      <c r="B230" s="68"/>
    </row>
    <row r="231" customHeight="1" spans="2:2">
      <c r="B231" s="68"/>
    </row>
    <row r="232" customHeight="1" spans="2:2">
      <c r="B232" s="68"/>
    </row>
    <row r="233" customHeight="1" spans="2:2">
      <c r="B233" s="68"/>
    </row>
    <row r="234" customHeight="1" spans="2:2">
      <c r="B234" s="68"/>
    </row>
    <row r="235" customHeight="1" spans="2:2">
      <c r="B235" s="68"/>
    </row>
    <row r="236" customHeight="1" spans="2:2">
      <c r="B236" s="68"/>
    </row>
    <row r="237" customHeight="1" spans="2:2">
      <c r="B237" s="68"/>
    </row>
    <row r="238" customHeight="1" spans="2:2">
      <c r="B238" s="68"/>
    </row>
    <row r="239" customHeight="1" spans="2:2">
      <c r="B239" s="68"/>
    </row>
    <row r="240" customHeight="1" spans="2:2">
      <c r="B240" s="68"/>
    </row>
    <row r="241" customHeight="1" spans="2:2">
      <c r="B241" s="68"/>
    </row>
    <row r="242" customHeight="1" spans="2:2">
      <c r="B242" s="68"/>
    </row>
    <row r="243" customHeight="1" spans="2:2">
      <c r="B243" s="68"/>
    </row>
    <row r="244" customHeight="1" spans="2:2">
      <c r="B244" s="68"/>
    </row>
    <row r="245" customHeight="1" spans="2:2">
      <c r="B245" s="68"/>
    </row>
    <row r="246" customHeight="1" spans="2:2">
      <c r="B246" s="68"/>
    </row>
    <row r="247" customHeight="1" spans="2:2">
      <c r="B247" s="68"/>
    </row>
    <row r="248" customHeight="1" spans="2:2">
      <c r="B248" s="68"/>
    </row>
    <row r="249" customHeight="1" spans="2:2">
      <c r="B249" s="68"/>
    </row>
    <row r="250" customHeight="1" spans="2:2">
      <c r="B250" s="68"/>
    </row>
    <row r="251" customHeight="1" spans="2:2">
      <c r="B251" s="68"/>
    </row>
    <row r="252" customHeight="1" spans="2:2">
      <c r="B252" s="68"/>
    </row>
    <row r="253" customHeight="1" spans="2:2">
      <c r="B253" s="68"/>
    </row>
    <row r="254" customHeight="1" spans="2:2">
      <c r="B254" s="68"/>
    </row>
    <row r="255" customHeight="1" spans="2:2">
      <c r="B255" s="68"/>
    </row>
    <row r="256" customHeight="1" spans="2:2">
      <c r="B256" s="68"/>
    </row>
    <row r="257" customHeight="1" spans="2:2">
      <c r="B257" s="68"/>
    </row>
    <row r="258" customHeight="1" spans="2:2">
      <c r="B258" s="68"/>
    </row>
    <row r="259" customHeight="1" spans="2:2">
      <c r="B259" s="68"/>
    </row>
    <row r="260" customHeight="1" spans="2:2">
      <c r="B260" s="68"/>
    </row>
    <row r="261" customHeight="1" spans="2:2">
      <c r="B261" s="68"/>
    </row>
    <row r="262" customHeight="1" spans="2:2">
      <c r="B262" s="68"/>
    </row>
    <row r="263" customHeight="1" spans="2:2">
      <c r="B263" s="68"/>
    </row>
    <row r="264" customHeight="1" spans="2:2">
      <c r="B264" s="68"/>
    </row>
    <row r="265" customHeight="1" spans="2:2">
      <c r="B265" s="68"/>
    </row>
    <row r="266" customHeight="1" spans="2:2">
      <c r="B266" s="68"/>
    </row>
    <row r="267" customHeight="1" spans="2:2">
      <c r="B267" s="68"/>
    </row>
    <row r="268" customHeight="1" spans="2:2">
      <c r="B268" s="68"/>
    </row>
    <row r="269" customHeight="1" spans="2:2">
      <c r="B269" s="68"/>
    </row>
    <row r="270" customHeight="1" spans="2:2">
      <c r="B270" s="68"/>
    </row>
    <row r="271" customHeight="1" spans="2:2">
      <c r="B271" s="68"/>
    </row>
    <row r="272" customHeight="1" spans="2:2">
      <c r="B272" s="68"/>
    </row>
    <row r="273" customHeight="1" spans="2:2">
      <c r="B273" s="68"/>
    </row>
    <row r="274" customHeight="1" spans="2:2">
      <c r="B274" s="68"/>
    </row>
    <row r="275" customHeight="1" spans="2:2">
      <c r="B275" s="68"/>
    </row>
    <row r="276" customHeight="1" spans="2:2">
      <c r="B276" s="68"/>
    </row>
    <row r="277" customHeight="1" spans="2:2">
      <c r="B277" s="68"/>
    </row>
    <row r="278" customHeight="1" spans="2:2">
      <c r="B278" s="68"/>
    </row>
    <row r="279" customHeight="1" spans="2:2">
      <c r="B279" s="68"/>
    </row>
    <row r="280" customHeight="1" spans="2:2">
      <c r="B280" s="68"/>
    </row>
    <row r="281" customHeight="1" spans="2:2">
      <c r="B281" s="68"/>
    </row>
    <row r="282" customHeight="1" spans="2:2">
      <c r="B282" s="68"/>
    </row>
    <row r="283" customHeight="1" spans="2:2">
      <c r="B283" s="68"/>
    </row>
    <row r="284" customHeight="1" spans="2:2">
      <c r="B284" s="68"/>
    </row>
    <row r="285" customHeight="1" spans="2:2">
      <c r="B285" s="68"/>
    </row>
    <row r="286" customHeight="1" spans="2:2">
      <c r="B286" s="68"/>
    </row>
    <row r="287" customHeight="1" spans="2:2">
      <c r="B287" s="68"/>
    </row>
    <row r="288" customHeight="1" spans="2:2">
      <c r="B288" s="68"/>
    </row>
    <row r="289" customHeight="1" spans="2:2">
      <c r="B289" s="68"/>
    </row>
    <row r="290" customHeight="1" spans="2:2">
      <c r="B290" s="68"/>
    </row>
    <row r="291" customHeight="1" spans="2:2">
      <c r="B291" s="68"/>
    </row>
    <row r="292" customHeight="1" spans="2:2">
      <c r="B292" s="68"/>
    </row>
    <row r="293" customHeight="1" spans="2:2">
      <c r="B293" s="68"/>
    </row>
    <row r="294" customHeight="1" spans="2:2">
      <c r="B294" s="68"/>
    </row>
    <row r="295" customHeight="1" spans="2:2">
      <c r="B295" s="68"/>
    </row>
    <row r="296" customHeight="1" spans="2:2">
      <c r="B296" s="68"/>
    </row>
    <row r="297" customHeight="1" spans="2:2">
      <c r="B297" s="68"/>
    </row>
    <row r="298" customHeight="1" spans="2:2">
      <c r="B298" s="68"/>
    </row>
    <row r="299" customHeight="1" spans="2:2">
      <c r="B299" s="68"/>
    </row>
    <row r="300" customHeight="1" spans="2:2">
      <c r="B300" s="68"/>
    </row>
    <row r="301" customHeight="1" spans="2:2">
      <c r="B301" s="68"/>
    </row>
    <row r="302" customHeight="1" spans="2:2">
      <c r="B302" s="68"/>
    </row>
    <row r="303" customHeight="1" spans="2:2">
      <c r="B303" s="68"/>
    </row>
    <row r="304" customHeight="1" spans="2:2">
      <c r="B304" s="68"/>
    </row>
    <row r="305" customHeight="1" spans="2:2">
      <c r="B305" s="68"/>
    </row>
    <row r="306" customHeight="1" spans="2:2">
      <c r="B306" s="68"/>
    </row>
    <row r="307" customHeight="1" spans="2:2">
      <c r="B307" s="68"/>
    </row>
    <row r="308" customHeight="1" spans="2:2">
      <c r="B308" s="68"/>
    </row>
    <row r="309" customHeight="1" spans="2:2">
      <c r="B309" s="68"/>
    </row>
    <row r="310" customHeight="1" spans="2:2">
      <c r="B310" s="68"/>
    </row>
    <row r="311" customHeight="1" spans="2:2">
      <c r="B311" s="68"/>
    </row>
    <row r="312" customHeight="1" spans="2:2">
      <c r="B312" s="68"/>
    </row>
    <row r="313" customHeight="1" spans="2:2">
      <c r="B313" s="68"/>
    </row>
    <row r="314" customHeight="1" spans="2:2">
      <c r="B314" s="68"/>
    </row>
    <row r="315" customHeight="1" spans="2:2">
      <c r="B315" s="68"/>
    </row>
    <row r="316" customHeight="1" spans="2:2">
      <c r="B316" s="68"/>
    </row>
    <row r="317" customHeight="1" spans="2:2">
      <c r="B317" s="68"/>
    </row>
    <row r="318" customHeight="1" spans="2:2">
      <c r="B318" s="68"/>
    </row>
    <row r="319" customHeight="1" spans="2:2">
      <c r="B319" s="68"/>
    </row>
    <row r="320" customHeight="1" spans="2:2">
      <c r="B320" s="68"/>
    </row>
    <row r="321" customHeight="1" spans="2:2">
      <c r="B321" s="68"/>
    </row>
    <row r="322" customHeight="1" spans="2:2">
      <c r="B322" s="68"/>
    </row>
    <row r="323" customHeight="1" spans="2:2">
      <c r="B323" s="68"/>
    </row>
    <row r="324" customHeight="1" spans="2:2">
      <c r="B324" s="68"/>
    </row>
    <row r="325" customHeight="1" spans="2:2">
      <c r="B325" s="68"/>
    </row>
    <row r="326" customHeight="1" spans="2:2">
      <c r="B326" s="68"/>
    </row>
    <row r="327" customHeight="1" spans="2:2">
      <c r="B327" s="68"/>
    </row>
    <row r="328" customHeight="1" spans="2:2">
      <c r="B328" s="68"/>
    </row>
    <row r="329" customHeight="1" spans="2:2">
      <c r="B329" s="68"/>
    </row>
    <row r="330" customHeight="1" spans="2:2">
      <c r="B330" s="68"/>
    </row>
    <row r="331" customHeight="1" spans="2:2">
      <c r="B331" s="68"/>
    </row>
    <row r="332" customHeight="1" spans="2:2">
      <c r="B332" s="68"/>
    </row>
    <row r="333" customHeight="1" spans="2:2">
      <c r="B333" s="68"/>
    </row>
    <row r="334" customHeight="1" spans="2:2">
      <c r="B334" s="68"/>
    </row>
    <row r="335" customHeight="1" spans="2:2">
      <c r="B335" s="68"/>
    </row>
    <row r="336" customHeight="1" spans="2:2">
      <c r="B336" s="68"/>
    </row>
    <row r="337" customHeight="1" spans="2:2">
      <c r="B337" s="68"/>
    </row>
    <row r="338" customHeight="1" spans="2:2">
      <c r="B338" s="68"/>
    </row>
    <row r="339" customHeight="1" spans="2:2">
      <c r="B339" s="68"/>
    </row>
    <row r="340" customHeight="1" spans="2:2">
      <c r="B340" s="68"/>
    </row>
    <row r="341" customHeight="1" spans="2:2">
      <c r="B341" s="68"/>
    </row>
    <row r="342" customHeight="1" spans="2:2">
      <c r="B342" s="68"/>
    </row>
    <row r="343" customHeight="1" spans="2:2">
      <c r="B343" s="68"/>
    </row>
    <row r="344" customHeight="1" spans="2:2">
      <c r="B344" s="68"/>
    </row>
    <row r="345" customHeight="1" spans="2:2">
      <c r="B345" s="68"/>
    </row>
    <row r="346" customHeight="1" spans="2:2">
      <c r="B346" s="68"/>
    </row>
    <row r="347" customHeight="1" spans="2:2">
      <c r="B347" s="68"/>
    </row>
    <row r="348" customHeight="1" spans="2:2">
      <c r="B348" s="68"/>
    </row>
    <row r="349" customHeight="1" spans="2:2">
      <c r="B349" s="68"/>
    </row>
    <row r="350" customHeight="1" spans="2:2">
      <c r="B350" s="68"/>
    </row>
    <row r="351" customHeight="1" spans="2:2">
      <c r="B351" s="68"/>
    </row>
    <row r="352" customHeight="1" spans="2:2">
      <c r="B352" s="68"/>
    </row>
    <row r="353" customHeight="1" spans="2:2">
      <c r="B353" s="68"/>
    </row>
    <row r="354" customHeight="1" spans="2:2">
      <c r="B354" s="68"/>
    </row>
    <row r="355" customHeight="1" spans="2:2">
      <c r="B355" s="68"/>
    </row>
    <row r="356" customHeight="1" spans="2:2">
      <c r="B356" s="68"/>
    </row>
    <row r="357" customHeight="1" spans="2:2">
      <c r="B357" s="68"/>
    </row>
    <row r="358" customHeight="1" spans="2:2">
      <c r="B358" s="68"/>
    </row>
    <row r="359" customHeight="1" spans="2:2">
      <c r="B359" s="68"/>
    </row>
    <row r="360" customHeight="1" spans="2:2">
      <c r="B360" s="68"/>
    </row>
    <row r="361" customHeight="1" spans="2:2">
      <c r="B361" s="68"/>
    </row>
    <row r="362" customHeight="1" spans="2:2">
      <c r="B362" s="68"/>
    </row>
    <row r="363" customHeight="1" spans="2:2">
      <c r="B363" s="68"/>
    </row>
    <row r="364" customHeight="1" spans="2:2">
      <c r="B364" s="68"/>
    </row>
    <row r="365" customHeight="1" spans="2:2">
      <c r="B365" s="68"/>
    </row>
    <row r="366" customHeight="1" spans="2:2">
      <c r="B366" s="68"/>
    </row>
    <row r="367" customHeight="1" spans="2:2">
      <c r="B367" s="68"/>
    </row>
    <row r="368" customHeight="1" spans="2:2">
      <c r="B368" s="68"/>
    </row>
    <row r="369" customHeight="1" spans="2:2">
      <c r="B369" s="68"/>
    </row>
    <row r="370" customHeight="1" spans="2:2">
      <c r="B370" s="68"/>
    </row>
    <row r="371" customHeight="1" spans="2:2">
      <c r="B371" s="68"/>
    </row>
    <row r="372" customHeight="1" spans="2:2">
      <c r="B372" s="68"/>
    </row>
    <row r="373" customHeight="1" spans="2:2">
      <c r="B373" s="68"/>
    </row>
    <row r="374" customHeight="1" spans="2:2">
      <c r="B374" s="68"/>
    </row>
    <row r="375" customHeight="1" spans="2:2">
      <c r="B375" s="68"/>
    </row>
    <row r="376" customHeight="1" spans="2:2">
      <c r="B376" s="68"/>
    </row>
    <row r="377" customHeight="1" spans="2:2">
      <c r="B377" s="68"/>
    </row>
    <row r="378" customHeight="1" spans="2:2">
      <c r="B378" s="68"/>
    </row>
    <row r="379" customHeight="1" spans="2:2">
      <c r="B379" s="68"/>
    </row>
    <row r="380" customHeight="1" spans="2:2">
      <c r="B380" s="68"/>
    </row>
    <row r="381" customHeight="1" spans="2:2">
      <c r="B381" s="68"/>
    </row>
    <row r="382" customHeight="1" spans="2:2">
      <c r="B382" s="68"/>
    </row>
    <row r="383" customHeight="1" spans="2:2">
      <c r="B383" s="68"/>
    </row>
    <row r="384" customHeight="1" spans="2:2">
      <c r="B384" s="68"/>
    </row>
    <row r="385" customHeight="1" spans="2:2">
      <c r="B385" s="68"/>
    </row>
    <row r="386" customHeight="1" spans="2:2">
      <c r="B386" s="68"/>
    </row>
    <row r="387" customHeight="1" spans="2:2">
      <c r="B387" s="68"/>
    </row>
    <row r="388" customHeight="1" spans="2:2">
      <c r="B388" s="68"/>
    </row>
    <row r="389" customHeight="1" spans="2:2">
      <c r="B389" s="68"/>
    </row>
    <row r="390" customHeight="1" spans="2:2">
      <c r="B390" s="68"/>
    </row>
    <row r="391" customHeight="1" spans="2:2">
      <c r="B391" s="68"/>
    </row>
    <row r="392" customHeight="1" spans="2:2">
      <c r="B392" s="68"/>
    </row>
    <row r="393" customHeight="1" spans="2:2">
      <c r="B393" s="68"/>
    </row>
    <row r="394" customHeight="1" spans="2:2">
      <c r="B394" s="68"/>
    </row>
    <row r="395" customHeight="1" spans="2:2">
      <c r="B395" s="68"/>
    </row>
    <row r="396" customHeight="1" spans="2:2">
      <c r="B396" s="68"/>
    </row>
    <row r="397" customHeight="1" spans="2:2">
      <c r="B397" s="68"/>
    </row>
    <row r="398" customHeight="1" spans="2:2">
      <c r="B398" s="68"/>
    </row>
    <row r="399" customHeight="1" spans="2:2">
      <c r="B399" s="68"/>
    </row>
    <row r="400" customHeight="1" spans="2:2">
      <c r="B400" s="68"/>
    </row>
    <row r="401" customHeight="1" spans="2:2">
      <c r="B401" s="68"/>
    </row>
    <row r="402" customHeight="1" spans="2:2">
      <c r="B402" s="68"/>
    </row>
    <row r="403" customHeight="1" spans="2:2">
      <c r="B403" s="68"/>
    </row>
    <row r="404" customHeight="1" spans="2:2">
      <c r="B404" s="68"/>
    </row>
    <row r="405" customHeight="1" spans="2:2">
      <c r="B405" s="68"/>
    </row>
    <row r="406" customHeight="1" spans="2:2">
      <c r="B406" s="68"/>
    </row>
    <row r="407" customHeight="1" spans="2:2">
      <c r="B407" s="68"/>
    </row>
    <row r="408" customHeight="1" spans="2:2">
      <c r="B408" s="68"/>
    </row>
    <row r="409" customHeight="1" spans="2:2">
      <c r="B409" s="68"/>
    </row>
    <row r="410" customHeight="1" spans="2:2">
      <c r="B410" s="68"/>
    </row>
    <row r="411" customHeight="1" spans="2:2">
      <c r="B411" s="68"/>
    </row>
    <row r="412" customHeight="1" spans="2:2">
      <c r="B412" s="68"/>
    </row>
    <row r="413" customHeight="1" spans="2:2">
      <c r="B413" s="68"/>
    </row>
    <row r="414" customHeight="1" spans="2:2">
      <c r="B414" s="68"/>
    </row>
    <row r="415" customHeight="1" spans="2:2">
      <c r="B415" s="68"/>
    </row>
    <row r="416" customHeight="1" spans="2:2">
      <c r="B416" s="68"/>
    </row>
    <row r="417" customHeight="1" spans="2:2">
      <c r="B417" s="68"/>
    </row>
    <row r="418" customHeight="1" spans="2:2">
      <c r="B418" s="68"/>
    </row>
    <row r="419" customHeight="1" spans="2:2">
      <c r="B419" s="68"/>
    </row>
    <row r="420" customHeight="1" spans="2:2">
      <c r="B420" s="68"/>
    </row>
    <row r="421" customHeight="1" spans="2:2">
      <c r="B421" s="68"/>
    </row>
    <row r="422" customHeight="1" spans="2:2">
      <c r="B422" s="68"/>
    </row>
    <row r="423" customHeight="1" spans="2:2">
      <c r="B423" s="68"/>
    </row>
    <row r="424" customHeight="1" spans="2:2">
      <c r="B424" s="68"/>
    </row>
    <row r="425" customHeight="1" spans="2:2">
      <c r="B425" s="68"/>
    </row>
    <row r="426" customHeight="1" spans="2:2">
      <c r="B426" s="68"/>
    </row>
    <row r="427" customHeight="1" spans="2:2">
      <c r="B427" s="68"/>
    </row>
    <row r="428" customHeight="1" spans="2:2">
      <c r="B428" s="68"/>
    </row>
    <row r="429" customHeight="1" spans="2:2">
      <c r="B429" s="68"/>
    </row>
    <row r="430" customHeight="1" spans="2:2">
      <c r="B430" s="68"/>
    </row>
    <row r="431" customHeight="1" spans="2:2">
      <c r="B431" s="68"/>
    </row>
    <row r="432" customHeight="1" spans="2:2">
      <c r="B432" s="68"/>
    </row>
    <row r="433" customHeight="1" spans="2:2">
      <c r="B433" s="68"/>
    </row>
    <row r="434" customHeight="1" spans="2:2">
      <c r="B434" s="68"/>
    </row>
    <row r="435" customHeight="1" spans="2:2">
      <c r="B435" s="68"/>
    </row>
    <row r="436" customHeight="1" spans="2:2">
      <c r="B436" s="68"/>
    </row>
    <row r="437" customHeight="1" spans="2:2">
      <c r="B437" s="68"/>
    </row>
    <row r="438" customHeight="1" spans="2:2">
      <c r="B438" s="68"/>
    </row>
    <row r="439" customHeight="1" spans="2:2">
      <c r="B439" s="68"/>
    </row>
    <row r="440" customHeight="1" spans="2:2">
      <c r="B440" s="68"/>
    </row>
    <row r="441" customHeight="1" spans="2:2">
      <c r="B441" s="68"/>
    </row>
    <row r="442" customHeight="1" spans="2:2">
      <c r="B442" s="68"/>
    </row>
    <row r="443" customHeight="1" spans="2:2">
      <c r="B443" s="68"/>
    </row>
    <row r="444" customHeight="1" spans="2:2">
      <c r="B444" s="68"/>
    </row>
    <row r="445" customHeight="1" spans="2:2">
      <c r="B445" s="68"/>
    </row>
    <row r="446" customHeight="1" spans="2:2">
      <c r="B446" s="68"/>
    </row>
    <row r="447" customHeight="1" spans="2:2">
      <c r="B447" s="68"/>
    </row>
    <row r="448" customHeight="1" spans="2:2">
      <c r="B448" s="68"/>
    </row>
    <row r="449" customHeight="1" spans="2:2">
      <c r="B449" s="68"/>
    </row>
    <row r="450" customHeight="1" spans="2:2">
      <c r="B450" s="68"/>
    </row>
    <row r="451" customHeight="1" spans="2:2">
      <c r="B451" s="68"/>
    </row>
    <row r="452" customHeight="1" spans="2:2">
      <c r="B452" s="68"/>
    </row>
    <row r="453" customHeight="1" spans="2:2">
      <c r="B453" s="68"/>
    </row>
    <row r="454" customHeight="1" spans="2:2">
      <c r="B454" s="68"/>
    </row>
    <row r="455" customHeight="1" spans="2:2">
      <c r="B455" s="68"/>
    </row>
    <row r="456" customHeight="1" spans="2:2">
      <c r="B456" s="68"/>
    </row>
    <row r="457" customHeight="1" spans="2:2">
      <c r="B457" s="68"/>
    </row>
    <row r="458" customHeight="1" spans="2:2">
      <c r="B458" s="68"/>
    </row>
    <row r="459" customHeight="1" spans="2:2">
      <c r="B459" s="68"/>
    </row>
    <row r="460" customHeight="1" spans="2:2">
      <c r="B460" s="68"/>
    </row>
    <row r="461" customHeight="1" spans="2:2">
      <c r="B461" s="68"/>
    </row>
    <row r="462" customHeight="1" spans="2:2">
      <c r="B462" s="68"/>
    </row>
    <row r="463" customHeight="1" spans="2:2">
      <c r="B463" s="68"/>
    </row>
    <row r="464" customHeight="1" spans="2:2">
      <c r="B464" s="68"/>
    </row>
    <row r="465" customHeight="1" spans="2:2">
      <c r="B465" s="68"/>
    </row>
    <row r="466" customHeight="1" spans="2:2">
      <c r="B466" s="68"/>
    </row>
    <row r="467" customHeight="1" spans="2:2">
      <c r="B467" s="68"/>
    </row>
    <row r="468" customHeight="1" spans="2:2">
      <c r="B468" s="68"/>
    </row>
    <row r="469" customHeight="1" spans="2:2">
      <c r="B469" s="68"/>
    </row>
    <row r="470" customHeight="1" spans="2:2">
      <c r="B470" s="68"/>
    </row>
    <row r="471" customHeight="1" spans="2:2">
      <c r="B471" s="68"/>
    </row>
    <row r="472" customHeight="1" spans="2:2">
      <c r="B472" s="68"/>
    </row>
    <row r="473" customHeight="1" spans="2:2">
      <c r="B473" s="68"/>
    </row>
    <row r="474" customHeight="1" spans="2:2">
      <c r="B474" s="68"/>
    </row>
    <row r="475" customHeight="1" spans="2:2">
      <c r="B475" s="68"/>
    </row>
    <row r="476" customHeight="1" spans="2:2">
      <c r="B476" s="68"/>
    </row>
    <row r="477" customHeight="1" spans="2:2">
      <c r="B477" s="68"/>
    </row>
    <row r="478" customHeight="1" spans="2:2">
      <c r="B478" s="68"/>
    </row>
    <row r="479" customHeight="1" spans="2:2">
      <c r="B479" s="68"/>
    </row>
    <row r="480" customHeight="1" spans="2:2">
      <c r="B480" s="68"/>
    </row>
    <row r="481" customHeight="1" spans="2:2">
      <c r="B481" s="68"/>
    </row>
    <row r="482" customHeight="1" spans="2:2">
      <c r="B482" s="68"/>
    </row>
    <row r="483" customHeight="1" spans="2:2">
      <c r="B483" s="68"/>
    </row>
    <row r="484" customHeight="1" spans="2:2">
      <c r="B484" s="68"/>
    </row>
    <row r="485" customHeight="1" spans="2:2">
      <c r="B485" s="68"/>
    </row>
    <row r="486" customHeight="1" spans="2:2">
      <c r="B486" s="68"/>
    </row>
    <row r="487" customHeight="1" spans="2:2">
      <c r="B487" s="68"/>
    </row>
    <row r="488" customHeight="1" spans="2:2">
      <c r="B488" s="68"/>
    </row>
    <row r="489" customHeight="1" spans="2:2">
      <c r="B489" s="68"/>
    </row>
    <row r="490" customHeight="1" spans="2:2">
      <c r="B490" s="68"/>
    </row>
    <row r="491" customHeight="1" spans="2:2">
      <c r="B491" s="68"/>
    </row>
    <row r="492" customHeight="1" spans="2:2">
      <c r="B492" s="68"/>
    </row>
    <row r="493" customHeight="1" spans="2:2">
      <c r="B493" s="68"/>
    </row>
    <row r="494" customHeight="1" spans="2:2">
      <c r="B494" s="68"/>
    </row>
    <row r="495" customHeight="1" spans="2:2">
      <c r="B495" s="68"/>
    </row>
    <row r="496" customHeight="1" spans="2:2">
      <c r="B496" s="68"/>
    </row>
    <row r="497" customHeight="1" spans="2:2">
      <c r="B497" s="68"/>
    </row>
    <row r="498" customHeight="1" spans="2:2">
      <c r="B498" s="68"/>
    </row>
    <row r="499" customHeight="1" spans="2:2">
      <c r="B499" s="68"/>
    </row>
    <row r="500" customHeight="1" spans="2:2">
      <c r="B500" s="68"/>
    </row>
    <row r="501" customHeight="1" spans="2:2">
      <c r="B501" s="68"/>
    </row>
    <row r="502" customHeight="1" spans="2:2">
      <c r="B502" s="68"/>
    </row>
    <row r="503" customHeight="1" spans="2:2">
      <c r="B503" s="68"/>
    </row>
    <row r="504" customHeight="1" spans="2:2">
      <c r="B504" s="68"/>
    </row>
    <row r="505" customHeight="1" spans="2:2">
      <c r="B505" s="68"/>
    </row>
    <row r="506" customHeight="1" spans="2:2">
      <c r="B506" s="68"/>
    </row>
    <row r="507" customHeight="1" spans="2:2">
      <c r="B507" s="68"/>
    </row>
    <row r="508" customHeight="1" spans="2:2">
      <c r="B508" s="68"/>
    </row>
    <row r="509" customHeight="1" spans="2:2">
      <c r="B509" s="68"/>
    </row>
    <row r="510" customHeight="1" spans="2:2">
      <c r="B510" s="68"/>
    </row>
    <row r="511" customHeight="1" spans="2:2">
      <c r="B511" s="68"/>
    </row>
    <row r="512" customHeight="1" spans="2:2">
      <c r="B512" s="68"/>
    </row>
    <row r="513" customHeight="1" spans="2:2">
      <c r="B513" s="68"/>
    </row>
    <row r="514" customHeight="1" spans="2:2">
      <c r="B514" s="68"/>
    </row>
    <row r="515" customHeight="1" spans="2:2">
      <c r="B515" s="68"/>
    </row>
    <row r="516" customHeight="1" spans="2:2">
      <c r="B516" s="68"/>
    </row>
    <row r="517" customHeight="1" spans="2:2">
      <c r="B517" s="68"/>
    </row>
    <row r="518" customHeight="1" spans="2:2">
      <c r="B518" s="68"/>
    </row>
    <row r="519" customHeight="1" spans="2:2">
      <c r="B519" s="68"/>
    </row>
    <row r="520" customHeight="1" spans="2:2">
      <c r="B520" s="68"/>
    </row>
    <row r="521" customHeight="1" spans="2:2">
      <c r="B521" s="68"/>
    </row>
    <row r="522" customHeight="1" spans="2:2">
      <c r="B522" s="68"/>
    </row>
    <row r="523" customHeight="1" spans="2:2">
      <c r="B523" s="68"/>
    </row>
    <row r="524" customHeight="1" spans="2:2">
      <c r="B524" s="68"/>
    </row>
    <row r="525" customHeight="1" spans="2:2">
      <c r="B525" s="68"/>
    </row>
    <row r="526" customHeight="1" spans="2:2">
      <c r="B526" s="68"/>
    </row>
    <row r="527" customHeight="1" spans="2:2">
      <c r="B527" s="68"/>
    </row>
    <row r="528" customHeight="1" spans="2:2">
      <c r="B528" s="68"/>
    </row>
    <row r="529" customHeight="1" spans="2:2">
      <c r="B529" s="68"/>
    </row>
    <row r="530" customHeight="1" spans="2:2">
      <c r="B530" s="68"/>
    </row>
    <row r="531" customHeight="1" spans="2:2">
      <c r="B531" s="68"/>
    </row>
    <row r="532" customHeight="1" spans="2:2">
      <c r="B532" s="68"/>
    </row>
    <row r="533" customHeight="1" spans="2:2">
      <c r="B533" s="68"/>
    </row>
    <row r="534" customHeight="1" spans="2:2">
      <c r="B534" s="68"/>
    </row>
    <row r="535" customHeight="1" spans="2:2">
      <c r="B535" s="68"/>
    </row>
    <row r="536" customHeight="1" spans="2:2">
      <c r="B536" s="68"/>
    </row>
    <row r="537" customHeight="1" spans="2:2">
      <c r="B537" s="68"/>
    </row>
    <row r="538" customHeight="1" spans="2:2">
      <c r="B538" s="68"/>
    </row>
    <row r="539" customHeight="1" spans="2:2">
      <c r="B539" s="68"/>
    </row>
    <row r="540" customHeight="1" spans="2:2">
      <c r="B540" s="68"/>
    </row>
    <row r="541" customHeight="1" spans="2:2">
      <c r="B541" s="68"/>
    </row>
    <row r="542" customHeight="1" spans="2:2">
      <c r="B542" s="68"/>
    </row>
    <row r="543" customHeight="1" spans="2:2">
      <c r="B543" s="68"/>
    </row>
    <row r="544" customHeight="1" spans="2:2">
      <c r="B544" s="68"/>
    </row>
    <row r="545" customHeight="1" spans="2:2">
      <c r="B545" s="68"/>
    </row>
    <row r="546" customHeight="1" spans="2:2">
      <c r="B546" s="68"/>
    </row>
    <row r="547" customHeight="1" spans="2:2">
      <c r="B547" s="68"/>
    </row>
    <row r="548" customHeight="1" spans="2:2">
      <c r="B548" s="68"/>
    </row>
    <row r="549" customHeight="1" spans="2:2">
      <c r="B549" s="68"/>
    </row>
    <row r="550" customHeight="1" spans="2:2">
      <c r="B550" s="68"/>
    </row>
    <row r="551" customHeight="1" spans="2:2">
      <c r="B551" s="68"/>
    </row>
    <row r="552" customHeight="1" spans="2:2">
      <c r="B552" s="68"/>
    </row>
    <row r="553" customHeight="1" spans="2:2">
      <c r="B553" s="68"/>
    </row>
    <row r="554" customHeight="1" spans="2:2">
      <c r="B554" s="68"/>
    </row>
    <row r="555" customHeight="1" spans="2:2">
      <c r="B555" s="68"/>
    </row>
    <row r="556" customHeight="1" spans="2:2">
      <c r="B556" s="68"/>
    </row>
    <row r="557" customHeight="1" spans="2:2">
      <c r="B557" s="68"/>
    </row>
    <row r="558" customHeight="1" spans="2:2">
      <c r="B558" s="68"/>
    </row>
    <row r="559" customHeight="1" spans="2:2">
      <c r="B559" s="68"/>
    </row>
    <row r="560" customHeight="1" spans="2:2">
      <c r="B560" s="68"/>
    </row>
    <row r="561" customHeight="1" spans="2:2">
      <c r="B561" s="68"/>
    </row>
    <row r="562" customHeight="1" spans="2:2">
      <c r="B562" s="68"/>
    </row>
    <row r="563" customHeight="1" spans="2:2">
      <c r="B563" s="68"/>
    </row>
    <row r="564" customHeight="1" spans="2:2">
      <c r="B564" s="68"/>
    </row>
    <row r="565" customHeight="1" spans="2:2">
      <c r="B565" s="68"/>
    </row>
    <row r="566" customHeight="1" spans="2:2">
      <c r="B566" s="68"/>
    </row>
    <row r="567" customHeight="1" spans="2:2">
      <c r="B567" s="68"/>
    </row>
    <row r="568" customHeight="1" spans="2:2">
      <c r="B568" s="68"/>
    </row>
    <row r="569" customHeight="1" spans="2:2">
      <c r="B569" s="68"/>
    </row>
    <row r="570" customHeight="1" spans="2:2">
      <c r="B570" s="68"/>
    </row>
    <row r="571" customHeight="1" spans="2:2">
      <c r="B571" s="68"/>
    </row>
    <row r="572" customHeight="1" spans="2:2">
      <c r="B572" s="68"/>
    </row>
    <row r="573" customHeight="1" spans="2:2">
      <c r="B573" s="68"/>
    </row>
    <row r="574" customHeight="1" spans="2:2">
      <c r="B574" s="68"/>
    </row>
    <row r="575" customHeight="1" spans="2:2">
      <c r="B575" s="68"/>
    </row>
    <row r="576" customHeight="1" spans="2:2">
      <c r="B576" s="68"/>
    </row>
    <row r="577" customHeight="1" spans="2:2">
      <c r="B577" s="68"/>
    </row>
    <row r="578" customHeight="1" spans="2:2">
      <c r="B578" s="68"/>
    </row>
    <row r="579" customHeight="1" spans="2:2">
      <c r="B579" s="68"/>
    </row>
    <row r="580" customHeight="1" spans="2:2">
      <c r="B580" s="68"/>
    </row>
    <row r="581" customHeight="1" spans="2:2">
      <c r="B581" s="68"/>
    </row>
    <row r="582" customHeight="1" spans="2:2">
      <c r="B582" s="68"/>
    </row>
    <row r="583" customHeight="1" spans="2:2">
      <c r="B583" s="68"/>
    </row>
    <row r="584" customHeight="1" spans="2:2">
      <c r="B584" s="68"/>
    </row>
    <row r="585" customHeight="1" spans="2:2">
      <c r="B585" s="68"/>
    </row>
    <row r="586" customHeight="1" spans="2:2">
      <c r="B586" s="68"/>
    </row>
    <row r="587" customHeight="1" spans="2:2">
      <c r="B587" s="68"/>
    </row>
    <row r="588" customHeight="1" spans="2:2">
      <c r="B588" s="68"/>
    </row>
    <row r="589" customHeight="1" spans="2:2">
      <c r="B589" s="68"/>
    </row>
    <row r="590" customHeight="1" spans="2:2">
      <c r="B590" s="68"/>
    </row>
    <row r="591" customHeight="1" spans="2:2">
      <c r="B591" s="68"/>
    </row>
    <row r="592" customHeight="1" spans="2:2">
      <c r="B592" s="68"/>
    </row>
    <row r="593" customHeight="1" spans="2:2">
      <c r="B593" s="68"/>
    </row>
    <row r="594" customHeight="1" spans="2:2">
      <c r="B594" s="68"/>
    </row>
    <row r="595" customHeight="1" spans="2:2">
      <c r="B595" s="68"/>
    </row>
    <row r="596" customHeight="1" spans="2:2">
      <c r="B596" s="68"/>
    </row>
    <row r="597" customHeight="1" spans="2:2">
      <c r="B597" s="68"/>
    </row>
    <row r="598" customHeight="1" spans="2:2">
      <c r="B598" s="68"/>
    </row>
    <row r="599" customHeight="1" spans="2:2">
      <c r="B599" s="68"/>
    </row>
    <row r="600" customHeight="1" spans="2:2">
      <c r="B600" s="68"/>
    </row>
    <row r="601" customHeight="1" spans="2:2">
      <c r="B601" s="68"/>
    </row>
    <row r="602" customHeight="1" spans="2:2">
      <c r="B602" s="68"/>
    </row>
    <row r="603" customHeight="1" spans="2:2">
      <c r="B603" s="68"/>
    </row>
    <row r="604" customHeight="1" spans="2:2">
      <c r="B604" s="68"/>
    </row>
    <row r="605" customHeight="1" spans="2:2">
      <c r="B605" s="68"/>
    </row>
    <row r="606" customHeight="1" spans="2:2">
      <c r="B606" s="68"/>
    </row>
    <row r="607" customHeight="1" spans="2:2">
      <c r="B607" s="68"/>
    </row>
    <row r="608" customHeight="1" spans="2:2">
      <c r="B608" s="68"/>
    </row>
    <row r="609" customHeight="1" spans="2:2">
      <c r="B609" s="68"/>
    </row>
    <row r="610" customHeight="1" spans="2:2">
      <c r="B610" s="68"/>
    </row>
    <row r="611" customHeight="1" spans="2:2">
      <c r="B611" s="68"/>
    </row>
    <row r="612" customHeight="1" spans="2:2">
      <c r="B612" s="68"/>
    </row>
    <row r="613" customHeight="1" spans="2:2">
      <c r="B613" s="68"/>
    </row>
    <row r="614" customHeight="1" spans="2:2">
      <c r="B614" s="68"/>
    </row>
    <row r="615" customHeight="1" spans="2:2">
      <c r="B615" s="68"/>
    </row>
    <row r="616" customHeight="1" spans="2:2">
      <c r="B616" s="68"/>
    </row>
    <row r="617" customHeight="1" spans="2:2">
      <c r="B617" s="68"/>
    </row>
    <row r="618" customHeight="1" spans="2:2">
      <c r="B618" s="68"/>
    </row>
    <row r="619" customHeight="1" spans="2:2">
      <c r="B619" s="68"/>
    </row>
    <row r="620" customHeight="1" spans="2:2">
      <c r="B620" s="68"/>
    </row>
    <row r="621" customHeight="1" spans="2:2">
      <c r="B621" s="68"/>
    </row>
    <row r="622" customHeight="1" spans="2:2">
      <c r="B622" s="68"/>
    </row>
    <row r="623" customHeight="1" spans="2:2">
      <c r="B623" s="68"/>
    </row>
    <row r="624" customHeight="1" spans="2:2">
      <c r="B624" s="68"/>
    </row>
    <row r="625" customHeight="1" spans="2:2">
      <c r="B625" s="68"/>
    </row>
    <row r="626" customHeight="1" spans="2:2">
      <c r="B626" s="68"/>
    </row>
    <row r="627" customHeight="1" spans="2:2">
      <c r="B627" s="68"/>
    </row>
    <row r="628" customHeight="1" spans="2:2">
      <c r="B628" s="68"/>
    </row>
    <row r="629" customHeight="1" spans="2:2">
      <c r="B629" s="68"/>
    </row>
    <row r="630" customHeight="1" spans="2:2">
      <c r="B630" s="68"/>
    </row>
    <row r="631" customHeight="1" spans="2:2">
      <c r="B631" s="68"/>
    </row>
    <row r="632" customHeight="1" spans="2:2">
      <c r="B632" s="68"/>
    </row>
    <row r="633" customHeight="1" spans="2:2">
      <c r="B633" s="68"/>
    </row>
    <row r="634" customHeight="1" spans="2:2">
      <c r="B634" s="68"/>
    </row>
    <row r="635" customHeight="1" spans="2:2">
      <c r="B635" s="68"/>
    </row>
    <row r="636" customHeight="1" spans="2:2">
      <c r="B636" s="68"/>
    </row>
    <row r="637" customHeight="1" spans="2:2">
      <c r="B637" s="68"/>
    </row>
    <row r="638" customHeight="1" spans="2:2">
      <c r="B638" s="68"/>
    </row>
    <row r="639" customHeight="1" spans="2:2">
      <c r="B639" s="68"/>
    </row>
    <row r="640" customHeight="1" spans="2:2">
      <c r="B640" s="68"/>
    </row>
    <row r="641" customHeight="1" spans="2:2">
      <c r="B641" s="68"/>
    </row>
    <row r="642" customHeight="1" spans="2:2">
      <c r="B642" s="68"/>
    </row>
    <row r="643" customHeight="1" spans="2:2">
      <c r="B643" s="68"/>
    </row>
    <row r="644" customHeight="1" spans="2:2">
      <c r="B644" s="68"/>
    </row>
    <row r="645" customHeight="1" spans="2:2">
      <c r="B645" s="68"/>
    </row>
    <row r="646" customHeight="1" spans="2:2">
      <c r="B646" s="68"/>
    </row>
    <row r="647" customHeight="1" spans="2:2">
      <c r="B647" s="68"/>
    </row>
    <row r="648" customHeight="1" spans="2:2">
      <c r="B648" s="68"/>
    </row>
    <row r="649" customHeight="1" spans="2:2">
      <c r="B649" s="68"/>
    </row>
    <row r="650" customHeight="1" spans="2:2">
      <c r="B650" s="68"/>
    </row>
    <row r="651" customHeight="1" spans="2:2">
      <c r="B651" s="68"/>
    </row>
    <row r="652" customHeight="1" spans="2:2">
      <c r="B652" s="68"/>
    </row>
    <row r="653" customHeight="1" spans="2:2">
      <c r="B653" s="68"/>
    </row>
    <row r="654" customHeight="1" spans="2:2">
      <c r="B654" s="68"/>
    </row>
    <row r="655" customHeight="1" spans="2:2">
      <c r="B655" s="68"/>
    </row>
    <row r="656" customHeight="1" spans="2:2">
      <c r="B656" s="68"/>
    </row>
    <row r="657" customHeight="1" spans="2:2">
      <c r="B657" s="68"/>
    </row>
    <row r="658" customHeight="1" spans="2:2">
      <c r="B658" s="68"/>
    </row>
    <row r="659" customHeight="1" spans="2:2">
      <c r="B659" s="68"/>
    </row>
    <row r="660" customHeight="1" spans="2:2">
      <c r="B660" s="68"/>
    </row>
    <row r="661" customHeight="1" spans="2:2">
      <c r="B661" s="68"/>
    </row>
    <row r="662" customHeight="1" spans="2:2">
      <c r="B662" s="68"/>
    </row>
    <row r="663" customHeight="1" spans="2:2">
      <c r="B663" s="68"/>
    </row>
    <row r="664" customHeight="1" spans="2:2">
      <c r="B664" s="68"/>
    </row>
    <row r="665" customHeight="1" spans="2:2">
      <c r="B665" s="68"/>
    </row>
    <row r="666" customHeight="1" spans="2:2">
      <c r="B666" s="68"/>
    </row>
    <row r="667" customHeight="1" spans="2:2">
      <c r="B667" s="68"/>
    </row>
    <row r="668" customHeight="1" spans="2:2">
      <c r="B668" s="68"/>
    </row>
    <row r="669" customHeight="1" spans="2:2">
      <c r="B669" s="68"/>
    </row>
    <row r="670" customHeight="1" spans="2:2">
      <c r="B670" s="68"/>
    </row>
    <row r="671" customHeight="1" spans="2:2">
      <c r="B671" s="68"/>
    </row>
    <row r="672" customHeight="1" spans="2:2">
      <c r="B672" s="68"/>
    </row>
    <row r="673" customHeight="1" spans="2:2">
      <c r="B673" s="68"/>
    </row>
    <row r="674" customHeight="1" spans="2:2">
      <c r="B674" s="68"/>
    </row>
    <row r="675" customHeight="1" spans="2:2">
      <c r="B675" s="68"/>
    </row>
    <row r="676" customHeight="1" spans="2:2">
      <c r="B676" s="68"/>
    </row>
    <row r="677" customHeight="1" spans="2:2">
      <c r="B677" s="68"/>
    </row>
    <row r="678" customHeight="1" spans="2:2">
      <c r="B678" s="68"/>
    </row>
    <row r="679" customHeight="1" spans="2:2">
      <c r="B679" s="68"/>
    </row>
    <row r="680" customHeight="1" spans="2:2">
      <c r="B680" s="68"/>
    </row>
    <row r="681" customHeight="1" spans="2:2">
      <c r="B681" s="68"/>
    </row>
    <row r="682" customHeight="1" spans="2:2">
      <c r="B682" s="68"/>
    </row>
    <row r="683" customHeight="1" spans="2:2">
      <c r="B683" s="68"/>
    </row>
    <row r="684" customHeight="1" spans="2:2">
      <c r="B684" s="68"/>
    </row>
    <row r="685" customHeight="1" spans="2:2">
      <c r="B685" s="68"/>
    </row>
    <row r="686" customHeight="1" spans="2:2">
      <c r="B686" s="68"/>
    </row>
    <row r="687" customHeight="1" spans="2:2">
      <c r="B687" s="68"/>
    </row>
    <row r="688" customHeight="1" spans="2:2">
      <c r="B688" s="68"/>
    </row>
    <row r="689" customHeight="1" spans="2:2">
      <c r="B689" s="68"/>
    </row>
    <row r="690" customHeight="1" spans="2:2">
      <c r="B690" s="68"/>
    </row>
    <row r="691" customHeight="1" spans="2:2">
      <c r="B691" s="68"/>
    </row>
    <row r="692" customHeight="1" spans="2:2">
      <c r="B692" s="68"/>
    </row>
    <row r="693" customHeight="1" spans="2:2">
      <c r="B693" s="68"/>
    </row>
    <row r="694" customHeight="1" spans="2:2">
      <c r="B694" s="68"/>
    </row>
    <row r="695" customHeight="1" spans="2:2">
      <c r="B695" s="68"/>
    </row>
    <row r="696" customHeight="1" spans="2:2">
      <c r="B696" s="68"/>
    </row>
    <row r="697" customHeight="1" spans="2:2">
      <c r="B697" s="68"/>
    </row>
    <row r="698" customHeight="1" spans="2:2">
      <c r="B698" s="68"/>
    </row>
    <row r="699" customHeight="1" spans="2:2">
      <c r="B699" s="68"/>
    </row>
    <row r="700" customHeight="1" spans="2:2">
      <c r="B700" s="68"/>
    </row>
    <row r="701" customHeight="1" spans="2:2">
      <c r="B701" s="68"/>
    </row>
    <row r="702" customHeight="1" spans="2:2">
      <c r="B702" s="68"/>
    </row>
    <row r="703" customHeight="1" spans="2:2">
      <c r="B703" s="68"/>
    </row>
    <row r="704" customHeight="1" spans="2:2">
      <c r="B704" s="68"/>
    </row>
    <row r="705" customHeight="1" spans="2:2">
      <c r="B705" s="68"/>
    </row>
    <row r="706" customHeight="1" spans="2:2">
      <c r="B706" s="68"/>
    </row>
    <row r="707" customHeight="1" spans="2:2">
      <c r="B707" s="68"/>
    </row>
    <row r="708" customHeight="1" spans="2:2">
      <c r="B708" s="68"/>
    </row>
    <row r="709" customHeight="1" spans="2:2">
      <c r="B709" s="68"/>
    </row>
    <row r="710" customHeight="1" spans="2:2">
      <c r="B710" s="68"/>
    </row>
    <row r="711" customHeight="1" spans="2:2">
      <c r="B711" s="68"/>
    </row>
    <row r="712" customHeight="1" spans="2:2">
      <c r="B712" s="68"/>
    </row>
    <row r="713" customHeight="1" spans="2:2">
      <c r="B713" s="68"/>
    </row>
    <row r="714" customHeight="1" spans="2:2">
      <c r="B714" s="68"/>
    </row>
    <row r="715" customHeight="1" spans="2:2">
      <c r="B715" s="68"/>
    </row>
    <row r="716" customHeight="1" spans="2:2">
      <c r="B716" s="68"/>
    </row>
    <row r="717" customHeight="1" spans="2:2">
      <c r="B717" s="68"/>
    </row>
    <row r="718" customHeight="1" spans="2:2">
      <c r="B718" s="68"/>
    </row>
    <row r="719" customHeight="1" spans="2:2">
      <c r="B719" s="68"/>
    </row>
    <row r="720" customHeight="1" spans="2:2">
      <c r="B720" s="68"/>
    </row>
    <row r="721" customHeight="1" spans="2:2">
      <c r="B721" s="68"/>
    </row>
    <row r="722" customHeight="1" spans="2:2">
      <c r="B722" s="68"/>
    </row>
    <row r="723" customHeight="1" spans="2:2">
      <c r="B723" s="68"/>
    </row>
    <row r="724" customHeight="1" spans="2:2">
      <c r="B724" s="68"/>
    </row>
    <row r="725" customHeight="1" spans="2:2">
      <c r="B725" s="68"/>
    </row>
    <row r="726" customHeight="1" spans="2:2">
      <c r="B726" s="68"/>
    </row>
    <row r="727" customHeight="1" spans="2:2">
      <c r="B727" s="68"/>
    </row>
    <row r="728" customHeight="1" spans="2:2">
      <c r="B728" s="68"/>
    </row>
    <row r="729" customHeight="1" spans="2:2">
      <c r="B729" s="68"/>
    </row>
    <row r="730" customHeight="1" spans="2:2">
      <c r="B730" s="68"/>
    </row>
    <row r="731" customHeight="1" spans="2:2">
      <c r="B731" s="68"/>
    </row>
    <row r="732" customHeight="1" spans="2:2">
      <c r="B732" s="68"/>
    </row>
    <row r="733" customHeight="1" spans="2:2">
      <c r="B733" s="68"/>
    </row>
    <row r="734" customHeight="1" spans="2:2">
      <c r="B734" s="68"/>
    </row>
    <row r="735" customHeight="1" spans="2:2">
      <c r="B735" s="68"/>
    </row>
    <row r="736" customHeight="1" spans="2:2">
      <c r="B736" s="68"/>
    </row>
    <row r="737" customHeight="1" spans="2:2">
      <c r="B737" s="68"/>
    </row>
    <row r="738" customHeight="1" spans="2:2">
      <c r="B738" s="68"/>
    </row>
    <row r="739" customHeight="1" spans="2:2">
      <c r="B739" s="68"/>
    </row>
    <row r="740" customHeight="1" spans="2:2">
      <c r="B740" s="68"/>
    </row>
    <row r="741" customHeight="1" spans="2:2">
      <c r="B741" s="68"/>
    </row>
    <row r="742" customHeight="1" spans="2:2">
      <c r="B742" s="68"/>
    </row>
    <row r="743" customHeight="1" spans="2:2">
      <c r="B743" s="68"/>
    </row>
    <row r="744" customHeight="1" spans="2:2">
      <c r="B744" s="68"/>
    </row>
    <row r="745" customHeight="1" spans="2:2">
      <c r="B745" s="68"/>
    </row>
    <row r="746" customHeight="1" spans="2:2">
      <c r="B746" s="68"/>
    </row>
    <row r="747" customHeight="1" spans="2:2">
      <c r="B747" s="68"/>
    </row>
    <row r="748" customHeight="1" spans="2:2">
      <c r="B748" s="68"/>
    </row>
    <row r="749" customHeight="1" spans="2:2">
      <c r="B749" s="68"/>
    </row>
    <row r="750" customHeight="1" spans="2:2">
      <c r="B750" s="68"/>
    </row>
    <row r="751" customHeight="1" spans="2:2">
      <c r="B751" s="68"/>
    </row>
    <row r="752" customHeight="1" spans="2:2">
      <c r="B752" s="68"/>
    </row>
    <row r="753" customHeight="1" spans="2:2">
      <c r="B753" s="68"/>
    </row>
    <row r="754" customHeight="1" spans="2:2">
      <c r="B754" s="68"/>
    </row>
    <row r="755" customHeight="1" spans="2:2">
      <c r="B755" s="68"/>
    </row>
    <row r="756" customHeight="1" spans="2:2">
      <c r="B756" s="68"/>
    </row>
    <row r="757" customHeight="1" spans="2:2">
      <c r="B757" s="68"/>
    </row>
    <row r="758" customHeight="1" spans="2:2">
      <c r="B758" s="68"/>
    </row>
    <row r="759" customHeight="1" spans="2:2">
      <c r="B759" s="68"/>
    </row>
    <row r="760" customHeight="1" spans="2:2">
      <c r="B760" s="68"/>
    </row>
    <row r="761" customHeight="1" spans="2:2">
      <c r="B761" s="68"/>
    </row>
    <row r="762" customHeight="1" spans="2:2">
      <c r="B762" s="68"/>
    </row>
    <row r="763" customHeight="1" spans="2:2">
      <c r="B763" s="68"/>
    </row>
    <row r="764" customHeight="1" spans="2:2">
      <c r="B764" s="68"/>
    </row>
    <row r="765" customHeight="1" spans="2:2">
      <c r="B765" s="68"/>
    </row>
    <row r="766" customHeight="1" spans="2:2">
      <c r="B766" s="68"/>
    </row>
    <row r="767" customHeight="1" spans="2:2">
      <c r="B767" s="68"/>
    </row>
    <row r="768" customHeight="1" spans="2:2">
      <c r="B768" s="68"/>
    </row>
    <row r="769" customHeight="1" spans="2:2">
      <c r="B769" s="68"/>
    </row>
    <row r="770" customHeight="1" spans="2:2">
      <c r="B770" s="68"/>
    </row>
    <row r="771" customHeight="1" spans="2:2">
      <c r="B771" s="68"/>
    </row>
    <row r="772" customHeight="1" spans="2:2">
      <c r="B772" s="68"/>
    </row>
    <row r="773" customHeight="1" spans="2:2">
      <c r="B773" s="68"/>
    </row>
    <row r="774" customHeight="1" spans="2:2">
      <c r="B774" s="68"/>
    </row>
    <row r="775" customHeight="1" spans="2:2">
      <c r="B775" s="68"/>
    </row>
    <row r="776" customHeight="1" spans="2:2">
      <c r="B776" s="68"/>
    </row>
    <row r="777" customHeight="1" spans="2:2">
      <c r="B777" s="68"/>
    </row>
    <row r="778" customHeight="1" spans="2:2">
      <c r="B778" s="68"/>
    </row>
    <row r="779" customHeight="1" spans="2:2">
      <c r="B779" s="68"/>
    </row>
    <row r="780" customHeight="1" spans="2:2">
      <c r="B780" s="68"/>
    </row>
    <row r="781" customHeight="1" spans="2:2">
      <c r="B781" s="68"/>
    </row>
    <row r="782" customHeight="1" spans="2:2">
      <c r="B782" s="68"/>
    </row>
    <row r="783" customHeight="1" spans="2:2">
      <c r="B783" s="68"/>
    </row>
    <row r="784" customHeight="1" spans="2:2">
      <c r="B784" s="68"/>
    </row>
    <row r="785" customHeight="1" spans="2:2">
      <c r="B785" s="68"/>
    </row>
    <row r="786" customHeight="1" spans="2:2">
      <c r="B786" s="68"/>
    </row>
    <row r="787" customHeight="1" spans="2:2">
      <c r="B787" s="68"/>
    </row>
    <row r="788" customHeight="1" spans="2:2">
      <c r="B788" s="68"/>
    </row>
    <row r="789" customHeight="1" spans="2:2">
      <c r="B789" s="68"/>
    </row>
    <row r="790" customHeight="1" spans="2:2">
      <c r="B790" s="68"/>
    </row>
    <row r="791" customHeight="1" spans="2:2">
      <c r="B791" s="68"/>
    </row>
    <row r="792" customHeight="1" spans="2:2">
      <c r="B792" s="68"/>
    </row>
    <row r="793" customHeight="1" spans="2:2">
      <c r="B793" s="68"/>
    </row>
    <row r="794" customHeight="1" spans="2:2">
      <c r="B794" s="68"/>
    </row>
    <row r="795" customHeight="1" spans="2:2">
      <c r="B795" s="68"/>
    </row>
    <row r="796" customHeight="1" spans="2:2">
      <c r="B796" s="68"/>
    </row>
    <row r="797" customHeight="1" spans="2:2">
      <c r="B797" s="68"/>
    </row>
    <row r="798" customHeight="1" spans="2:2">
      <c r="B798" s="68"/>
    </row>
    <row r="799" customHeight="1" spans="2:2">
      <c r="B799" s="68"/>
    </row>
    <row r="800" customHeight="1" spans="2:2">
      <c r="B800" s="68"/>
    </row>
    <row r="801" customHeight="1" spans="2:2">
      <c r="B801" s="68"/>
    </row>
    <row r="802" customHeight="1" spans="2:2">
      <c r="B802" s="68"/>
    </row>
    <row r="803" customHeight="1" spans="2:2">
      <c r="B803" s="68"/>
    </row>
    <row r="804" customHeight="1" spans="2:2">
      <c r="B804" s="68"/>
    </row>
    <row r="805" customHeight="1" spans="2:2">
      <c r="B805" s="68"/>
    </row>
    <row r="806" customHeight="1" spans="2:2">
      <c r="B806" s="68"/>
    </row>
    <row r="807" customHeight="1" spans="2:2">
      <c r="B807" s="68"/>
    </row>
    <row r="808" customHeight="1" spans="2:2">
      <c r="B808" s="68"/>
    </row>
    <row r="809" customHeight="1" spans="2:2">
      <c r="B809" s="68"/>
    </row>
    <row r="810" customHeight="1" spans="2:2">
      <c r="B810" s="68"/>
    </row>
    <row r="811" customHeight="1" spans="2:2">
      <c r="B811" s="68"/>
    </row>
    <row r="812" customHeight="1" spans="2:2">
      <c r="B812" s="68"/>
    </row>
    <row r="813" customHeight="1" spans="2:2">
      <c r="B813" s="68"/>
    </row>
    <row r="814" customHeight="1" spans="2:2">
      <c r="B814" s="68"/>
    </row>
    <row r="815" customHeight="1" spans="2:2">
      <c r="B815" s="68"/>
    </row>
    <row r="816" customHeight="1" spans="2:2">
      <c r="B816" s="68"/>
    </row>
    <row r="817" customHeight="1" spans="2:2">
      <c r="B817" s="68"/>
    </row>
    <row r="818" customHeight="1" spans="2:2">
      <c r="B818" s="68"/>
    </row>
    <row r="819" customHeight="1" spans="2:2">
      <c r="B819" s="68"/>
    </row>
    <row r="820" customHeight="1" spans="2:2">
      <c r="B820" s="68"/>
    </row>
    <row r="821" customHeight="1" spans="2:2">
      <c r="B821" s="68"/>
    </row>
    <row r="822" customHeight="1" spans="2:2">
      <c r="B822" s="68"/>
    </row>
    <row r="823" customHeight="1" spans="2:2">
      <c r="B823" s="68"/>
    </row>
    <row r="824" customHeight="1" spans="2:2">
      <c r="B824" s="68"/>
    </row>
    <row r="825" customHeight="1" spans="2:2">
      <c r="B825" s="68"/>
    </row>
    <row r="826" customHeight="1" spans="2:2">
      <c r="B826" s="68"/>
    </row>
    <row r="827" customHeight="1" spans="2:2">
      <c r="B827" s="68"/>
    </row>
    <row r="828" customHeight="1" spans="2:2">
      <c r="B828" s="68"/>
    </row>
    <row r="829" customHeight="1" spans="2:2">
      <c r="B829" s="68"/>
    </row>
    <row r="830" customHeight="1" spans="2:2">
      <c r="B830" s="68"/>
    </row>
    <row r="831" customHeight="1" spans="2:2">
      <c r="B831" s="68"/>
    </row>
    <row r="832" customHeight="1" spans="2:2">
      <c r="B832" s="68"/>
    </row>
    <row r="833" customHeight="1" spans="2:2">
      <c r="B833" s="68"/>
    </row>
    <row r="834" customHeight="1" spans="2:2">
      <c r="B834" s="68"/>
    </row>
    <row r="835" customHeight="1" spans="2:2">
      <c r="B835" s="68"/>
    </row>
    <row r="836" customHeight="1" spans="2:2">
      <c r="B836" s="68"/>
    </row>
    <row r="837" customHeight="1" spans="2:2">
      <c r="B837" s="68"/>
    </row>
    <row r="838" customHeight="1" spans="2:2">
      <c r="B838" s="68"/>
    </row>
    <row r="839" customHeight="1" spans="2:2">
      <c r="B839" s="68"/>
    </row>
    <row r="840" customHeight="1" spans="2:2">
      <c r="B840" s="68"/>
    </row>
    <row r="841" customHeight="1" spans="2:2">
      <c r="B841" s="68"/>
    </row>
    <row r="842" customHeight="1" spans="2:2">
      <c r="B842" s="68"/>
    </row>
    <row r="843" customHeight="1" spans="2:2">
      <c r="B843" s="68"/>
    </row>
    <row r="844" customHeight="1" spans="2:2">
      <c r="B844" s="68"/>
    </row>
    <row r="845" customHeight="1" spans="2:2">
      <c r="B845" s="68"/>
    </row>
    <row r="846" customHeight="1" spans="2:2">
      <c r="B846" s="68"/>
    </row>
    <row r="847" customHeight="1" spans="2:2">
      <c r="B847" s="68"/>
    </row>
    <row r="848" customHeight="1" spans="2:2">
      <c r="B848" s="68"/>
    </row>
    <row r="849" customHeight="1" spans="2:2">
      <c r="B849" s="68"/>
    </row>
    <row r="850" customHeight="1" spans="2:2">
      <c r="B850" s="68"/>
    </row>
    <row r="851" customHeight="1" spans="2:2">
      <c r="B851" s="68"/>
    </row>
    <row r="852" customHeight="1" spans="2:2">
      <c r="B852" s="68"/>
    </row>
    <row r="853" customHeight="1" spans="2:2">
      <c r="B853" s="68"/>
    </row>
    <row r="854" customHeight="1" spans="2:2">
      <c r="B854" s="68"/>
    </row>
    <row r="855" customHeight="1" spans="2:2">
      <c r="B855" s="68"/>
    </row>
    <row r="856" customHeight="1" spans="2:2">
      <c r="B856" s="68"/>
    </row>
    <row r="857" customHeight="1" spans="2:2">
      <c r="B857" s="68"/>
    </row>
    <row r="858" customHeight="1" spans="2:2">
      <c r="B858" s="68"/>
    </row>
    <row r="859" customHeight="1" spans="2:2">
      <c r="B859" s="68"/>
    </row>
    <row r="860" customHeight="1" spans="2:2">
      <c r="B860" s="68"/>
    </row>
    <row r="861" customHeight="1" spans="2:2">
      <c r="B861" s="68"/>
    </row>
    <row r="862" customHeight="1" spans="2:2">
      <c r="B862" s="68"/>
    </row>
    <row r="863" customHeight="1" spans="2:2">
      <c r="B863" s="68"/>
    </row>
    <row r="864" customHeight="1" spans="2:2">
      <c r="B864" s="68"/>
    </row>
    <row r="865" customHeight="1" spans="2:2">
      <c r="B865" s="68"/>
    </row>
    <row r="866" customHeight="1" spans="2:2">
      <c r="B866" s="68"/>
    </row>
    <row r="867" customHeight="1" spans="2:2">
      <c r="B867" s="68"/>
    </row>
    <row r="868" customHeight="1" spans="2:2">
      <c r="B868" s="68"/>
    </row>
    <row r="869" customHeight="1" spans="2:2">
      <c r="B869" s="68"/>
    </row>
    <row r="870" customHeight="1" spans="2:2">
      <c r="B870" s="68"/>
    </row>
    <row r="871" customHeight="1" spans="2:2">
      <c r="B871" s="68"/>
    </row>
    <row r="872" customHeight="1" spans="2:2">
      <c r="B872" s="68"/>
    </row>
    <row r="873" customHeight="1" spans="2:2">
      <c r="B873" s="68"/>
    </row>
    <row r="874" customHeight="1" spans="2:2">
      <c r="B874" s="68"/>
    </row>
    <row r="875" customHeight="1" spans="2:2">
      <c r="B875" s="68"/>
    </row>
    <row r="876" customHeight="1" spans="2:2">
      <c r="B876" s="68"/>
    </row>
    <row r="877" customHeight="1" spans="2:2">
      <c r="B877" s="68"/>
    </row>
    <row r="878" customHeight="1" spans="2:2">
      <c r="B878" s="68"/>
    </row>
    <row r="879" customHeight="1" spans="2:2">
      <c r="B879" s="68"/>
    </row>
    <row r="880" customHeight="1" spans="2:2">
      <c r="B880" s="68"/>
    </row>
    <row r="881" customHeight="1" spans="2:2">
      <c r="B881" s="68"/>
    </row>
    <row r="882" customHeight="1" spans="2:2">
      <c r="B882" s="68"/>
    </row>
    <row r="883" customHeight="1" spans="2:2">
      <c r="B883" s="68"/>
    </row>
    <row r="884" customHeight="1" spans="2:2">
      <c r="B884" s="68"/>
    </row>
    <row r="885" customHeight="1" spans="2:2">
      <c r="B885" s="68"/>
    </row>
    <row r="886" customHeight="1" spans="2:2">
      <c r="B886" s="68"/>
    </row>
    <row r="887" customHeight="1" spans="2:2">
      <c r="B887" s="68"/>
    </row>
    <row r="888" customHeight="1" spans="2:2">
      <c r="B888" s="68"/>
    </row>
    <row r="889" customHeight="1" spans="2:2">
      <c r="B889" s="68"/>
    </row>
    <row r="890" customHeight="1" spans="2:2">
      <c r="B890" s="68"/>
    </row>
    <row r="891" customHeight="1" spans="2:2">
      <c r="B891" s="68"/>
    </row>
    <row r="892" customHeight="1" spans="2:2">
      <c r="B892" s="68"/>
    </row>
    <row r="893" customHeight="1" spans="2:2">
      <c r="B893" s="68"/>
    </row>
    <row r="894" customHeight="1" spans="2:2">
      <c r="B894" s="68"/>
    </row>
    <row r="895" customHeight="1" spans="2:2">
      <c r="B895" s="68"/>
    </row>
    <row r="896" customHeight="1" spans="2:2">
      <c r="B896" s="68"/>
    </row>
    <row r="897" customHeight="1" spans="2:2">
      <c r="B897" s="68"/>
    </row>
    <row r="898" customHeight="1" spans="2:2">
      <c r="B898" s="68"/>
    </row>
    <row r="899" customHeight="1" spans="2:2">
      <c r="B899" s="68"/>
    </row>
    <row r="900" customHeight="1" spans="2:2">
      <c r="B900" s="68"/>
    </row>
    <row r="901" customHeight="1" spans="2:2">
      <c r="B901" s="68"/>
    </row>
    <row r="902" customHeight="1" spans="2:2">
      <c r="B902" s="68"/>
    </row>
    <row r="903" customHeight="1" spans="2:2">
      <c r="B903" s="68"/>
    </row>
    <row r="904" customHeight="1" spans="2:2">
      <c r="B904" s="68"/>
    </row>
    <row r="905" customHeight="1" spans="2:2">
      <c r="B905" s="68"/>
    </row>
    <row r="906" customHeight="1" spans="2:2">
      <c r="B906" s="68"/>
    </row>
    <row r="907" customHeight="1" spans="2:2">
      <c r="B907" s="68"/>
    </row>
    <row r="908" customHeight="1" spans="2:2">
      <c r="B908" s="68"/>
    </row>
    <row r="909" customHeight="1" spans="2:2">
      <c r="B909" s="68"/>
    </row>
    <row r="910" customHeight="1" spans="2:2">
      <c r="B910" s="68"/>
    </row>
    <row r="911" customHeight="1" spans="2:2">
      <c r="B911" s="68"/>
    </row>
    <row r="912" customHeight="1" spans="2:2">
      <c r="B912" s="68"/>
    </row>
    <row r="913" customHeight="1" spans="2:2">
      <c r="B913" s="68"/>
    </row>
    <row r="914" customHeight="1" spans="2:2">
      <c r="B914" s="68"/>
    </row>
    <row r="915" customHeight="1" spans="2:2">
      <c r="B915" s="68"/>
    </row>
    <row r="916" customHeight="1" spans="2:2">
      <c r="B916" s="68"/>
    </row>
    <row r="917" customHeight="1" spans="2:2">
      <c r="B917" s="68"/>
    </row>
    <row r="918" customHeight="1" spans="2:2">
      <c r="B918" s="68"/>
    </row>
    <row r="919" customHeight="1" spans="2:2">
      <c r="B919" s="68"/>
    </row>
    <row r="920" customHeight="1" spans="2:2">
      <c r="B920" s="68"/>
    </row>
    <row r="921" customHeight="1" spans="2:2">
      <c r="B921" s="68"/>
    </row>
    <row r="922" customHeight="1" spans="2:2">
      <c r="B922" s="68"/>
    </row>
    <row r="923" customHeight="1" spans="2:2">
      <c r="B923" s="68"/>
    </row>
    <row r="924" customHeight="1" spans="2:2">
      <c r="B924" s="68"/>
    </row>
    <row r="925" customHeight="1" spans="2:2">
      <c r="B925" s="68"/>
    </row>
    <row r="926" customHeight="1" spans="2:2">
      <c r="B926" s="68"/>
    </row>
    <row r="927" customHeight="1" spans="2:2">
      <c r="B927" s="68"/>
    </row>
    <row r="928" customHeight="1" spans="2:2">
      <c r="B928" s="68"/>
    </row>
    <row r="929" customHeight="1" spans="2:2">
      <c r="B929" s="68"/>
    </row>
    <row r="930" customHeight="1" spans="2:2">
      <c r="B930" s="68"/>
    </row>
    <row r="931" customHeight="1" spans="2:2">
      <c r="B931" s="68"/>
    </row>
    <row r="932" customHeight="1" spans="2:2">
      <c r="B932" s="68"/>
    </row>
    <row r="933" customHeight="1" spans="2:2">
      <c r="B933" s="68"/>
    </row>
    <row r="934" customHeight="1" spans="2:2">
      <c r="B934" s="68"/>
    </row>
    <row r="935" customHeight="1" spans="2:2">
      <c r="B935" s="68"/>
    </row>
    <row r="936" customHeight="1" spans="2:2">
      <c r="B936" s="68"/>
    </row>
    <row r="937" customHeight="1" spans="2:2">
      <c r="B937" s="68"/>
    </row>
    <row r="938" customHeight="1" spans="2:2">
      <c r="B938" s="68"/>
    </row>
    <row r="939" customHeight="1" spans="2:2">
      <c r="B939" s="68"/>
    </row>
    <row r="940" customHeight="1" spans="2:2">
      <c r="B940" s="68"/>
    </row>
    <row r="941" customHeight="1" spans="2:2">
      <c r="B941" s="68"/>
    </row>
    <row r="942" customHeight="1" spans="2:2">
      <c r="B942" s="68"/>
    </row>
    <row r="943" customHeight="1" spans="2:2">
      <c r="B943" s="68"/>
    </row>
    <row r="944" customHeight="1" spans="2:2">
      <c r="B944" s="68"/>
    </row>
    <row r="945" customHeight="1" spans="2:2">
      <c r="B945" s="68"/>
    </row>
    <row r="946" customHeight="1" spans="2:2">
      <c r="B946" s="68"/>
    </row>
    <row r="947" customHeight="1" spans="2:2">
      <c r="B947" s="68"/>
    </row>
    <row r="948" customHeight="1" spans="2:2">
      <c r="B948" s="68"/>
    </row>
    <row r="949" customHeight="1" spans="2:2">
      <c r="B949" s="68"/>
    </row>
    <row r="950" customHeight="1" spans="2:2">
      <c r="B950" s="68"/>
    </row>
    <row r="951" customHeight="1" spans="2:2">
      <c r="B951" s="68"/>
    </row>
    <row r="952" customHeight="1" spans="2:2">
      <c r="B952" s="68"/>
    </row>
    <row r="953" customHeight="1" spans="2:2">
      <c r="B953" s="68"/>
    </row>
    <row r="954" customHeight="1" spans="2:2">
      <c r="B954" s="68"/>
    </row>
    <row r="955" customHeight="1" spans="2:2">
      <c r="B955" s="68"/>
    </row>
    <row r="956" customHeight="1" spans="2:2">
      <c r="B956" s="68"/>
    </row>
    <row r="957" customHeight="1" spans="2:2">
      <c r="B957" s="68"/>
    </row>
    <row r="958" customHeight="1" spans="2:2">
      <c r="B958" s="68"/>
    </row>
    <row r="959" customHeight="1" spans="2:2">
      <c r="B959" s="68"/>
    </row>
    <row r="960" customHeight="1" spans="2:2">
      <c r="B960" s="68"/>
    </row>
    <row r="961" customHeight="1" spans="2:2">
      <c r="B961" s="68"/>
    </row>
    <row r="962" customHeight="1" spans="2:2">
      <c r="B962" s="68"/>
    </row>
    <row r="963" customHeight="1" spans="2:2">
      <c r="B963" s="68"/>
    </row>
    <row r="964" customHeight="1" spans="2:2">
      <c r="B964" s="68"/>
    </row>
    <row r="965" customHeight="1" spans="2:2">
      <c r="B965" s="68"/>
    </row>
    <row r="966" customHeight="1" spans="2:2">
      <c r="B966" s="68"/>
    </row>
    <row r="967" customHeight="1" spans="2:2">
      <c r="B967" s="68"/>
    </row>
    <row r="968" customHeight="1" spans="2:2">
      <c r="B968" s="68"/>
    </row>
    <row r="969" customHeight="1" spans="2:2">
      <c r="B969" s="68"/>
    </row>
    <row r="970" customHeight="1" spans="2:2">
      <c r="B970" s="68"/>
    </row>
    <row r="971" customHeight="1" spans="2:2">
      <c r="B971" s="68"/>
    </row>
    <row r="972" customHeight="1" spans="2:2">
      <c r="B972" s="68"/>
    </row>
    <row r="973" customHeight="1" spans="2:2">
      <c r="B973" s="68"/>
    </row>
    <row r="974" customHeight="1" spans="2:2">
      <c r="B974" s="68"/>
    </row>
    <row r="975" customHeight="1" spans="2:2">
      <c r="B975" s="68"/>
    </row>
    <row r="976" customHeight="1" spans="2:2">
      <c r="B976" s="68"/>
    </row>
    <row r="977" customHeight="1" spans="2:2">
      <c r="B977" s="68"/>
    </row>
    <row r="978" customHeight="1" spans="2:2">
      <c r="B978" s="68"/>
    </row>
    <row r="979" customHeight="1" spans="2:2">
      <c r="B979" s="68"/>
    </row>
    <row r="980" customHeight="1" spans="2:2">
      <c r="B980" s="68"/>
    </row>
    <row r="981" customHeight="1" spans="2:2">
      <c r="B981" s="68"/>
    </row>
    <row r="982" customHeight="1" spans="2:2">
      <c r="B982" s="68"/>
    </row>
    <row r="983" customHeight="1" spans="2:2">
      <c r="B983" s="68"/>
    </row>
    <row r="984" customHeight="1" spans="2:2">
      <c r="B984" s="68"/>
    </row>
    <row r="985" customHeight="1" spans="2:2">
      <c r="B985" s="68"/>
    </row>
    <row r="986" customHeight="1" spans="2:2">
      <c r="B986" s="68"/>
    </row>
    <row r="987" customHeight="1" spans="2:2">
      <c r="B987" s="68"/>
    </row>
    <row r="988" customHeight="1" spans="2:2">
      <c r="B988" s="68"/>
    </row>
    <row r="989" customHeight="1" spans="2:2">
      <c r="B989" s="68"/>
    </row>
    <row r="990" customHeight="1" spans="2:2">
      <c r="B990" s="68"/>
    </row>
    <row r="991" customHeight="1" spans="2:2">
      <c r="B991" s="68"/>
    </row>
    <row r="992" customHeight="1" spans="2:2">
      <c r="B992" s="68"/>
    </row>
    <row r="993" customHeight="1" spans="2:2">
      <c r="B993" s="68"/>
    </row>
    <row r="994" customHeight="1" spans="2:2">
      <c r="B994" s="68"/>
    </row>
    <row r="995" customHeight="1" spans="2:2">
      <c r="B995" s="68"/>
    </row>
    <row r="996" customHeight="1" spans="2:2">
      <c r="B996" s="68"/>
    </row>
    <row r="997" customHeight="1" spans="2:2">
      <c r="B997" s="68"/>
    </row>
    <row r="998" customHeight="1" spans="2:2">
      <c r="B998" s="68"/>
    </row>
    <row r="999" customHeight="1" spans="2:2">
      <c r="B999" s="68"/>
    </row>
    <row r="1000" customHeight="1" spans="2:2">
      <c r="B1000" s="68"/>
    </row>
    <row r="1001" customHeight="1" spans="2:2">
      <c r="B1001" s="6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589"/>
  <sheetViews>
    <sheetView showGridLines="0" workbookViewId="0">
      <selection activeCell="A1" sqref="A1"/>
    </sheetView>
  </sheetViews>
  <sheetFormatPr defaultColWidth="14.4259259259259" defaultRowHeight="15" customHeight="1"/>
  <cols>
    <col min="1" max="1" width="17.287037037037" customWidth="1"/>
    <col min="2" max="2" width="15" customWidth="1"/>
    <col min="3" max="3" width="12.5740740740741" customWidth="1"/>
    <col min="4" max="4" width="12.287037037037" customWidth="1"/>
    <col min="5" max="5" width="11.5740740740741" customWidth="1"/>
    <col min="6" max="6" width="11" customWidth="1"/>
    <col min="7" max="7" width="9.13888888888889" customWidth="1"/>
    <col min="8" max="8" width="17.5740740740741" customWidth="1"/>
    <col min="9" max="9" width="10.4259259259259" customWidth="1"/>
    <col min="10" max="10" width="21" customWidth="1"/>
    <col min="11" max="11" width="10.712962962963" customWidth="1"/>
  </cols>
  <sheetData>
    <row r="1" spans="1:26">
      <c r="A1" s="1"/>
      <c r="B1" s="1" t="s">
        <v>1552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6">
      <c r="A2" s="6"/>
      <c r="B2" s="1" t="s">
        <v>147</v>
      </c>
      <c r="C2" s="2"/>
      <c r="D2" s="1" t="s">
        <v>23</v>
      </c>
      <c r="E2" s="2"/>
      <c r="F2" s="1" t="s">
        <v>1451</v>
      </c>
      <c r="G2" s="2"/>
      <c r="H2" s="1" t="s">
        <v>14</v>
      </c>
      <c r="I2" s="2"/>
      <c r="J2" s="1" t="s">
        <v>779</v>
      </c>
      <c r="K2" s="2"/>
      <c r="L2" s="1" t="s">
        <v>830</v>
      </c>
      <c r="M2" s="2"/>
      <c r="N2" s="1" t="s">
        <v>1570</v>
      </c>
      <c r="O2" s="5" t="s">
        <v>1571</v>
      </c>
      <c r="P2" s="23"/>
      <c r="Q2" s="24"/>
    </row>
    <row r="3" spans="1:26">
      <c r="A3" s="1" t="s">
        <v>1572</v>
      </c>
      <c r="B3" s="1" t="s">
        <v>1573</v>
      </c>
      <c r="C3" s="4" t="s">
        <v>1574</v>
      </c>
      <c r="D3" s="1" t="s">
        <v>1573</v>
      </c>
      <c r="E3" s="4" t="s">
        <v>1574</v>
      </c>
      <c r="F3" s="1" t="s">
        <v>1573</v>
      </c>
      <c r="G3" s="4" t="s">
        <v>1574</v>
      </c>
      <c r="H3" s="1" t="s">
        <v>1573</v>
      </c>
      <c r="I3" s="4" t="s">
        <v>1574</v>
      </c>
      <c r="J3" s="1" t="s">
        <v>1573</v>
      </c>
      <c r="K3" s="4" t="s">
        <v>1574</v>
      </c>
      <c r="L3" s="1" t="s">
        <v>1573</v>
      </c>
      <c r="M3" s="4" t="s">
        <v>1574</v>
      </c>
      <c r="N3" s="6"/>
      <c r="O3" s="25"/>
      <c r="P3" s="26"/>
      <c r="Q3" s="27"/>
    </row>
    <row r="4" spans="1:26">
      <c r="A4" s="1" t="s">
        <v>1575</v>
      </c>
      <c r="B4" s="28">
        <v>0.819230769230769</v>
      </c>
      <c r="C4" s="4">
        <v>426</v>
      </c>
      <c r="D4" s="28">
        <v>0.15</v>
      </c>
      <c r="E4" s="4">
        <v>78</v>
      </c>
      <c r="F4" s="28">
        <v>0</v>
      </c>
      <c r="G4" s="4"/>
      <c r="H4" s="28">
        <v>0.0288461538461539</v>
      </c>
      <c r="I4" s="4">
        <v>15</v>
      </c>
      <c r="J4" s="28">
        <v>0</v>
      </c>
      <c r="K4" s="4"/>
      <c r="L4" s="28">
        <v>0.00192307692307692</v>
      </c>
      <c r="M4" s="4">
        <v>1</v>
      </c>
      <c r="N4" s="28">
        <v>1</v>
      </c>
      <c r="O4" s="5">
        <v>520</v>
      </c>
      <c r="P4" s="29"/>
      <c r="Q4" s="30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7" t="s">
        <v>1576</v>
      </c>
      <c r="B5" s="32">
        <v>0.428571428571429</v>
      </c>
      <c r="C5">
        <v>3</v>
      </c>
      <c r="D5" s="32">
        <v>0</v>
      </c>
      <c r="F5" s="32">
        <v>0.142857142857143</v>
      </c>
      <c r="G5">
        <v>1</v>
      </c>
      <c r="H5" s="32">
        <v>0.428571428571429</v>
      </c>
      <c r="I5">
        <v>3</v>
      </c>
      <c r="J5" s="32">
        <v>0</v>
      </c>
      <c r="L5" s="32">
        <v>0</v>
      </c>
      <c r="N5" s="32">
        <v>1</v>
      </c>
      <c r="O5" s="9">
        <v>7</v>
      </c>
      <c r="P5" s="33"/>
      <c r="Q5" s="34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7" t="s">
        <v>1577</v>
      </c>
      <c r="B6" s="32">
        <v>0.650943396226415</v>
      </c>
      <c r="C6">
        <v>69</v>
      </c>
      <c r="D6" s="32">
        <v>0.113207547169811</v>
      </c>
      <c r="E6">
        <v>12</v>
      </c>
      <c r="F6" s="32">
        <v>0</v>
      </c>
      <c r="H6" s="32">
        <v>0.226415094339623</v>
      </c>
      <c r="I6">
        <v>24</v>
      </c>
      <c r="J6" s="32">
        <v>0.00943396226415094</v>
      </c>
      <c r="K6">
        <v>1</v>
      </c>
      <c r="L6" s="32">
        <v>0</v>
      </c>
      <c r="N6" s="32">
        <v>1</v>
      </c>
      <c r="O6" s="9">
        <v>106</v>
      </c>
      <c r="P6" s="29"/>
      <c r="Q6" s="34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7" t="s">
        <v>1578</v>
      </c>
      <c r="B7" s="32">
        <v>0.717592592592593</v>
      </c>
      <c r="C7">
        <v>310</v>
      </c>
      <c r="D7" s="32">
        <v>0.148148148148148</v>
      </c>
      <c r="E7">
        <v>64</v>
      </c>
      <c r="F7" s="32">
        <v>0</v>
      </c>
      <c r="H7" s="32">
        <v>0.127314814814815</v>
      </c>
      <c r="I7">
        <v>55</v>
      </c>
      <c r="J7" s="32">
        <v>0.00231481481481481</v>
      </c>
      <c r="K7">
        <v>1</v>
      </c>
      <c r="L7" s="32">
        <v>0.00462962962962963</v>
      </c>
      <c r="M7">
        <v>2</v>
      </c>
      <c r="N7" s="32">
        <v>1</v>
      </c>
      <c r="O7" s="9">
        <v>432</v>
      </c>
      <c r="P7" s="29"/>
      <c r="Q7" s="34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10" t="s">
        <v>1556</v>
      </c>
      <c r="B8" s="35">
        <v>0.75868544600939</v>
      </c>
      <c r="C8" s="12">
        <v>808</v>
      </c>
      <c r="D8" s="35">
        <v>0.144600938967136</v>
      </c>
      <c r="E8" s="12">
        <v>154</v>
      </c>
      <c r="F8" s="35">
        <v>0.000938967136150235</v>
      </c>
      <c r="G8" s="12">
        <v>1</v>
      </c>
      <c r="H8" s="35">
        <v>0.0910798122065728</v>
      </c>
      <c r="I8" s="12">
        <v>97</v>
      </c>
      <c r="J8" s="35">
        <v>0.00187793427230047</v>
      </c>
      <c r="K8" s="12">
        <v>2</v>
      </c>
      <c r="L8" s="35">
        <v>0.0028169014084507</v>
      </c>
      <c r="M8" s="12">
        <v>3</v>
      </c>
      <c r="N8" s="35">
        <v>1</v>
      </c>
      <c r="O8" s="13">
        <v>1065</v>
      </c>
      <c r="P8" s="36"/>
      <c r="Q8" s="37"/>
    </row>
    <row r="9" spans="1:26">
      <c r="B9" s="38"/>
      <c r="C9" s="38"/>
      <c r="D9" s="38"/>
      <c r="E9" s="38"/>
      <c r="F9" s="38"/>
      <c r="G9" s="38"/>
      <c r="H9" s="38"/>
      <c r="I9" s="38"/>
      <c r="J9" s="38"/>
      <c r="K9" s="38"/>
    </row>
    <row r="10" ht="15.15" spans="1:26"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ht="30" customHeight="1" spans="1:26">
      <c r="A11" s="39"/>
      <c r="B11" s="40" t="s">
        <v>1579</v>
      </c>
      <c r="C11" s="41" t="s">
        <v>1580</v>
      </c>
      <c r="D11" s="40" t="s">
        <v>1581</v>
      </c>
      <c r="E11" s="42" t="s">
        <v>1582</v>
      </c>
      <c r="F11" s="42" t="s">
        <v>1583</v>
      </c>
      <c r="G11" s="43" t="s">
        <v>1584</v>
      </c>
      <c r="H11" s="43" t="s">
        <v>1585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15" spans="1:26">
      <c r="B12" s="44">
        <v>46129</v>
      </c>
      <c r="C12" s="45">
        <v>46141</v>
      </c>
      <c r="D12" s="46">
        <v>0</v>
      </c>
      <c r="E12" s="47">
        <f ca="1">TODAY()</f>
        <v>46150</v>
      </c>
      <c r="F12" s="48">
        <f>E8+G8+I8+K8+M8+C8</f>
        <v>1065</v>
      </c>
      <c r="G12" s="49">
        <v>0</v>
      </c>
      <c r="H12" s="49">
        <f>O8-F12</f>
        <v>0</v>
      </c>
    </row>
    <row r="13" ht="23.25" customHeight="1" spans="1:26"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ht="20.25" customHeight="1" spans="1:26">
      <c r="E14" s="38"/>
      <c r="F14" s="38"/>
      <c r="G14" s="38"/>
      <c r="H14" s="38"/>
      <c r="I14" s="38"/>
      <c r="J14" s="38"/>
      <c r="K14" s="38"/>
    </row>
    <row r="15" ht="14.4" spans="1:26">
      <c r="E15" s="38"/>
      <c r="F15" s="38"/>
      <c r="G15" s="38"/>
      <c r="H15" s="50"/>
      <c r="I15" s="38"/>
      <c r="J15" s="38"/>
      <c r="K15" s="38"/>
    </row>
    <row r="16" ht="14.4" spans="1:26">
      <c r="E16" s="38"/>
      <c r="F16" s="38"/>
      <c r="G16" s="38"/>
      <c r="H16" s="38"/>
      <c r="I16" s="38"/>
      <c r="J16" s="38"/>
      <c r="K16" s="38"/>
    </row>
    <row r="17" ht="14.4" spans="1:11">
      <c r="A17" s="51" t="s">
        <v>1586</v>
      </c>
      <c r="B17" s="52" t="s">
        <v>1583</v>
      </c>
      <c r="C17" s="52" t="s">
        <v>1587</v>
      </c>
      <c r="D17" s="53" t="s">
        <v>1588</v>
      </c>
      <c r="E17" s="52" t="s">
        <v>1585</v>
      </c>
      <c r="F17" s="38"/>
      <c r="G17" s="38"/>
      <c r="H17" s="38"/>
      <c r="I17" s="38"/>
      <c r="J17" s="38"/>
      <c r="K17" s="38"/>
    </row>
    <row r="18" ht="14.4" spans="1:11">
      <c r="A18" s="54">
        <v>46128</v>
      </c>
      <c r="B18" s="52">
        <v>0</v>
      </c>
      <c r="C18" s="55">
        <f t="shared" ref="C18:C24" si="0">E18/D18</f>
        <v>152.142857142857</v>
      </c>
      <c r="D18" s="52">
        <v>7</v>
      </c>
      <c r="E18" s="52">
        <v>1065</v>
      </c>
      <c r="F18" s="38"/>
      <c r="G18" s="38"/>
      <c r="H18" s="38"/>
      <c r="I18" s="38"/>
      <c r="J18" s="38"/>
      <c r="K18" s="38"/>
    </row>
    <row r="19" ht="14.4" spans="1:11">
      <c r="A19" s="54">
        <v>46129</v>
      </c>
      <c r="B19" s="52">
        <v>104</v>
      </c>
      <c r="C19" s="55">
        <f t="shared" si="0"/>
        <v>160.166666666667</v>
      </c>
      <c r="D19" s="52">
        <v>6</v>
      </c>
      <c r="E19" s="52">
        <f>1065-B19</f>
        <v>961</v>
      </c>
      <c r="F19" s="38"/>
      <c r="G19" s="38"/>
      <c r="H19" s="38"/>
      <c r="I19" s="38"/>
      <c r="J19" s="38"/>
      <c r="K19" s="38"/>
    </row>
    <row r="20" ht="14.4" spans="1:11">
      <c r="A20" s="54">
        <v>46132</v>
      </c>
      <c r="B20" s="52">
        <v>160</v>
      </c>
      <c r="C20" s="55">
        <f t="shared" si="0"/>
        <v>160.2</v>
      </c>
      <c r="D20" s="52">
        <v>5</v>
      </c>
      <c r="E20" s="52">
        <f t="shared" ref="E20:E26" si="1">E19-B20</f>
        <v>801</v>
      </c>
      <c r="F20" s="38"/>
      <c r="G20" s="38"/>
      <c r="H20" s="38"/>
      <c r="I20" s="38"/>
      <c r="J20" s="38"/>
      <c r="K20" s="38"/>
    </row>
    <row r="21" ht="14.4" spans="1:11">
      <c r="A21" s="54">
        <v>46134</v>
      </c>
      <c r="B21" s="52">
        <v>160</v>
      </c>
      <c r="C21" s="55">
        <f t="shared" si="0"/>
        <v>160.25</v>
      </c>
      <c r="D21" s="52">
        <v>4</v>
      </c>
      <c r="E21" s="52">
        <f t="shared" si="1"/>
        <v>641</v>
      </c>
      <c r="F21" s="38"/>
      <c r="G21" s="38"/>
      <c r="H21" s="38"/>
      <c r="I21" s="38"/>
      <c r="J21" s="38"/>
      <c r="K21" s="38"/>
    </row>
    <row r="22" ht="14.4" spans="1:11">
      <c r="A22" s="54">
        <v>46139</v>
      </c>
      <c r="B22" s="52">
        <v>303</v>
      </c>
      <c r="C22" s="55">
        <f t="shared" si="0"/>
        <v>112.666666666667</v>
      </c>
      <c r="D22" s="52">
        <v>3</v>
      </c>
      <c r="E22" s="52">
        <f t="shared" si="1"/>
        <v>338</v>
      </c>
      <c r="F22" s="38"/>
      <c r="G22" s="38"/>
      <c r="H22" s="38"/>
      <c r="I22" s="38"/>
      <c r="J22" s="38"/>
      <c r="K22" s="38"/>
    </row>
    <row r="23" ht="14.4" spans="1:11">
      <c r="A23" s="54">
        <v>46140</v>
      </c>
      <c r="B23" s="52">
        <v>258</v>
      </c>
      <c r="C23" s="55">
        <f t="shared" si="0"/>
        <v>40</v>
      </c>
      <c r="D23" s="52">
        <v>2</v>
      </c>
      <c r="E23" s="52">
        <f t="shared" si="1"/>
        <v>80</v>
      </c>
      <c r="F23" s="38"/>
      <c r="G23" s="38"/>
      <c r="H23" s="38"/>
      <c r="I23" s="38"/>
      <c r="J23" s="38"/>
      <c r="K23" s="38"/>
    </row>
    <row r="24" ht="14.4" spans="1:11">
      <c r="A24" s="54">
        <v>46141</v>
      </c>
      <c r="B24" s="52">
        <v>80</v>
      </c>
      <c r="C24" s="55">
        <f t="shared" si="0"/>
        <v>0</v>
      </c>
      <c r="D24" s="52">
        <v>1</v>
      </c>
      <c r="E24" s="52">
        <f t="shared" si="1"/>
        <v>0</v>
      </c>
      <c r="F24" s="38"/>
      <c r="G24" s="38"/>
      <c r="H24" s="38"/>
      <c r="I24" s="38"/>
      <c r="J24" s="38"/>
      <c r="K24" s="38"/>
    </row>
    <row r="25" ht="14.4" spans="1:11">
      <c r="A25" s="54">
        <v>46142</v>
      </c>
      <c r="B25" s="52"/>
      <c r="C25" s="55">
        <v>0</v>
      </c>
      <c r="D25" s="52">
        <v>0</v>
      </c>
      <c r="E25" s="52">
        <f t="shared" si="1"/>
        <v>0</v>
      </c>
      <c r="F25" s="38"/>
      <c r="G25" s="38"/>
      <c r="H25" s="38"/>
      <c r="I25" s="38"/>
      <c r="J25" s="38"/>
      <c r="K25" s="38"/>
    </row>
    <row r="26" ht="14.4" spans="1:11">
      <c r="A26" s="56">
        <v>46143</v>
      </c>
      <c r="B26" s="57"/>
      <c r="C26" s="58">
        <v>0</v>
      </c>
      <c r="D26" s="59">
        <v>0</v>
      </c>
      <c r="E26" s="59">
        <f t="shared" si="1"/>
        <v>0</v>
      </c>
      <c r="F26" s="38"/>
      <c r="G26" s="38"/>
      <c r="H26" s="38"/>
      <c r="I26" s="38"/>
      <c r="J26" s="38"/>
      <c r="K26" s="38"/>
    </row>
    <row r="27" ht="14.4" spans="1:11">
      <c r="A27" s="53" t="s">
        <v>1589</v>
      </c>
      <c r="B27" s="52">
        <f>SUM(B19:B26)</f>
        <v>1065</v>
      </c>
      <c r="C27" s="52">
        <v>1065</v>
      </c>
      <c r="D27" s="52">
        <v>6</v>
      </c>
      <c r="E27" s="52"/>
      <c r="F27" s="38"/>
      <c r="G27" s="38"/>
      <c r="H27" s="38"/>
      <c r="I27" s="38"/>
      <c r="J27" s="38"/>
      <c r="K27" s="38"/>
    </row>
    <row r="28" ht="14.4" spans="1:11"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ht="14.4" spans="1:11"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ht="14.4" spans="1:11"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ht="14.4" spans="1:11"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ht="14.4" spans="1:11"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ht="14.4" spans="1:11"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ht="14.4" spans="1:11"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ht="14.4" spans="1:11"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ht="14.4" spans="1:11"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ht="14.4" spans="1:11"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ht="14.4" spans="1:11"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ht="14.4" spans="1:11"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>
      <c r="A41" s="1"/>
      <c r="B41" s="1"/>
      <c r="C41" s="5"/>
      <c r="D41" s="38"/>
      <c r="E41" s="38"/>
      <c r="F41" s="38"/>
      <c r="G41" s="38"/>
      <c r="H41" s="38"/>
      <c r="I41" s="38"/>
      <c r="J41" s="38"/>
      <c r="K41" s="38"/>
    </row>
    <row r="42" spans="1:11">
      <c r="A42" s="1" t="s">
        <v>1552</v>
      </c>
      <c r="B42" s="1" t="s">
        <v>1573</v>
      </c>
      <c r="C42" s="60" t="s">
        <v>1574</v>
      </c>
      <c r="D42" s="38"/>
      <c r="E42" s="38"/>
      <c r="F42" s="38"/>
      <c r="G42" s="38"/>
      <c r="H42" s="38"/>
      <c r="I42" s="38"/>
      <c r="J42" s="38"/>
      <c r="K42" s="38"/>
    </row>
    <row r="43" spans="1:11">
      <c r="A43" s="1" t="s">
        <v>147</v>
      </c>
      <c r="B43" s="1">
        <v>808</v>
      </c>
      <c r="C43" s="61">
        <v>0.75868544600939</v>
      </c>
      <c r="D43" s="38"/>
      <c r="E43" s="38"/>
      <c r="F43" s="38"/>
      <c r="G43" s="38"/>
      <c r="H43" s="38"/>
      <c r="I43" s="38"/>
      <c r="J43" s="38"/>
      <c r="K43" s="38"/>
    </row>
    <row r="44" spans="1:11">
      <c r="A44" s="7" t="s">
        <v>23</v>
      </c>
      <c r="B44" s="8">
        <v>154</v>
      </c>
      <c r="C44" s="62">
        <v>0.144600938967136</v>
      </c>
      <c r="D44" s="38"/>
      <c r="E44" s="38"/>
      <c r="F44" s="38"/>
      <c r="G44" s="38"/>
      <c r="H44" s="38"/>
      <c r="I44" s="38"/>
      <c r="J44" s="38"/>
      <c r="K44" s="38"/>
    </row>
    <row r="45" spans="1:11">
      <c r="A45" s="7" t="s">
        <v>1451</v>
      </c>
      <c r="B45" s="8">
        <v>1</v>
      </c>
      <c r="C45" s="62">
        <v>0.000938967136150235</v>
      </c>
      <c r="D45" s="38"/>
      <c r="E45" s="38"/>
      <c r="F45" s="38"/>
      <c r="G45" s="38"/>
      <c r="H45" s="38"/>
      <c r="I45" s="38"/>
      <c r="J45" s="38"/>
      <c r="K45" s="38"/>
    </row>
    <row r="46" spans="1:11">
      <c r="A46" s="7" t="s">
        <v>14</v>
      </c>
      <c r="B46" s="8">
        <v>97</v>
      </c>
      <c r="C46" s="62">
        <v>0.0910798122065728</v>
      </c>
      <c r="D46" s="38"/>
      <c r="E46" s="38"/>
      <c r="F46" s="38"/>
      <c r="G46" s="38"/>
      <c r="H46" s="38"/>
      <c r="I46" s="38"/>
      <c r="J46" s="38"/>
      <c r="K46" s="38"/>
    </row>
    <row r="47" spans="1:11">
      <c r="A47" s="7" t="s">
        <v>779</v>
      </c>
      <c r="B47" s="8">
        <v>2</v>
      </c>
      <c r="C47" s="62">
        <v>0.00187793427230047</v>
      </c>
      <c r="D47" s="38"/>
      <c r="E47" s="38"/>
      <c r="F47" s="38"/>
      <c r="G47" s="38"/>
      <c r="H47" s="38"/>
      <c r="I47" s="38"/>
      <c r="J47" s="38"/>
      <c r="K47" s="38"/>
    </row>
    <row r="48" spans="1:11">
      <c r="A48" s="7" t="s">
        <v>830</v>
      </c>
      <c r="B48" s="8">
        <v>3</v>
      </c>
      <c r="C48" s="62">
        <v>0.0028169014084507</v>
      </c>
      <c r="D48" s="38"/>
      <c r="E48" s="38"/>
      <c r="F48" s="38"/>
      <c r="G48" s="38"/>
      <c r="H48" s="38"/>
      <c r="I48" s="38"/>
      <c r="J48" s="38"/>
      <c r="K48" s="38"/>
    </row>
    <row r="49" spans="1:11">
      <c r="A49" s="10" t="s">
        <v>1556</v>
      </c>
      <c r="B49" s="10">
        <v>1065</v>
      </c>
      <c r="C49" s="63">
        <v>1</v>
      </c>
      <c r="D49" s="38"/>
      <c r="E49" s="38"/>
      <c r="F49" s="38"/>
      <c r="G49" s="38"/>
      <c r="H49" s="38"/>
      <c r="I49" s="38"/>
      <c r="J49" s="38"/>
      <c r="K49" s="38"/>
    </row>
    <row r="50" spans="1:11">
      <c r="B50" s="38"/>
      <c r="C50" s="38"/>
      <c r="D50" s="38"/>
      <c r="E50" s="38"/>
      <c r="F50" s="38"/>
      <c r="G50" s="38"/>
      <c r="H50" s="38"/>
      <c r="I50" s="38"/>
      <c r="J50" s="38"/>
      <c r="K50" s="38"/>
    </row>
    <row r="51" ht="14.4" spans="1:11"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ht="14.4" spans="1:11"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ht="14.4" spans="1:11"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ht="14.4" spans="1:11"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ht="14.4" spans="1:11"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ht="14.4" spans="1:11"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ht="14.4" spans="1:11"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ht="14.4" spans="1:11"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ht="14.4" spans="1:11"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ht="14.4" spans="1:11"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ht="14.4" spans="1:11">
      <c r="B61" s="38"/>
      <c r="C61" s="38"/>
      <c r="D61" s="38"/>
      <c r="E61" s="38"/>
      <c r="F61" s="38"/>
      <c r="G61" s="38"/>
      <c r="H61" s="38"/>
      <c r="I61" s="38"/>
      <c r="J61" s="38"/>
      <c r="K61" s="38"/>
    </row>
    <row r="62" ht="14.4" spans="1:11">
      <c r="B62" s="38"/>
      <c r="C62" s="38"/>
      <c r="D62" s="38"/>
      <c r="E62" s="38"/>
      <c r="F62" s="38"/>
      <c r="G62" s="38"/>
      <c r="H62" s="38"/>
      <c r="I62" s="38"/>
      <c r="J62" s="38"/>
      <c r="K62" s="38"/>
    </row>
    <row r="63" ht="14.4" spans="1:11"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ht="14.4" spans="1:11"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ht="14.4" spans="2:11"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ht="14.4" spans="2:11"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ht="14.4" spans="2:11"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ht="14.4" spans="2:11"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ht="14.4" spans="2:11"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ht="14.4" spans="2:11"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ht="14.4" spans="2:11"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ht="14.4" spans="2:11"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ht="14.4" spans="2:11"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ht="14.4" spans="2:11"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ht="14.4" spans="2:11"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ht="14.4" spans="2:11"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ht="14.4" spans="2:11"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ht="14.4" spans="2:11"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ht="14.4" spans="2:11"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ht="14.4" spans="2:11"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ht="14.4" spans="2:11"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ht="14.4" spans="2:11"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ht="14.4" spans="2:11"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ht="14.4" spans="2:11">
      <c r="B84" s="38"/>
      <c r="C84" s="38"/>
      <c r="D84" s="38"/>
      <c r="E84" s="38"/>
      <c r="F84" s="38"/>
      <c r="G84" s="38"/>
      <c r="H84" s="38"/>
      <c r="I84" s="38"/>
      <c r="J84" s="38"/>
      <c r="K84" s="38"/>
    </row>
    <row r="85" ht="14.4" spans="2:11"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ht="14.4" spans="2:11">
      <c r="B86" s="38"/>
      <c r="C86" s="38"/>
      <c r="D86" s="38"/>
      <c r="E86" s="38"/>
      <c r="F86" s="38"/>
      <c r="G86" s="38"/>
      <c r="H86" s="38"/>
      <c r="I86" s="38"/>
      <c r="J86" s="38"/>
      <c r="K86" s="38"/>
    </row>
    <row r="87" ht="14.4" spans="2:11"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ht="14.4" spans="2:11"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ht="14.4" spans="2:11">
      <c r="B89" s="38"/>
      <c r="C89" s="38"/>
      <c r="D89" s="38"/>
      <c r="E89" s="38"/>
      <c r="F89" s="38"/>
      <c r="G89" s="38"/>
      <c r="H89" s="38"/>
      <c r="I89" s="38"/>
      <c r="J89" s="38"/>
      <c r="K89" s="38"/>
    </row>
    <row r="90" ht="14.4" spans="2:11"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ht="14.4" spans="2:11">
      <c r="B91" s="38"/>
      <c r="C91" s="38"/>
      <c r="D91" s="38"/>
      <c r="E91" s="38"/>
      <c r="F91" s="38"/>
      <c r="G91" s="38"/>
      <c r="H91" s="38"/>
      <c r="I91" s="38"/>
      <c r="J91" s="38"/>
      <c r="K91" s="38"/>
    </row>
    <row r="92" ht="14.4" spans="2:11"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ht="14.4" spans="2:11"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ht="14.4" spans="2:11">
      <c r="B94" s="38"/>
      <c r="C94" s="38"/>
      <c r="D94" s="38"/>
      <c r="E94" s="38"/>
      <c r="F94" s="38"/>
      <c r="G94" s="38"/>
      <c r="H94" s="38"/>
      <c r="I94" s="38"/>
      <c r="J94" s="38"/>
      <c r="K94" s="38"/>
    </row>
    <row r="95" ht="14.4" spans="2:11"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ht="14.4" spans="2:11">
      <c r="B96" s="38"/>
      <c r="C96" s="38"/>
      <c r="D96" s="38"/>
      <c r="E96" s="38"/>
      <c r="F96" s="38"/>
      <c r="G96" s="38"/>
      <c r="H96" s="38"/>
      <c r="I96" s="38"/>
      <c r="J96" s="38"/>
      <c r="K96" s="38"/>
    </row>
    <row r="97" ht="14.4" spans="2:11"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ht="14.4" spans="2:11">
      <c r="B98" s="38"/>
      <c r="C98" s="38"/>
      <c r="D98" s="38"/>
      <c r="E98" s="38"/>
      <c r="F98" s="38"/>
      <c r="G98" s="38"/>
      <c r="H98" s="38"/>
      <c r="I98" s="38"/>
      <c r="J98" s="38"/>
      <c r="K98" s="38"/>
    </row>
    <row r="99" ht="14.4" spans="2:11"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ht="14.4" spans="2:11"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  <row r="101" ht="14.4" spans="2:11">
      <c r="B101" s="38"/>
      <c r="C101" s="38"/>
      <c r="D101" s="38"/>
      <c r="E101" s="38"/>
      <c r="F101" s="38"/>
      <c r="G101" s="38"/>
      <c r="H101" s="38"/>
      <c r="I101" s="38"/>
      <c r="J101" s="38"/>
      <c r="K101" s="38"/>
    </row>
    <row r="102" ht="14.4" spans="2:11">
      <c r="B102" s="38"/>
      <c r="C102" s="38"/>
      <c r="D102" s="38"/>
      <c r="E102" s="38"/>
      <c r="F102" s="38"/>
      <c r="G102" s="38"/>
      <c r="H102" s="38"/>
      <c r="I102" s="38"/>
      <c r="J102" s="38"/>
      <c r="K102" s="38"/>
    </row>
    <row r="103" ht="14.4" spans="2:11">
      <c r="B103" s="38"/>
      <c r="C103" s="38"/>
      <c r="D103" s="38"/>
      <c r="E103" s="38"/>
      <c r="F103" s="38"/>
      <c r="G103" s="38"/>
      <c r="H103" s="38"/>
      <c r="I103" s="38"/>
      <c r="J103" s="38"/>
      <c r="K103" s="38"/>
    </row>
    <row r="104" ht="14.4" spans="2:11"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ht="14.4" spans="2:11">
      <c r="B105" s="38"/>
      <c r="C105" s="38"/>
      <c r="D105" s="38"/>
      <c r="E105" s="38"/>
      <c r="F105" s="38"/>
      <c r="G105" s="38"/>
      <c r="H105" s="38"/>
      <c r="I105" s="38"/>
      <c r="J105" s="38"/>
      <c r="K105" s="38"/>
    </row>
    <row r="106" ht="14.4" spans="2:11"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  <row r="107" ht="14.4" spans="2:11">
      <c r="B107" s="38"/>
      <c r="C107" s="38"/>
      <c r="D107" s="38"/>
      <c r="E107" s="38"/>
      <c r="F107" s="38"/>
      <c r="G107" s="38"/>
      <c r="H107" s="38"/>
      <c r="I107" s="38"/>
      <c r="J107" s="38"/>
      <c r="K107" s="38"/>
    </row>
    <row r="108" ht="14.4" spans="2:11">
      <c r="B108" s="38"/>
      <c r="C108" s="38"/>
      <c r="D108" s="38"/>
      <c r="E108" s="38"/>
      <c r="F108" s="38"/>
      <c r="G108" s="38"/>
      <c r="H108" s="38"/>
      <c r="I108" s="38"/>
      <c r="J108" s="38"/>
      <c r="K108" s="38"/>
    </row>
    <row r="109" ht="14.4" spans="2:11"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ht="14.4" spans="2:11">
      <c r="B110" s="38"/>
      <c r="C110" s="38"/>
      <c r="D110" s="38"/>
      <c r="E110" s="38"/>
      <c r="F110" s="38"/>
      <c r="G110" s="38"/>
      <c r="H110" s="38"/>
      <c r="I110" s="38"/>
      <c r="J110" s="38"/>
      <c r="K110" s="38"/>
    </row>
    <row r="111" ht="14.4" spans="2:11"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ht="14.4" spans="2:11"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ht="14.4" spans="2:11">
      <c r="B113" s="38"/>
      <c r="C113" s="38"/>
      <c r="D113" s="38"/>
      <c r="E113" s="38"/>
      <c r="F113" s="38"/>
      <c r="G113" s="38"/>
      <c r="H113" s="38"/>
      <c r="I113" s="38"/>
      <c r="J113" s="38"/>
      <c r="K113" s="38"/>
    </row>
    <row r="114" ht="14.4" spans="2:11">
      <c r="B114" s="38"/>
      <c r="C114" s="38"/>
      <c r="D114" s="38"/>
      <c r="E114" s="38"/>
      <c r="F114" s="38"/>
      <c r="G114" s="38"/>
      <c r="H114" s="38"/>
      <c r="I114" s="38"/>
      <c r="J114" s="38"/>
      <c r="K114" s="38"/>
    </row>
    <row r="115" ht="14.4" spans="2:11"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 ht="14.4" spans="2:11">
      <c r="B116" s="38"/>
      <c r="C116" s="38"/>
      <c r="D116" s="38"/>
      <c r="E116" s="38"/>
      <c r="F116" s="38"/>
      <c r="G116" s="38"/>
      <c r="H116" s="38"/>
      <c r="I116" s="38"/>
      <c r="J116" s="38"/>
      <c r="K116" s="38"/>
    </row>
    <row r="117" ht="14.4" spans="2:11"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ht="14.4" spans="2:11"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ht="14.4" spans="2:11"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 ht="14.4" spans="2:11"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 ht="14.4" spans="2:11"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 ht="14.4" spans="2:11"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  <row r="123" ht="14.4" spans="2:11">
      <c r="B123" s="38"/>
      <c r="C123" s="38"/>
      <c r="D123" s="38"/>
      <c r="E123" s="38"/>
      <c r="F123" s="38"/>
      <c r="G123" s="38"/>
      <c r="H123" s="38"/>
      <c r="I123" s="38"/>
      <c r="J123" s="38"/>
      <c r="K123" s="38"/>
    </row>
    <row r="124" ht="14.4" spans="2:11"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 ht="14.4" spans="2:11">
      <c r="B125" s="38"/>
      <c r="C125" s="38"/>
      <c r="D125" s="38"/>
      <c r="E125" s="38"/>
      <c r="F125" s="38"/>
      <c r="G125" s="38"/>
      <c r="H125" s="38"/>
      <c r="I125" s="38"/>
      <c r="J125" s="38"/>
      <c r="K125" s="38"/>
    </row>
    <row r="126" ht="14.4" spans="2:11"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7" ht="14.4" spans="2:11">
      <c r="B127" s="38"/>
      <c r="C127" s="38"/>
      <c r="D127" s="38"/>
      <c r="E127" s="38"/>
      <c r="F127" s="38"/>
      <c r="G127" s="38"/>
      <c r="H127" s="38"/>
      <c r="I127" s="38"/>
      <c r="J127" s="38"/>
      <c r="K127" s="38"/>
    </row>
    <row r="128" ht="14.4" spans="2:11">
      <c r="B128" s="38"/>
      <c r="C128" s="38"/>
      <c r="D128" s="38"/>
      <c r="E128" s="38"/>
      <c r="F128" s="38"/>
      <c r="G128" s="38"/>
      <c r="H128" s="38"/>
      <c r="I128" s="38"/>
      <c r="J128" s="38"/>
      <c r="K128" s="38"/>
    </row>
    <row r="129" ht="14.4" spans="2:11">
      <c r="B129" s="38"/>
      <c r="C129" s="38"/>
      <c r="D129" s="38"/>
      <c r="E129" s="38"/>
      <c r="F129" s="38"/>
      <c r="G129" s="38"/>
      <c r="H129" s="38"/>
      <c r="I129" s="38"/>
      <c r="J129" s="38"/>
      <c r="K129" s="38"/>
    </row>
    <row r="130" ht="14.4" spans="2:11">
      <c r="B130" s="38"/>
      <c r="C130" s="38"/>
      <c r="D130" s="38"/>
      <c r="E130" s="38"/>
      <c r="F130" s="38"/>
      <c r="G130" s="38"/>
      <c r="H130" s="38"/>
      <c r="I130" s="38"/>
      <c r="J130" s="38"/>
      <c r="K130" s="38"/>
    </row>
    <row r="131" ht="14.4" spans="2:11"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 ht="14.4" spans="2:11">
      <c r="B132" s="38"/>
      <c r="C132" s="38"/>
      <c r="D132" s="38"/>
      <c r="E132" s="38"/>
      <c r="F132" s="38"/>
      <c r="G132" s="38"/>
      <c r="H132" s="38"/>
      <c r="I132" s="38"/>
      <c r="J132" s="38"/>
      <c r="K132" s="38"/>
    </row>
    <row r="133" ht="14.4" spans="2:11">
      <c r="B133" s="38"/>
      <c r="C133" s="38"/>
      <c r="D133" s="38"/>
      <c r="E133" s="38"/>
      <c r="F133" s="38"/>
      <c r="G133" s="38"/>
      <c r="H133" s="38"/>
      <c r="I133" s="38"/>
      <c r="J133" s="38"/>
      <c r="K133" s="38"/>
    </row>
    <row r="134" ht="14.4" spans="2:11">
      <c r="B134" s="38"/>
      <c r="C134" s="38"/>
      <c r="D134" s="38"/>
      <c r="E134" s="38"/>
      <c r="F134" s="38"/>
      <c r="G134" s="38"/>
      <c r="H134" s="38"/>
      <c r="I134" s="38"/>
      <c r="J134" s="38"/>
      <c r="K134" s="38"/>
    </row>
    <row r="135" ht="14.4" spans="2:11">
      <c r="B135" s="38"/>
      <c r="C135" s="38"/>
      <c r="D135" s="38"/>
      <c r="E135" s="38"/>
      <c r="F135" s="38"/>
      <c r="G135" s="38"/>
      <c r="H135" s="38"/>
      <c r="I135" s="38"/>
      <c r="J135" s="38"/>
      <c r="K135" s="38"/>
    </row>
    <row r="136" ht="14.4" spans="2:11">
      <c r="B136" s="38"/>
      <c r="C136" s="38"/>
      <c r="D136" s="38"/>
      <c r="E136" s="38"/>
      <c r="F136" s="38"/>
      <c r="G136" s="38"/>
      <c r="H136" s="38"/>
      <c r="I136" s="38"/>
      <c r="J136" s="38"/>
      <c r="K136" s="38"/>
    </row>
    <row r="137" ht="14.4" spans="2:11"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 ht="14.4" spans="2:11">
      <c r="B138" s="38"/>
      <c r="C138" s="38"/>
      <c r="D138" s="38"/>
      <c r="E138" s="38"/>
      <c r="F138" s="38"/>
      <c r="G138" s="38"/>
      <c r="H138" s="38"/>
      <c r="I138" s="38"/>
      <c r="J138" s="38"/>
      <c r="K138" s="38"/>
    </row>
    <row r="139" ht="14.4" spans="2:11">
      <c r="B139" s="38"/>
      <c r="C139" s="38"/>
      <c r="D139" s="38"/>
      <c r="E139" s="38"/>
      <c r="F139" s="38"/>
      <c r="G139" s="38"/>
      <c r="H139" s="38"/>
      <c r="I139" s="38"/>
      <c r="J139" s="38"/>
      <c r="K139" s="38"/>
    </row>
    <row r="140" ht="14.4" spans="2:11">
      <c r="B140" s="38"/>
      <c r="C140" s="38"/>
      <c r="D140" s="38"/>
      <c r="E140" s="38"/>
      <c r="F140" s="38"/>
      <c r="G140" s="38"/>
      <c r="H140" s="38"/>
      <c r="I140" s="38"/>
      <c r="J140" s="38"/>
      <c r="K140" s="38"/>
    </row>
    <row r="141" ht="14.4" spans="2:11">
      <c r="B141" s="38"/>
      <c r="C141" s="38"/>
      <c r="D141" s="38"/>
      <c r="E141" s="38"/>
      <c r="F141" s="38"/>
      <c r="G141" s="38"/>
      <c r="H141" s="38"/>
      <c r="I141" s="38"/>
      <c r="J141" s="38"/>
      <c r="K141" s="38"/>
    </row>
    <row r="142" ht="14.4" spans="2:11">
      <c r="B142" s="38"/>
      <c r="C142" s="38"/>
      <c r="D142" s="38"/>
      <c r="E142" s="38"/>
      <c r="F142" s="38"/>
      <c r="G142" s="38"/>
      <c r="H142" s="38"/>
      <c r="I142" s="38"/>
      <c r="J142" s="38"/>
      <c r="K142" s="38"/>
    </row>
    <row r="143" ht="14.4" spans="2:11"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  <row r="144" ht="14.4" spans="2:11">
      <c r="B144" s="38"/>
      <c r="C144" s="38"/>
      <c r="D144" s="38"/>
      <c r="E144" s="38"/>
      <c r="F144" s="38"/>
      <c r="G144" s="38"/>
      <c r="H144" s="38"/>
      <c r="I144" s="38"/>
      <c r="J144" s="38"/>
      <c r="K144" s="38"/>
    </row>
    <row r="145" ht="14.4" spans="2:11">
      <c r="B145" s="38"/>
      <c r="C145" s="38"/>
      <c r="D145" s="38"/>
      <c r="E145" s="38"/>
      <c r="F145" s="38"/>
      <c r="G145" s="38"/>
      <c r="H145" s="38"/>
      <c r="I145" s="38"/>
      <c r="J145" s="38"/>
      <c r="K145" s="38"/>
    </row>
    <row r="146" ht="14.4" spans="2:11">
      <c r="B146" s="38"/>
      <c r="C146" s="38"/>
      <c r="D146" s="38"/>
      <c r="E146" s="38"/>
      <c r="F146" s="38"/>
      <c r="G146" s="38"/>
      <c r="H146" s="38"/>
      <c r="I146" s="38"/>
      <c r="J146" s="38"/>
      <c r="K146" s="38"/>
    </row>
    <row r="147" ht="14.4" spans="2:11"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 ht="14.4" spans="2:11"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 ht="14.4" spans="2:11">
      <c r="B149" s="38"/>
      <c r="C149" s="38"/>
      <c r="D149" s="38"/>
      <c r="E149" s="38"/>
      <c r="F149" s="38"/>
      <c r="G149" s="38"/>
      <c r="H149" s="38"/>
      <c r="I149" s="38"/>
      <c r="J149" s="38"/>
      <c r="K149" s="38"/>
    </row>
    <row r="150" ht="14.4" spans="2:11">
      <c r="B150" s="38"/>
      <c r="C150" s="38"/>
      <c r="D150" s="38"/>
      <c r="E150" s="38"/>
      <c r="F150" s="38"/>
      <c r="G150" s="38"/>
      <c r="H150" s="38"/>
      <c r="I150" s="38"/>
      <c r="J150" s="38"/>
      <c r="K150" s="38"/>
    </row>
    <row r="151" ht="14.4" spans="2:11">
      <c r="B151" s="38"/>
      <c r="C151" s="38"/>
      <c r="D151" s="38"/>
      <c r="E151" s="38"/>
      <c r="F151" s="38"/>
      <c r="G151" s="38"/>
      <c r="H151" s="38"/>
      <c r="I151" s="38"/>
      <c r="J151" s="38"/>
      <c r="K151" s="38"/>
    </row>
    <row r="152" ht="14.4" spans="2:11">
      <c r="B152" s="38"/>
      <c r="C152" s="38"/>
      <c r="D152" s="38"/>
      <c r="E152" s="38"/>
      <c r="F152" s="38"/>
      <c r="G152" s="38"/>
      <c r="H152" s="38"/>
      <c r="I152" s="38"/>
      <c r="J152" s="38"/>
      <c r="K152" s="38"/>
    </row>
    <row r="153" ht="14.4" spans="2:11">
      <c r="B153" s="38"/>
      <c r="C153" s="38"/>
      <c r="D153" s="38"/>
      <c r="E153" s="38"/>
      <c r="F153" s="38"/>
      <c r="G153" s="38"/>
      <c r="H153" s="38"/>
      <c r="I153" s="38"/>
      <c r="J153" s="38"/>
      <c r="K153" s="38"/>
    </row>
    <row r="154" ht="14.4" spans="2:11">
      <c r="B154" s="38"/>
      <c r="C154" s="38"/>
      <c r="D154" s="38"/>
      <c r="E154" s="38"/>
      <c r="F154" s="38"/>
      <c r="G154" s="38"/>
      <c r="H154" s="38"/>
      <c r="I154" s="38"/>
      <c r="J154" s="38"/>
      <c r="K154" s="38"/>
    </row>
    <row r="155" ht="14.4" spans="2:11">
      <c r="B155" s="38"/>
      <c r="C155" s="38"/>
      <c r="D155" s="38"/>
      <c r="E155" s="38"/>
      <c r="F155" s="38"/>
      <c r="G155" s="38"/>
      <c r="H155" s="38"/>
      <c r="I155" s="38"/>
      <c r="J155" s="38"/>
      <c r="K155" s="38"/>
    </row>
    <row r="156" ht="14.4" spans="2:11">
      <c r="B156" s="38"/>
      <c r="C156" s="38"/>
      <c r="D156" s="38"/>
      <c r="E156" s="38"/>
      <c r="F156" s="38"/>
      <c r="G156" s="38"/>
      <c r="H156" s="38"/>
      <c r="I156" s="38"/>
      <c r="J156" s="38"/>
      <c r="K156" s="38"/>
    </row>
    <row r="157" ht="14.4" spans="2:11">
      <c r="B157" s="38"/>
      <c r="C157" s="38"/>
      <c r="D157" s="38"/>
      <c r="E157" s="38"/>
      <c r="F157" s="38"/>
      <c r="G157" s="38"/>
      <c r="H157" s="38"/>
      <c r="I157" s="38"/>
      <c r="J157" s="38"/>
      <c r="K157" s="38"/>
    </row>
    <row r="158" ht="14.4" spans="2:11">
      <c r="B158" s="38"/>
      <c r="C158" s="38"/>
      <c r="D158" s="38"/>
      <c r="E158" s="38"/>
      <c r="F158" s="38"/>
      <c r="G158" s="38"/>
      <c r="H158" s="38"/>
      <c r="I158" s="38"/>
      <c r="J158" s="38"/>
      <c r="K158" s="38"/>
    </row>
    <row r="159" ht="14.4" spans="2:11">
      <c r="B159" s="38"/>
      <c r="C159" s="38"/>
      <c r="D159" s="38"/>
      <c r="E159" s="38"/>
      <c r="F159" s="38"/>
      <c r="G159" s="38"/>
      <c r="H159" s="38"/>
      <c r="I159" s="38"/>
      <c r="J159" s="38"/>
      <c r="K159" s="38"/>
    </row>
    <row r="160" ht="14.4" spans="2:11">
      <c r="B160" s="38"/>
      <c r="C160" s="38"/>
      <c r="D160" s="38"/>
      <c r="E160" s="38"/>
      <c r="F160" s="38"/>
      <c r="G160" s="38"/>
      <c r="H160" s="38"/>
      <c r="I160" s="38"/>
      <c r="J160" s="38"/>
      <c r="K160" s="38"/>
    </row>
    <row r="161" ht="14.4" spans="2:11">
      <c r="B161" s="38"/>
      <c r="C161" s="38"/>
      <c r="D161" s="38"/>
      <c r="E161" s="38"/>
      <c r="F161" s="38"/>
      <c r="G161" s="38"/>
      <c r="H161" s="38"/>
      <c r="I161" s="38"/>
      <c r="J161" s="38"/>
      <c r="K161" s="38"/>
    </row>
    <row r="162" ht="14.4" spans="2:11">
      <c r="B162" s="38"/>
      <c r="C162" s="38"/>
      <c r="D162" s="38"/>
      <c r="E162" s="38"/>
      <c r="F162" s="38"/>
      <c r="G162" s="38"/>
      <c r="H162" s="38"/>
      <c r="I162" s="38"/>
      <c r="J162" s="38"/>
      <c r="K162" s="38"/>
    </row>
    <row r="163" ht="14.4" spans="2:11">
      <c r="B163" s="38"/>
      <c r="C163" s="38"/>
      <c r="D163" s="38"/>
      <c r="E163" s="38"/>
      <c r="F163" s="38"/>
      <c r="G163" s="38"/>
      <c r="H163" s="38"/>
      <c r="I163" s="38"/>
      <c r="J163" s="38"/>
      <c r="K163" s="38"/>
    </row>
    <row r="164" ht="14.4" spans="2:11">
      <c r="B164" s="38"/>
      <c r="C164" s="38"/>
      <c r="D164" s="38"/>
      <c r="E164" s="38"/>
      <c r="F164" s="38"/>
      <c r="G164" s="38"/>
      <c r="H164" s="38"/>
      <c r="I164" s="38"/>
      <c r="J164" s="38"/>
      <c r="K164" s="38"/>
    </row>
    <row r="165" ht="14.4" spans="2:11">
      <c r="B165" s="38"/>
      <c r="C165" s="38"/>
      <c r="D165" s="38"/>
      <c r="E165" s="38"/>
      <c r="F165" s="38"/>
      <c r="G165" s="38"/>
      <c r="H165" s="38"/>
      <c r="I165" s="38"/>
      <c r="J165" s="38"/>
      <c r="K165" s="38"/>
    </row>
    <row r="166" ht="14.4" spans="2:11">
      <c r="B166" s="38"/>
      <c r="C166" s="38"/>
      <c r="D166" s="38"/>
      <c r="E166" s="38"/>
      <c r="F166" s="38"/>
      <c r="G166" s="38"/>
      <c r="H166" s="38"/>
      <c r="I166" s="38"/>
      <c r="J166" s="38"/>
      <c r="K166" s="38"/>
    </row>
    <row r="167" ht="14.4" spans="2:11">
      <c r="B167" s="38"/>
      <c r="C167" s="38"/>
      <c r="D167" s="38"/>
      <c r="E167" s="38"/>
      <c r="F167" s="38"/>
      <c r="G167" s="38"/>
      <c r="H167" s="38"/>
      <c r="I167" s="38"/>
      <c r="J167" s="38"/>
      <c r="K167" s="38"/>
    </row>
    <row r="168" ht="14.4" spans="2:11">
      <c r="B168" s="38"/>
      <c r="C168" s="38"/>
      <c r="D168" s="38"/>
      <c r="E168" s="38"/>
      <c r="F168" s="38"/>
      <c r="G168" s="38"/>
      <c r="H168" s="38"/>
      <c r="I168" s="38"/>
      <c r="J168" s="38"/>
      <c r="K168" s="38"/>
    </row>
    <row r="169" ht="14.4" spans="2:11">
      <c r="B169" s="38"/>
      <c r="C169" s="38"/>
      <c r="D169" s="38"/>
      <c r="E169" s="38"/>
      <c r="F169" s="38"/>
      <c r="G169" s="38"/>
      <c r="H169" s="38"/>
      <c r="I169" s="38"/>
      <c r="J169" s="38"/>
      <c r="K169" s="38"/>
    </row>
    <row r="170" ht="14.4" spans="2:11">
      <c r="B170" s="38"/>
      <c r="C170" s="38"/>
      <c r="D170" s="38"/>
      <c r="E170" s="38"/>
      <c r="F170" s="38"/>
      <c r="G170" s="38"/>
      <c r="H170" s="38"/>
      <c r="I170" s="38"/>
      <c r="J170" s="38"/>
      <c r="K170" s="38"/>
    </row>
    <row r="171" ht="14.4" spans="2:11">
      <c r="B171" s="38"/>
      <c r="C171" s="38"/>
      <c r="D171" s="38"/>
      <c r="E171" s="38"/>
      <c r="F171" s="38"/>
      <c r="G171" s="38"/>
      <c r="H171" s="38"/>
      <c r="I171" s="38"/>
      <c r="J171" s="38"/>
      <c r="K171" s="38"/>
    </row>
    <row r="172" ht="14.4" spans="2:11">
      <c r="B172" s="38"/>
      <c r="C172" s="38"/>
      <c r="D172" s="38"/>
      <c r="E172" s="38"/>
      <c r="F172" s="38"/>
      <c r="G172" s="38"/>
      <c r="H172" s="38"/>
      <c r="I172" s="38"/>
      <c r="J172" s="38"/>
      <c r="K172" s="38"/>
    </row>
    <row r="173" ht="14.4" spans="2:11">
      <c r="B173" s="38"/>
      <c r="C173" s="38"/>
      <c r="D173" s="38"/>
      <c r="E173" s="38"/>
      <c r="F173" s="38"/>
      <c r="G173" s="38"/>
      <c r="H173" s="38"/>
      <c r="I173" s="38"/>
      <c r="J173" s="38"/>
      <c r="K173" s="38"/>
    </row>
    <row r="174" ht="14.4" spans="2:11">
      <c r="B174" s="38"/>
      <c r="C174" s="38"/>
      <c r="D174" s="38"/>
      <c r="E174" s="38"/>
      <c r="F174" s="38"/>
      <c r="G174" s="38"/>
      <c r="H174" s="38"/>
      <c r="I174" s="38"/>
      <c r="J174" s="38"/>
      <c r="K174" s="38"/>
    </row>
    <row r="175" ht="14.4" spans="2:11">
      <c r="B175" s="38"/>
      <c r="C175" s="38"/>
      <c r="D175" s="38"/>
      <c r="E175" s="38"/>
      <c r="F175" s="38"/>
      <c r="G175" s="38"/>
      <c r="H175" s="38"/>
      <c r="I175" s="38"/>
      <c r="J175" s="38"/>
      <c r="K175" s="38"/>
    </row>
    <row r="176" ht="14.4" spans="2:11">
      <c r="B176" s="38"/>
      <c r="C176" s="38"/>
      <c r="D176" s="38"/>
      <c r="E176" s="38"/>
      <c r="F176" s="38"/>
      <c r="G176" s="38"/>
      <c r="H176" s="38"/>
      <c r="I176" s="38"/>
      <c r="J176" s="38"/>
      <c r="K176" s="38"/>
    </row>
    <row r="177" ht="14.4" spans="2:11">
      <c r="B177" s="38"/>
      <c r="C177" s="38"/>
      <c r="D177" s="38"/>
      <c r="E177" s="38"/>
      <c r="F177" s="38"/>
      <c r="G177" s="38"/>
      <c r="H177" s="38"/>
      <c r="I177" s="38"/>
      <c r="J177" s="38"/>
      <c r="K177" s="38"/>
    </row>
    <row r="178" ht="14.4" spans="2:11">
      <c r="B178" s="38"/>
      <c r="C178" s="38"/>
      <c r="D178" s="38"/>
      <c r="E178" s="38"/>
      <c r="F178" s="38"/>
      <c r="G178" s="38"/>
      <c r="H178" s="38"/>
      <c r="I178" s="38"/>
      <c r="J178" s="38"/>
      <c r="K178" s="38"/>
    </row>
    <row r="179" ht="14.4" spans="2:11">
      <c r="B179" s="38"/>
      <c r="C179" s="38"/>
      <c r="D179" s="38"/>
      <c r="E179" s="38"/>
      <c r="F179" s="38"/>
      <c r="G179" s="38"/>
      <c r="H179" s="38"/>
      <c r="I179" s="38"/>
      <c r="J179" s="38"/>
      <c r="K179" s="38"/>
    </row>
    <row r="180" ht="14.4" spans="2:11">
      <c r="B180" s="38"/>
      <c r="C180" s="38"/>
      <c r="D180" s="38"/>
      <c r="E180" s="38"/>
      <c r="F180" s="38"/>
      <c r="G180" s="38"/>
      <c r="H180" s="38"/>
      <c r="I180" s="38"/>
      <c r="J180" s="38"/>
      <c r="K180" s="38"/>
    </row>
    <row r="181" ht="14.4" spans="2:11">
      <c r="B181" s="38"/>
      <c r="C181" s="38"/>
      <c r="D181" s="38"/>
      <c r="E181" s="38"/>
      <c r="F181" s="38"/>
      <c r="G181" s="38"/>
      <c r="H181" s="38"/>
      <c r="I181" s="38"/>
      <c r="J181" s="38"/>
      <c r="K181" s="38"/>
    </row>
    <row r="182" ht="14.4" spans="2:11">
      <c r="B182" s="38"/>
      <c r="C182" s="38"/>
      <c r="D182" s="38"/>
      <c r="E182" s="38"/>
      <c r="F182" s="38"/>
      <c r="G182" s="38"/>
      <c r="H182" s="38"/>
      <c r="I182" s="38"/>
      <c r="J182" s="38"/>
      <c r="K182" s="38"/>
    </row>
    <row r="183" ht="14.4" spans="2:11">
      <c r="B183" s="38"/>
      <c r="C183" s="38"/>
      <c r="D183" s="38"/>
      <c r="E183" s="38"/>
      <c r="F183" s="38"/>
      <c r="G183" s="38"/>
      <c r="H183" s="38"/>
      <c r="I183" s="38"/>
      <c r="J183" s="38"/>
      <c r="K183" s="38"/>
    </row>
    <row r="184" ht="14.4" spans="2:11">
      <c r="B184" s="38"/>
      <c r="C184" s="38"/>
      <c r="D184" s="38"/>
      <c r="E184" s="38"/>
      <c r="F184" s="38"/>
      <c r="G184" s="38"/>
      <c r="H184" s="38"/>
      <c r="I184" s="38"/>
      <c r="J184" s="38"/>
      <c r="K184" s="38"/>
    </row>
    <row r="185" ht="14.4" spans="2:11">
      <c r="B185" s="38"/>
      <c r="C185" s="38"/>
      <c r="D185" s="38"/>
      <c r="E185" s="38"/>
      <c r="F185" s="38"/>
      <c r="G185" s="38"/>
      <c r="H185" s="38"/>
      <c r="I185" s="38"/>
      <c r="J185" s="38"/>
      <c r="K185" s="38"/>
    </row>
    <row r="186" ht="14.4" spans="2:11">
      <c r="B186" s="38"/>
      <c r="C186" s="38"/>
      <c r="D186" s="38"/>
      <c r="E186" s="38"/>
      <c r="F186" s="38"/>
      <c r="G186" s="38"/>
      <c r="H186" s="38"/>
      <c r="I186" s="38"/>
      <c r="J186" s="38"/>
      <c r="K186" s="38"/>
    </row>
    <row r="187" ht="14.4" spans="2:11">
      <c r="B187" s="38"/>
      <c r="C187" s="38"/>
      <c r="D187" s="38"/>
      <c r="E187" s="38"/>
      <c r="F187" s="38"/>
      <c r="G187" s="38"/>
      <c r="H187" s="38"/>
      <c r="I187" s="38"/>
      <c r="J187" s="38"/>
      <c r="K187" s="38"/>
    </row>
    <row r="188" ht="14.4" spans="2:11">
      <c r="B188" s="38"/>
      <c r="C188" s="38"/>
      <c r="D188" s="38"/>
      <c r="E188" s="38"/>
      <c r="F188" s="38"/>
      <c r="G188" s="38"/>
      <c r="H188" s="38"/>
      <c r="I188" s="38"/>
      <c r="J188" s="38"/>
      <c r="K188" s="38"/>
    </row>
    <row r="189" ht="14.4" spans="2:11">
      <c r="B189" s="38"/>
      <c r="C189" s="38"/>
      <c r="D189" s="38"/>
      <c r="E189" s="38"/>
      <c r="F189" s="38"/>
      <c r="G189" s="38"/>
      <c r="H189" s="38"/>
      <c r="I189" s="38"/>
      <c r="J189" s="38"/>
      <c r="K189" s="38"/>
    </row>
    <row r="190" ht="14.4" spans="2:11">
      <c r="B190" s="38"/>
      <c r="C190" s="38"/>
      <c r="D190" s="38"/>
      <c r="E190" s="38"/>
      <c r="F190" s="38"/>
      <c r="G190" s="38"/>
      <c r="H190" s="38"/>
      <c r="I190" s="38"/>
      <c r="J190" s="38"/>
      <c r="K190" s="38"/>
    </row>
    <row r="191" ht="14.4" spans="2:11">
      <c r="B191" s="38"/>
      <c r="C191" s="38"/>
      <c r="D191" s="38"/>
      <c r="E191" s="38"/>
      <c r="F191" s="38"/>
      <c r="G191" s="38"/>
      <c r="H191" s="38"/>
      <c r="I191" s="38"/>
      <c r="J191" s="38"/>
      <c r="K191" s="38"/>
    </row>
    <row r="192" ht="14.4" spans="2:11">
      <c r="B192" s="38"/>
      <c r="C192" s="38"/>
      <c r="D192" s="38"/>
      <c r="E192" s="38"/>
      <c r="F192" s="38"/>
      <c r="G192" s="38"/>
      <c r="H192" s="38"/>
      <c r="I192" s="38"/>
      <c r="J192" s="38"/>
      <c r="K192" s="38"/>
    </row>
    <row r="193" ht="14.4" spans="2:11"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ht="14.4" spans="2:11">
      <c r="B194" s="38"/>
      <c r="C194" s="38"/>
      <c r="D194" s="38"/>
      <c r="E194" s="38"/>
      <c r="F194" s="38"/>
      <c r="G194" s="38"/>
      <c r="H194" s="38"/>
      <c r="I194" s="38"/>
      <c r="J194" s="38"/>
      <c r="K194" s="38"/>
    </row>
    <row r="195" ht="14.4" spans="2:11">
      <c r="B195" s="38"/>
      <c r="C195" s="38"/>
      <c r="D195" s="38"/>
      <c r="E195" s="38"/>
      <c r="F195" s="38"/>
      <c r="G195" s="38"/>
      <c r="H195" s="38"/>
      <c r="I195" s="38"/>
      <c r="J195" s="38"/>
      <c r="K195" s="38"/>
    </row>
    <row r="196" ht="14.4" spans="2:11">
      <c r="B196" s="38"/>
      <c r="C196" s="38"/>
      <c r="D196" s="38"/>
      <c r="E196" s="38"/>
      <c r="F196" s="38"/>
      <c r="G196" s="38"/>
      <c r="H196" s="38"/>
      <c r="I196" s="38"/>
      <c r="J196" s="38"/>
      <c r="K196" s="38"/>
    </row>
    <row r="197" ht="14.4" spans="2:11"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 ht="14.4" spans="2:11">
      <c r="B198" s="38"/>
      <c r="C198" s="38"/>
      <c r="D198" s="38"/>
      <c r="E198" s="38"/>
      <c r="F198" s="38"/>
      <c r="G198" s="38"/>
      <c r="H198" s="38"/>
      <c r="I198" s="38"/>
      <c r="J198" s="38"/>
      <c r="K198" s="38"/>
    </row>
    <row r="199" ht="14.4" spans="2:11">
      <c r="B199" s="38"/>
      <c r="C199" s="38"/>
      <c r="D199" s="38"/>
      <c r="E199" s="38"/>
      <c r="F199" s="38"/>
      <c r="G199" s="38"/>
      <c r="H199" s="38"/>
      <c r="I199" s="38"/>
      <c r="J199" s="38"/>
      <c r="K199" s="38"/>
    </row>
    <row r="200" ht="14.4" spans="2:11">
      <c r="B200" s="38"/>
      <c r="C200" s="38"/>
      <c r="D200" s="38"/>
      <c r="E200" s="38"/>
      <c r="F200" s="38"/>
      <c r="G200" s="38"/>
      <c r="H200" s="38"/>
      <c r="I200" s="38"/>
      <c r="J200" s="38"/>
      <c r="K200" s="38"/>
    </row>
    <row r="201" ht="14.4" spans="2:11">
      <c r="B201" s="38"/>
      <c r="C201" s="38"/>
      <c r="D201" s="38"/>
      <c r="E201" s="38"/>
      <c r="F201" s="38"/>
      <c r="G201" s="38"/>
      <c r="H201" s="38"/>
      <c r="I201" s="38"/>
      <c r="J201" s="38"/>
      <c r="K201" s="38"/>
    </row>
    <row r="202" ht="14.4" spans="2:11">
      <c r="B202" s="38"/>
      <c r="C202" s="38"/>
      <c r="D202" s="38"/>
      <c r="E202" s="38"/>
      <c r="F202" s="38"/>
      <c r="G202" s="38"/>
      <c r="H202" s="38"/>
      <c r="I202" s="38"/>
      <c r="J202" s="38"/>
      <c r="K202" s="38"/>
    </row>
    <row r="203" ht="14.4" spans="2:11">
      <c r="B203" s="38"/>
      <c r="C203" s="38"/>
      <c r="D203" s="38"/>
      <c r="E203" s="38"/>
      <c r="F203" s="38"/>
      <c r="G203" s="38"/>
      <c r="H203" s="38"/>
      <c r="I203" s="38"/>
      <c r="J203" s="38"/>
      <c r="K203" s="38"/>
    </row>
    <row r="204" ht="14.4" spans="2:11">
      <c r="B204" s="38"/>
      <c r="C204" s="38"/>
      <c r="D204" s="38"/>
      <c r="E204" s="38"/>
      <c r="F204" s="38"/>
      <c r="G204" s="38"/>
      <c r="H204" s="38"/>
      <c r="I204" s="38"/>
      <c r="J204" s="38"/>
      <c r="K204" s="38"/>
    </row>
    <row r="205" ht="14.4" spans="2:11">
      <c r="B205" s="38"/>
      <c r="C205" s="38"/>
      <c r="D205" s="38"/>
      <c r="E205" s="38"/>
      <c r="F205" s="38"/>
      <c r="G205" s="38"/>
      <c r="H205" s="38"/>
      <c r="I205" s="38"/>
      <c r="J205" s="38"/>
      <c r="K205" s="38"/>
    </row>
    <row r="206" ht="14.4" spans="2:11">
      <c r="B206" s="38"/>
      <c r="C206" s="38"/>
      <c r="D206" s="38"/>
      <c r="E206" s="38"/>
      <c r="F206" s="38"/>
      <c r="G206" s="38"/>
      <c r="H206" s="38"/>
      <c r="I206" s="38"/>
      <c r="J206" s="38"/>
      <c r="K206" s="38"/>
    </row>
    <row r="207" ht="14.4" spans="2:11">
      <c r="B207" s="38"/>
      <c r="C207" s="38"/>
      <c r="D207" s="38"/>
      <c r="E207" s="38"/>
      <c r="F207" s="38"/>
      <c r="G207" s="38"/>
      <c r="H207" s="38"/>
      <c r="I207" s="38"/>
      <c r="J207" s="38"/>
      <c r="K207" s="38"/>
    </row>
    <row r="208" ht="14.4" spans="2:11">
      <c r="B208" s="38"/>
      <c r="C208" s="38"/>
      <c r="D208" s="38"/>
      <c r="E208" s="38"/>
      <c r="F208" s="38"/>
      <c r="G208" s="38"/>
      <c r="H208" s="38"/>
      <c r="I208" s="38"/>
      <c r="J208" s="38"/>
      <c r="K208" s="38"/>
    </row>
    <row r="209" ht="14.4" spans="2:11"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 ht="14.4" spans="2:11">
      <c r="B210" s="38"/>
      <c r="C210" s="38"/>
      <c r="D210" s="38"/>
      <c r="E210" s="38"/>
      <c r="F210" s="38"/>
      <c r="G210" s="38"/>
      <c r="H210" s="38"/>
      <c r="I210" s="38"/>
      <c r="J210" s="38"/>
      <c r="K210" s="38"/>
    </row>
    <row r="211" ht="14.4" spans="2:11">
      <c r="B211" s="38"/>
      <c r="C211" s="38"/>
      <c r="D211" s="38"/>
      <c r="E211" s="38"/>
      <c r="F211" s="38"/>
      <c r="G211" s="38"/>
      <c r="H211" s="38"/>
      <c r="I211" s="38"/>
      <c r="J211" s="38"/>
      <c r="K211" s="38"/>
    </row>
    <row r="212" ht="14.4" spans="2:11">
      <c r="B212" s="38"/>
      <c r="C212" s="38"/>
      <c r="D212" s="38"/>
      <c r="E212" s="38"/>
      <c r="F212" s="38"/>
      <c r="G212" s="38"/>
      <c r="H212" s="38"/>
      <c r="I212" s="38"/>
      <c r="J212" s="38"/>
      <c r="K212" s="38"/>
    </row>
    <row r="213" ht="14.4" spans="2:11">
      <c r="B213" s="38"/>
      <c r="C213" s="38"/>
      <c r="D213" s="38"/>
      <c r="E213" s="38"/>
      <c r="F213" s="38"/>
      <c r="G213" s="38"/>
      <c r="H213" s="38"/>
      <c r="I213" s="38"/>
      <c r="J213" s="38"/>
      <c r="K213" s="38"/>
    </row>
    <row r="214" ht="14.4" spans="2:11">
      <c r="B214" s="38"/>
      <c r="C214" s="38"/>
      <c r="D214" s="38"/>
      <c r="E214" s="38"/>
      <c r="F214" s="38"/>
      <c r="G214" s="38"/>
      <c r="H214" s="38"/>
      <c r="I214" s="38"/>
      <c r="J214" s="38"/>
      <c r="K214" s="38"/>
    </row>
    <row r="215" ht="14.4" spans="2:11">
      <c r="B215" s="38"/>
      <c r="C215" s="38"/>
      <c r="D215" s="38"/>
      <c r="E215" s="38"/>
      <c r="F215" s="38"/>
      <c r="G215" s="38"/>
      <c r="H215" s="38"/>
      <c r="I215" s="38"/>
      <c r="J215" s="38"/>
      <c r="K215" s="38"/>
    </row>
    <row r="216" ht="14.4" spans="2:11">
      <c r="B216" s="38"/>
      <c r="C216" s="38"/>
      <c r="D216" s="38"/>
      <c r="E216" s="38"/>
      <c r="F216" s="38"/>
      <c r="G216" s="38"/>
      <c r="H216" s="38"/>
      <c r="I216" s="38"/>
      <c r="J216" s="38"/>
      <c r="K216" s="38"/>
    </row>
    <row r="217" ht="14.4" spans="2:11">
      <c r="B217" s="38"/>
      <c r="C217" s="38"/>
      <c r="D217" s="38"/>
      <c r="E217" s="38"/>
      <c r="F217" s="38"/>
      <c r="G217" s="38"/>
      <c r="H217" s="38"/>
      <c r="I217" s="38"/>
      <c r="J217" s="38"/>
      <c r="K217" s="38"/>
    </row>
    <row r="218" ht="14.4" spans="2:11">
      <c r="B218" s="38"/>
      <c r="C218" s="38"/>
      <c r="D218" s="38"/>
      <c r="E218" s="38"/>
      <c r="F218" s="38"/>
      <c r="G218" s="38"/>
      <c r="H218" s="38"/>
      <c r="I218" s="38"/>
      <c r="J218" s="38"/>
      <c r="K218" s="38"/>
    </row>
    <row r="219" ht="14.4" spans="2:11">
      <c r="B219" s="38"/>
      <c r="C219" s="38"/>
      <c r="D219" s="38"/>
      <c r="E219" s="38"/>
      <c r="F219" s="38"/>
      <c r="G219" s="38"/>
      <c r="H219" s="38"/>
      <c r="I219" s="38"/>
      <c r="J219" s="38"/>
      <c r="K219" s="38"/>
    </row>
    <row r="220" ht="14.4" spans="2:11">
      <c r="B220" s="38"/>
      <c r="C220" s="38"/>
      <c r="D220" s="38"/>
      <c r="E220" s="38"/>
      <c r="F220" s="38"/>
      <c r="G220" s="38"/>
      <c r="H220" s="38"/>
      <c r="I220" s="38"/>
      <c r="J220" s="38"/>
      <c r="K220" s="38"/>
    </row>
    <row r="221" ht="14.4" spans="2:11">
      <c r="B221" s="38"/>
      <c r="C221" s="38"/>
      <c r="D221" s="38"/>
      <c r="E221" s="38"/>
      <c r="F221" s="38"/>
      <c r="G221" s="38"/>
      <c r="H221" s="38"/>
      <c r="I221" s="38"/>
      <c r="J221" s="38"/>
      <c r="K221" s="38"/>
    </row>
    <row r="222" ht="14.4" spans="2:11">
      <c r="B222" s="38"/>
      <c r="C222" s="38"/>
      <c r="D222" s="38"/>
      <c r="E222" s="38"/>
      <c r="F222" s="38"/>
      <c r="G222" s="38"/>
      <c r="H222" s="38"/>
      <c r="I222" s="38"/>
      <c r="J222" s="38"/>
      <c r="K222" s="38"/>
    </row>
    <row r="223" ht="14.4" spans="2:11">
      <c r="B223" s="38"/>
      <c r="C223" s="38"/>
      <c r="D223" s="38"/>
      <c r="E223" s="38"/>
      <c r="F223" s="38"/>
      <c r="G223" s="38"/>
      <c r="H223" s="38"/>
      <c r="I223" s="38"/>
      <c r="J223" s="38"/>
      <c r="K223" s="38"/>
    </row>
    <row r="224" ht="14.4" spans="2:11">
      <c r="B224" s="38"/>
      <c r="C224" s="38"/>
      <c r="D224" s="38"/>
      <c r="E224" s="38"/>
      <c r="F224" s="38"/>
      <c r="G224" s="38"/>
      <c r="H224" s="38"/>
      <c r="I224" s="38"/>
      <c r="J224" s="38"/>
      <c r="K224" s="38"/>
    </row>
    <row r="225" ht="14.4" spans="2:11">
      <c r="B225" s="38"/>
      <c r="C225" s="38"/>
      <c r="D225" s="38"/>
      <c r="E225" s="38"/>
      <c r="F225" s="38"/>
      <c r="G225" s="38"/>
      <c r="H225" s="38"/>
      <c r="I225" s="38"/>
      <c r="J225" s="38"/>
      <c r="K225" s="38"/>
    </row>
    <row r="226" ht="14.4" spans="2:11">
      <c r="B226" s="38"/>
      <c r="C226" s="38"/>
      <c r="D226" s="38"/>
      <c r="E226" s="38"/>
      <c r="F226" s="38"/>
      <c r="G226" s="38"/>
      <c r="H226" s="38"/>
      <c r="I226" s="38"/>
      <c r="J226" s="38"/>
      <c r="K226" s="38"/>
    </row>
    <row r="227" ht="14.4" spans="2:11">
      <c r="B227" s="38"/>
      <c r="C227" s="38"/>
      <c r="D227" s="38"/>
      <c r="E227" s="38"/>
      <c r="F227" s="38"/>
      <c r="G227" s="38"/>
      <c r="H227" s="38"/>
      <c r="I227" s="38"/>
      <c r="J227" s="38"/>
      <c r="K227" s="38"/>
    </row>
    <row r="228" ht="14.4" spans="2:11">
      <c r="B228" s="38"/>
      <c r="C228" s="38"/>
      <c r="D228" s="38"/>
      <c r="E228" s="38"/>
      <c r="F228" s="38"/>
      <c r="G228" s="38"/>
      <c r="H228" s="38"/>
      <c r="I228" s="38"/>
      <c r="J228" s="38"/>
      <c r="K228" s="38"/>
    </row>
    <row r="229" ht="14.4" spans="2:11">
      <c r="B229" s="38"/>
      <c r="C229" s="38"/>
      <c r="D229" s="38"/>
      <c r="E229" s="38"/>
      <c r="F229" s="38"/>
      <c r="G229" s="38"/>
      <c r="H229" s="38"/>
      <c r="I229" s="38"/>
      <c r="J229" s="38"/>
      <c r="K229" s="38"/>
    </row>
    <row r="230" ht="14.4" spans="2:11">
      <c r="B230" s="38"/>
      <c r="C230" s="38"/>
      <c r="D230" s="38"/>
      <c r="E230" s="38"/>
      <c r="F230" s="38"/>
      <c r="G230" s="38"/>
      <c r="H230" s="38"/>
      <c r="I230" s="38"/>
      <c r="J230" s="38"/>
      <c r="K230" s="38"/>
    </row>
    <row r="231" ht="14.4" spans="2:11">
      <c r="B231" s="38"/>
      <c r="C231" s="38"/>
      <c r="D231" s="38"/>
      <c r="E231" s="38"/>
      <c r="F231" s="38"/>
      <c r="G231" s="38"/>
      <c r="H231" s="38"/>
      <c r="I231" s="38"/>
      <c r="J231" s="38"/>
      <c r="K231" s="38"/>
    </row>
    <row r="232" ht="14.4" spans="2:11">
      <c r="B232" s="38"/>
      <c r="C232" s="38"/>
      <c r="D232" s="38"/>
      <c r="E232" s="38"/>
      <c r="F232" s="38"/>
      <c r="G232" s="38"/>
      <c r="H232" s="38"/>
      <c r="I232" s="38"/>
      <c r="J232" s="38"/>
      <c r="K232" s="38"/>
    </row>
    <row r="233" ht="14.4" spans="2:11">
      <c r="B233" s="38"/>
      <c r="C233" s="38"/>
      <c r="D233" s="38"/>
      <c r="E233" s="38"/>
      <c r="F233" s="38"/>
      <c r="G233" s="38"/>
      <c r="H233" s="38"/>
      <c r="I233" s="38"/>
      <c r="J233" s="38"/>
      <c r="K233" s="38"/>
    </row>
    <row r="234" ht="14.4" spans="2:11">
      <c r="B234" s="38"/>
      <c r="C234" s="38"/>
      <c r="D234" s="38"/>
      <c r="E234" s="38"/>
      <c r="F234" s="38"/>
      <c r="G234" s="38"/>
      <c r="H234" s="38"/>
      <c r="I234" s="38"/>
      <c r="J234" s="38"/>
      <c r="K234" s="38"/>
    </row>
    <row r="235" ht="14.4" spans="2:11">
      <c r="B235" s="38"/>
      <c r="C235" s="38"/>
      <c r="D235" s="38"/>
      <c r="E235" s="38"/>
      <c r="F235" s="38"/>
      <c r="G235" s="38"/>
      <c r="H235" s="38"/>
      <c r="I235" s="38"/>
      <c r="J235" s="38"/>
      <c r="K235" s="38"/>
    </row>
    <row r="236" ht="14.4" spans="2:11">
      <c r="B236" s="38"/>
      <c r="C236" s="38"/>
      <c r="D236" s="38"/>
      <c r="E236" s="38"/>
      <c r="F236" s="38"/>
      <c r="G236" s="38"/>
      <c r="H236" s="38"/>
      <c r="I236" s="38"/>
      <c r="J236" s="38"/>
      <c r="K236" s="38"/>
    </row>
    <row r="237" ht="14.4" spans="2:11">
      <c r="B237" s="38"/>
      <c r="C237" s="38"/>
      <c r="D237" s="38"/>
      <c r="E237" s="38"/>
      <c r="F237" s="38"/>
      <c r="G237" s="38"/>
      <c r="H237" s="38"/>
      <c r="I237" s="38"/>
      <c r="J237" s="38"/>
      <c r="K237" s="38"/>
    </row>
    <row r="238" ht="14.4" spans="2:11">
      <c r="B238" s="38"/>
      <c r="C238" s="38"/>
      <c r="D238" s="38"/>
      <c r="E238" s="38"/>
      <c r="F238" s="38"/>
      <c r="G238" s="38"/>
      <c r="H238" s="38"/>
      <c r="I238" s="38"/>
      <c r="J238" s="38"/>
      <c r="K238" s="38"/>
    </row>
    <row r="239" ht="14.4" spans="2:11">
      <c r="B239" s="38"/>
      <c r="C239" s="38"/>
      <c r="D239" s="38"/>
      <c r="E239" s="38"/>
      <c r="F239" s="38"/>
      <c r="G239" s="38"/>
      <c r="H239" s="38"/>
      <c r="I239" s="38"/>
      <c r="J239" s="38"/>
      <c r="K239" s="38"/>
    </row>
    <row r="240" ht="14.4" spans="2:11">
      <c r="B240" s="38"/>
      <c r="C240" s="38"/>
      <c r="D240" s="38"/>
      <c r="E240" s="38"/>
      <c r="F240" s="38"/>
      <c r="G240" s="38"/>
      <c r="H240" s="38"/>
      <c r="I240" s="38"/>
      <c r="J240" s="38"/>
      <c r="K240" s="38"/>
    </row>
    <row r="241" ht="14.4" spans="2:11">
      <c r="B241" s="38"/>
      <c r="C241" s="38"/>
      <c r="D241" s="38"/>
      <c r="E241" s="38"/>
      <c r="F241" s="38"/>
      <c r="G241" s="38"/>
      <c r="H241" s="38"/>
      <c r="I241" s="38"/>
      <c r="J241" s="38"/>
      <c r="K241" s="38"/>
    </row>
    <row r="242" ht="14.4" spans="2:11">
      <c r="B242" s="38"/>
      <c r="C242" s="38"/>
      <c r="D242" s="38"/>
      <c r="E242" s="38"/>
      <c r="F242" s="38"/>
      <c r="G242" s="38"/>
      <c r="H242" s="38"/>
      <c r="I242" s="38"/>
      <c r="J242" s="38"/>
      <c r="K242" s="38"/>
    </row>
    <row r="243" ht="14.4" spans="2:11">
      <c r="B243" s="38"/>
      <c r="C243" s="38"/>
      <c r="D243" s="38"/>
      <c r="E243" s="38"/>
      <c r="F243" s="38"/>
      <c r="G243" s="38"/>
      <c r="H243" s="38"/>
      <c r="I243" s="38"/>
      <c r="J243" s="38"/>
      <c r="K243" s="38"/>
    </row>
    <row r="244" ht="14.4" spans="2:11">
      <c r="B244" s="38"/>
      <c r="C244" s="38"/>
      <c r="D244" s="38"/>
      <c r="E244" s="38"/>
      <c r="F244" s="38"/>
      <c r="G244" s="38"/>
      <c r="H244" s="38"/>
      <c r="I244" s="38"/>
      <c r="J244" s="38"/>
      <c r="K244" s="38"/>
    </row>
    <row r="245" ht="14.4" spans="2:11">
      <c r="B245" s="38"/>
      <c r="C245" s="38"/>
      <c r="D245" s="38"/>
      <c r="E245" s="38"/>
      <c r="F245" s="38"/>
      <c r="G245" s="38"/>
      <c r="H245" s="38"/>
      <c r="I245" s="38"/>
      <c r="J245" s="38"/>
      <c r="K245" s="38"/>
    </row>
    <row r="246" ht="14.4" spans="2:11">
      <c r="B246" s="38"/>
      <c r="C246" s="38"/>
      <c r="D246" s="38"/>
      <c r="E246" s="38"/>
      <c r="F246" s="38"/>
      <c r="G246" s="38"/>
      <c r="H246" s="38"/>
      <c r="I246" s="38"/>
      <c r="J246" s="38"/>
      <c r="K246" s="38"/>
    </row>
    <row r="247" ht="14.4" spans="2:11">
      <c r="B247" s="38"/>
      <c r="C247" s="38"/>
      <c r="D247" s="38"/>
      <c r="E247" s="38"/>
      <c r="F247" s="38"/>
      <c r="G247" s="38"/>
      <c r="H247" s="38"/>
      <c r="I247" s="38"/>
      <c r="J247" s="38"/>
      <c r="K247" s="38"/>
    </row>
    <row r="248" ht="14.4" spans="2:11">
      <c r="B248" s="38"/>
      <c r="C248" s="38"/>
      <c r="D248" s="38"/>
      <c r="E248" s="38"/>
      <c r="F248" s="38"/>
      <c r="G248" s="38"/>
      <c r="H248" s="38"/>
      <c r="I248" s="38"/>
      <c r="J248" s="38"/>
      <c r="K248" s="38"/>
    </row>
    <row r="249" ht="14.4" spans="2:11">
      <c r="B249" s="38"/>
      <c r="C249" s="38"/>
      <c r="D249" s="38"/>
      <c r="E249" s="38"/>
      <c r="F249" s="38"/>
      <c r="G249" s="38"/>
      <c r="H249" s="38"/>
      <c r="I249" s="38"/>
      <c r="J249" s="38"/>
      <c r="K249" s="38"/>
    </row>
    <row r="250" ht="14.4" spans="2:11">
      <c r="B250" s="38"/>
      <c r="C250" s="38"/>
      <c r="D250" s="38"/>
      <c r="E250" s="38"/>
      <c r="F250" s="38"/>
      <c r="G250" s="38"/>
      <c r="H250" s="38"/>
      <c r="I250" s="38"/>
      <c r="J250" s="38"/>
      <c r="K250" s="38"/>
    </row>
    <row r="251" ht="14.4" spans="2:11">
      <c r="B251" s="38"/>
      <c r="C251" s="38"/>
      <c r="D251" s="38"/>
      <c r="E251" s="38"/>
      <c r="F251" s="38"/>
      <c r="G251" s="38"/>
      <c r="H251" s="38"/>
      <c r="I251" s="38"/>
      <c r="J251" s="38"/>
      <c r="K251" s="38"/>
    </row>
    <row r="252" ht="14.4" spans="2:11">
      <c r="B252" s="38"/>
      <c r="C252" s="38"/>
      <c r="D252" s="38"/>
      <c r="E252" s="38"/>
      <c r="F252" s="38"/>
      <c r="G252" s="38"/>
      <c r="H252" s="38"/>
      <c r="I252" s="38"/>
      <c r="J252" s="38"/>
      <c r="K252" s="38"/>
    </row>
    <row r="253" ht="14.4" spans="2:11">
      <c r="B253" s="38"/>
      <c r="C253" s="38"/>
      <c r="D253" s="38"/>
      <c r="E253" s="38"/>
      <c r="F253" s="38"/>
      <c r="G253" s="38"/>
      <c r="H253" s="38"/>
      <c r="I253" s="38"/>
      <c r="J253" s="38"/>
      <c r="K253" s="38"/>
    </row>
    <row r="254" ht="14.4" spans="2:11">
      <c r="B254" s="38"/>
      <c r="C254" s="38"/>
      <c r="D254" s="38"/>
      <c r="E254" s="38"/>
      <c r="F254" s="38"/>
      <c r="G254" s="38"/>
      <c r="H254" s="38"/>
      <c r="I254" s="38"/>
      <c r="J254" s="38"/>
      <c r="K254" s="38"/>
    </row>
    <row r="255" ht="14.4" spans="2:11">
      <c r="B255" s="38"/>
      <c r="C255" s="38"/>
      <c r="D255" s="38"/>
      <c r="E255" s="38"/>
      <c r="F255" s="38"/>
      <c r="G255" s="38"/>
      <c r="H255" s="38"/>
      <c r="I255" s="38"/>
      <c r="J255" s="38"/>
      <c r="K255" s="38"/>
    </row>
    <row r="256" ht="14.4" spans="2:11">
      <c r="B256" s="38"/>
      <c r="C256" s="38"/>
      <c r="D256" s="38"/>
      <c r="E256" s="38"/>
      <c r="F256" s="38"/>
      <c r="G256" s="38"/>
      <c r="H256" s="38"/>
      <c r="I256" s="38"/>
      <c r="J256" s="38"/>
      <c r="K256" s="38"/>
    </row>
    <row r="257" ht="14.4" spans="2:11">
      <c r="B257" s="38"/>
      <c r="C257" s="38"/>
      <c r="D257" s="38"/>
      <c r="E257" s="38"/>
      <c r="F257" s="38"/>
      <c r="G257" s="38"/>
      <c r="H257" s="38"/>
      <c r="I257" s="38"/>
      <c r="J257" s="38"/>
      <c r="K257" s="38"/>
    </row>
    <row r="258" ht="14.4" spans="2:11">
      <c r="B258" s="38"/>
      <c r="C258" s="38"/>
      <c r="D258" s="38"/>
      <c r="E258" s="38"/>
      <c r="F258" s="38"/>
      <c r="G258" s="38"/>
      <c r="H258" s="38"/>
      <c r="I258" s="38"/>
      <c r="J258" s="38"/>
      <c r="K258" s="38"/>
    </row>
    <row r="259" ht="14.4" spans="2:11">
      <c r="B259" s="38"/>
      <c r="C259" s="38"/>
      <c r="D259" s="38"/>
      <c r="E259" s="38"/>
      <c r="F259" s="38"/>
      <c r="G259" s="38"/>
      <c r="H259" s="38"/>
      <c r="I259" s="38"/>
      <c r="J259" s="38"/>
      <c r="K259" s="38"/>
    </row>
    <row r="260" ht="14.4" spans="2:11">
      <c r="B260" s="38"/>
      <c r="C260" s="38"/>
      <c r="D260" s="38"/>
      <c r="E260" s="38"/>
      <c r="F260" s="38"/>
      <c r="G260" s="38"/>
      <c r="H260" s="38"/>
      <c r="I260" s="38"/>
      <c r="J260" s="38"/>
      <c r="K260" s="38"/>
    </row>
    <row r="261" ht="14.4" spans="2:11">
      <c r="B261" s="38"/>
      <c r="C261" s="38"/>
      <c r="D261" s="38"/>
      <c r="E261" s="38"/>
      <c r="F261" s="38"/>
      <c r="G261" s="38"/>
      <c r="H261" s="38"/>
      <c r="I261" s="38"/>
      <c r="J261" s="38"/>
      <c r="K261" s="38"/>
    </row>
    <row r="262" ht="14.4" spans="2:11">
      <c r="B262" s="38"/>
      <c r="C262" s="38"/>
      <c r="D262" s="38"/>
      <c r="E262" s="38"/>
      <c r="F262" s="38"/>
      <c r="G262" s="38"/>
      <c r="H262" s="38"/>
      <c r="I262" s="38"/>
      <c r="J262" s="38"/>
      <c r="K262" s="38"/>
    </row>
    <row r="263" ht="14.4" spans="2:11">
      <c r="B263" s="38"/>
      <c r="C263" s="38"/>
      <c r="D263" s="38"/>
      <c r="E263" s="38"/>
      <c r="F263" s="38"/>
      <c r="G263" s="38"/>
      <c r="H263" s="38"/>
      <c r="I263" s="38"/>
      <c r="J263" s="38"/>
      <c r="K263" s="38"/>
    </row>
    <row r="264" ht="14.4" spans="2:11">
      <c r="B264" s="38"/>
      <c r="C264" s="38"/>
      <c r="D264" s="38"/>
      <c r="E264" s="38"/>
      <c r="F264" s="38"/>
      <c r="G264" s="38"/>
      <c r="H264" s="38"/>
      <c r="I264" s="38"/>
      <c r="J264" s="38"/>
      <c r="K264" s="38"/>
    </row>
    <row r="265" ht="14.4" spans="2:11">
      <c r="B265" s="38"/>
      <c r="C265" s="38"/>
      <c r="D265" s="38"/>
      <c r="E265" s="38"/>
      <c r="F265" s="38"/>
      <c r="G265" s="38"/>
      <c r="H265" s="38"/>
      <c r="I265" s="38"/>
      <c r="J265" s="38"/>
      <c r="K265" s="38"/>
    </row>
    <row r="266" ht="14.4" spans="2:11">
      <c r="B266" s="38"/>
      <c r="C266" s="38"/>
      <c r="D266" s="38"/>
      <c r="E266" s="38"/>
      <c r="F266" s="38"/>
      <c r="G266" s="38"/>
      <c r="H266" s="38"/>
      <c r="I266" s="38"/>
      <c r="J266" s="38"/>
      <c r="K266" s="38"/>
    </row>
    <row r="267" ht="14.4" spans="2:11">
      <c r="B267" s="38"/>
      <c r="C267" s="38"/>
      <c r="D267" s="38"/>
      <c r="E267" s="38"/>
      <c r="F267" s="38"/>
      <c r="G267" s="38"/>
      <c r="H267" s="38"/>
      <c r="I267" s="38"/>
      <c r="J267" s="38"/>
      <c r="K267" s="38"/>
    </row>
    <row r="268" ht="14.4" spans="2:11">
      <c r="B268" s="38"/>
      <c r="C268" s="38"/>
      <c r="D268" s="38"/>
      <c r="E268" s="38"/>
      <c r="F268" s="38"/>
      <c r="G268" s="38"/>
      <c r="H268" s="38"/>
      <c r="I268" s="38"/>
      <c r="J268" s="38"/>
      <c r="K268" s="38"/>
    </row>
    <row r="269" ht="14.4" spans="2:11">
      <c r="B269" s="38"/>
      <c r="C269" s="38"/>
      <c r="D269" s="38"/>
      <c r="E269" s="38"/>
      <c r="F269" s="38"/>
      <c r="G269" s="38"/>
      <c r="H269" s="38"/>
      <c r="I269" s="38"/>
      <c r="J269" s="38"/>
      <c r="K269" s="38"/>
    </row>
    <row r="270" ht="14.4" spans="2:11">
      <c r="B270" s="38"/>
      <c r="C270" s="38"/>
      <c r="D270" s="38"/>
      <c r="E270" s="38"/>
      <c r="F270" s="38"/>
      <c r="G270" s="38"/>
      <c r="H270" s="38"/>
      <c r="I270" s="38"/>
      <c r="J270" s="38"/>
      <c r="K270" s="38"/>
    </row>
    <row r="271" ht="14.4" spans="2:11">
      <c r="B271" s="38"/>
      <c r="C271" s="38"/>
      <c r="D271" s="38"/>
      <c r="E271" s="38"/>
      <c r="F271" s="38"/>
      <c r="G271" s="38"/>
      <c r="H271" s="38"/>
      <c r="I271" s="38"/>
      <c r="J271" s="38"/>
      <c r="K271" s="38"/>
    </row>
    <row r="272" ht="14.4" spans="2:11">
      <c r="B272" s="38"/>
      <c r="C272" s="38"/>
      <c r="D272" s="38"/>
      <c r="E272" s="38"/>
      <c r="F272" s="38"/>
      <c r="G272" s="38"/>
      <c r="H272" s="38"/>
      <c r="I272" s="38"/>
      <c r="J272" s="38"/>
      <c r="K272" s="38"/>
    </row>
    <row r="273" ht="14.4" spans="2:11">
      <c r="B273" s="38"/>
      <c r="C273" s="38"/>
      <c r="D273" s="38"/>
      <c r="E273" s="38"/>
      <c r="F273" s="38"/>
      <c r="G273" s="38"/>
      <c r="H273" s="38"/>
      <c r="I273" s="38"/>
      <c r="J273" s="38"/>
      <c r="K273" s="38"/>
    </row>
    <row r="274" ht="14.4" spans="2:11">
      <c r="B274" s="38"/>
      <c r="C274" s="38"/>
      <c r="D274" s="38"/>
      <c r="E274" s="38"/>
      <c r="F274" s="38"/>
      <c r="G274" s="38"/>
      <c r="H274" s="38"/>
      <c r="I274" s="38"/>
      <c r="J274" s="38"/>
      <c r="K274" s="38"/>
    </row>
    <row r="275" ht="14.4" spans="2:11">
      <c r="B275" s="38"/>
      <c r="C275" s="38"/>
      <c r="D275" s="38"/>
      <c r="E275" s="38"/>
      <c r="F275" s="38"/>
      <c r="G275" s="38"/>
      <c r="H275" s="38"/>
      <c r="I275" s="38"/>
      <c r="J275" s="38"/>
      <c r="K275" s="38"/>
    </row>
    <row r="276" ht="14.4" spans="2:11">
      <c r="B276" s="38"/>
      <c r="C276" s="38"/>
      <c r="D276" s="38"/>
      <c r="E276" s="38"/>
      <c r="F276" s="38"/>
      <c r="G276" s="38"/>
      <c r="H276" s="38"/>
      <c r="I276" s="38"/>
      <c r="J276" s="38"/>
      <c r="K276" s="38"/>
    </row>
    <row r="277" ht="14.4" spans="2:11">
      <c r="B277" s="38"/>
      <c r="C277" s="38"/>
      <c r="D277" s="38"/>
      <c r="E277" s="38"/>
      <c r="F277" s="38"/>
      <c r="G277" s="38"/>
      <c r="H277" s="38"/>
      <c r="I277" s="38"/>
      <c r="J277" s="38"/>
      <c r="K277" s="38"/>
    </row>
    <row r="278" ht="14.4" spans="2:11">
      <c r="B278" s="38"/>
      <c r="C278" s="38"/>
      <c r="D278" s="38"/>
      <c r="E278" s="38"/>
      <c r="F278" s="38"/>
      <c r="G278" s="38"/>
      <c r="H278" s="38"/>
      <c r="I278" s="38"/>
      <c r="J278" s="38"/>
      <c r="K278" s="38"/>
    </row>
    <row r="279" ht="14.4" spans="2:11">
      <c r="B279" s="38"/>
      <c r="C279" s="38"/>
      <c r="D279" s="38"/>
      <c r="E279" s="38"/>
      <c r="F279" s="38"/>
      <c r="G279" s="38"/>
      <c r="H279" s="38"/>
      <c r="I279" s="38"/>
      <c r="J279" s="38"/>
      <c r="K279" s="38"/>
    </row>
    <row r="280" ht="14.4" spans="2:11">
      <c r="B280" s="38"/>
      <c r="C280" s="38"/>
      <c r="D280" s="38"/>
      <c r="E280" s="38"/>
      <c r="F280" s="38"/>
      <c r="G280" s="38"/>
      <c r="H280" s="38"/>
      <c r="I280" s="38"/>
      <c r="J280" s="38"/>
      <c r="K280" s="38"/>
    </row>
    <row r="281" ht="14.4" spans="2:11">
      <c r="B281" s="38"/>
      <c r="C281" s="38"/>
      <c r="D281" s="38"/>
      <c r="E281" s="38"/>
      <c r="F281" s="38"/>
      <c r="G281" s="38"/>
      <c r="H281" s="38"/>
      <c r="I281" s="38"/>
      <c r="J281" s="38"/>
      <c r="K281" s="38"/>
    </row>
    <row r="282" ht="14.4" spans="2:11">
      <c r="B282" s="38"/>
      <c r="C282" s="38"/>
      <c r="D282" s="38"/>
      <c r="E282" s="38"/>
      <c r="F282" s="38"/>
      <c r="G282" s="38"/>
      <c r="H282" s="38"/>
      <c r="I282" s="38"/>
      <c r="J282" s="38"/>
      <c r="K282" s="38"/>
    </row>
    <row r="283" ht="14.4" spans="2:11">
      <c r="B283" s="38"/>
      <c r="C283" s="38"/>
      <c r="D283" s="38"/>
      <c r="E283" s="38"/>
      <c r="F283" s="38"/>
      <c r="G283" s="38"/>
      <c r="H283" s="38"/>
      <c r="I283" s="38"/>
      <c r="J283" s="38"/>
      <c r="K283" s="38"/>
    </row>
    <row r="284" ht="14.4" spans="2:11">
      <c r="B284" s="38"/>
      <c r="C284" s="38"/>
      <c r="D284" s="38"/>
      <c r="E284" s="38"/>
      <c r="F284" s="38"/>
      <c r="G284" s="38"/>
      <c r="H284" s="38"/>
      <c r="I284" s="38"/>
      <c r="J284" s="38"/>
      <c r="K284" s="38"/>
    </row>
    <row r="285" ht="14.4" spans="2:11">
      <c r="B285" s="38"/>
      <c r="C285" s="38"/>
      <c r="D285" s="38"/>
      <c r="E285" s="38"/>
      <c r="F285" s="38"/>
      <c r="G285" s="38"/>
      <c r="H285" s="38"/>
      <c r="I285" s="38"/>
      <c r="J285" s="38"/>
      <c r="K285" s="38"/>
    </row>
    <row r="286" ht="14.4" spans="2:11">
      <c r="B286" s="38"/>
      <c r="C286" s="38"/>
      <c r="D286" s="38"/>
      <c r="E286" s="38"/>
      <c r="F286" s="38"/>
      <c r="G286" s="38"/>
      <c r="H286" s="38"/>
      <c r="I286" s="38"/>
      <c r="J286" s="38"/>
      <c r="K286" s="38"/>
    </row>
    <row r="287" ht="14.4" spans="2:11">
      <c r="B287" s="38"/>
      <c r="C287" s="38"/>
      <c r="D287" s="38"/>
      <c r="E287" s="38"/>
      <c r="F287" s="38"/>
      <c r="G287" s="38"/>
      <c r="H287" s="38"/>
      <c r="I287" s="38"/>
      <c r="J287" s="38"/>
      <c r="K287" s="38"/>
    </row>
    <row r="288" ht="14.4" spans="2:11">
      <c r="B288" s="38"/>
      <c r="C288" s="38"/>
      <c r="D288" s="38"/>
      <c r="E288" s="38"/>
      <c r="F288" s="38"/>
      <c r="G288" s="38"/>
      <c r="H288" s="38"/>
      <c r="I288" s="38"/>
      <c r="J288" s="38"/>
      <c r="K288" s="38"/>
    </row>
    <row r="289" ht="14.4" spans="2:11">
      <c r="B289" s="38"/>
      <c r="C289" s="38"/>
      <c r="D289" s="38"/>
      <c r="E289" s="38"/>
      <c r="F289" s="38"/>
      <c r="G289" s="38"/>
      <c r="H289" s="38"/>
      <c r="I289" s="38"/>
      <c r="J289" s="38"/>
      <c r="K289" s="38"/>
    </row>
    <row r="290" ht="14.4" spans="2:11">
      <c r="B290" s="38"/>
      <c r="C290" s="38"/>
      <c r="D290" s="38"/>
      <c r="E290" s="38"/>
      <c r="F290" s="38"/>
      <c r="G290" s="38"/>
      <c r="H290" s="38"/>
      <c r="I290" s="38"/>
      <c r="J290" s="38"/>
      <c r="K290" s="38"/>
    </row>
    <row r="291" ht="14.4" spans="2:11">
      <c r="B291" s="38"/>
      <c r="C291" s="38"/>
      <c r="D291" s="38"/>
      <c r="E291" s="38"/>
      <c r="F291" s="38"/>
      <c r="G291" s="38"/>
      <c r="H291" s="38"/>
      <c r="I291" s="38"/>
      <c r="J291" s="38"/>
      <c r="K291" s="38"/>
    </row>
    <row r="292" ht="14.4" spans="2:11">
      <c r="B292" s="38"/>
      <c r="C292" s="38"/>
      <c r="D292" s="38"/>
      <c r="E292" s="38"/>
      <c r="F292" s="38"/>
      <c r="G292" s="38"/>
      <c r="H292" s="38"/>
      <c r="I292" s="38"/>
      <c r="J292" s="38"/>
      <c r="K292" s="38"/>
    </row>
    <row r="293" ht="14.4" spans="2:11">
      <c r="B293" s="38"/>
      <c r="C293" s="38"/>
      <c r="D293" s="38"/>
      <c r="E293" s="38"/>
      <c r="F293" s="38"/>
      <c r="G293" s="38"/>
      <c r="H293" s="38"/>
      <c r="I293" s="38"/>
      <c r="J293" s="38"/>
      <c r="K293" s="38"/>
    </row>
    <row r="294" ht="14.4" spans="2:11">
      <c r="B294" s="38"/>
      <c r="C294" s="38"/>
      <c r="D294" s="38"/>
      <c r="E294" s="38"/>
      <c r="F294" s="38"/>
      <c r="G294" s="38"/>
      <c r="H294" s="38"/>
      <c r="I294" s="38"/>
      <c r="J294" s="38"/>
      <c r="K294" s="38"/>
    </row>
    <row r="295" ht="14.4" spans="2:11">
      <c r="B295" s="38"/>
      <c r="C295" s="38"/>
      <c r="D295" s="38"/>
      <c r="E295" s="38"/>
      <c r="F295" s="38"/>
      <c r="G295" s="38"/>
      <c r="H295" s="38"/>
      <c r="I295" s="38"/>
      <c r="J295" s="38"/>
      <c r="K295" s="38"/>
    </row>
    <row r="296" ht="14.4" spans="2:11">
      <c r="B296" s="38"/>
      <c r="C296" s="38"/>
      <c r="D296" s="38"/>
      <c r="E296" s="38"/>
      <c r="F296" s="38"/>
      <c r="G296" s="38"/>
      <c r="H296" s="38"/>
      <c r="I296" s="38"/>
      <c r="J296" s="38"/>
      <c r="K296" s="38"/>
    </row>
    <row r="297" ht="14.4" spans="2:11">
      <c r="B297" s="38"/>
      <c r="C297" s="38"/>
      <c r="D297" s="38"/>
      <c r="E297" s="38"/>
      <c r="F297" s="38"/>
      <c r="G297" s="38"/>
      <c r="H297" s="38"/>
      <c r="I297" s="38"/>
      <c r="J297" s="38"/>
      <c r="K297" s="38"/>
    </row>
    <row r="298" ht="14.4" spans="2:11">
      <c r="B298" s="38"/>
      <c r="C298" s="38"/>
      <c r="D298" s="38"/>
      <c r="E298" s="38"/>
      <c r="F298" s="38"/>
      <c r="G298" s="38"/>
      <c r="H298" s="38"/>
      <c r="I298" s="38"/>
      <c r="J298" s="38"/>
      <c r="K298" s="38"/>
    </row>
    <row r="299" ht="14.4" spans="2:11">
      <c r="B299" s="38"/>
      <c r="C299" s="38"/>
      <c r="D299" s="38"/>
      <c r="E299" s="38"/>
      <c r="F299" s="38"/>
      <c r="G299" s="38"/>
      <c r="H299" s="38"/>
      <c r="I299" s="38"/>
      <c r="J299" s="38"/>
      <c r="K299" s="38"/>
    </row>
    <row r="300" ht="14.4" spans="2:11">
      <c r="B300" s="38"/>
      <c r="C300" s="38"/>
      <c r="D300" s="38"/>
      <c r="E300" s="38"/>
      <c r="F300" s="38"/>
      <c r="G300" s="38"/>
      <c r="H300" s="38"/>
      <c r="I300" s="38"/>
      <c r="J300" s="38"/>
      <c r="K300" s="38"/>
    </row>
    <row r="301" ht="14.4" spans="2:11">
      <c r="B301" s="38"/>
      <c r="C301" s="38"/>
      <c r="D301" s="38"/>
      <c r="E301" s="38"/>
      <c r="F301" s="38"/>
      <c r="G301" s="38"/>
      <c r="H301" s="38"/>
      <c r="I301" s="38"/>
      <c r="J301" s="38"/>
      <c r="K301" s="38"/>
    </row>
    <row r="302" ht="14.4" spans="2:11">
      <c r="B302" s="38"/>
      <c r="C302" s="38"/>
      <c r="D302" s="38"/>
      <c r="E302" s="38"/>
      <c r="F302" s="38"/>
      <c r="G302" s="38"/>
      <c r="H302" s="38"/>
      <c r="I302" s="38"/>
      <c r="J302" s="38"/>
      <c r="K302" s="38"/>
    </row>
    <row r="303" ht="14.4" spans="2:11">
      <c r="B303" s="38"/>
      <c r="C303" s="38"/>
      <c r="D303" s="38"/>
      <c r="E303" s="38"/>
      <c r="F303" s="38"/>
      <c r="G303" s="38"/>
      <c r="H303" s="38"/>
      <c r="I303" s="38"/>
      <c r="J303" s="38"/>
      <c r="K303" s="38"/>
    </row>
    <row r="304" ht="14.4" spans="2:11">
      <c r="B304" s="38"/>
      <c r="C304" s="38"/>
      <c r="D304" s="38"/>
      <c r="E304" s="38"/>
      <c r="F304" s="38"/>
      <c r="G304" s="38"/>
      <c r="H304" s="38"/>
      <c r="I304" s="38"/>
      <c r="J304" s="38"/>
      <c r="K304" s="38"/>
    </row>
    <row r="305" ht="14.4" spans="2:11">
      <c r="B305" s="38"/>
      <c r="C305" s="38"/>
      <c r="D305" s="38"/>
      <c r="E305" s="38"/>
      <c r="F305" s="38"/>
      <c r="G305" s="38"/>
      <c r="H305" s="38"/>
      <c r="I305" s="38"/>
      <c r="J305" s="38"/>
      <c r="K305" s="38"/>
    </row>
    <row r="306" ht="14.4" spans="2:11">
      <c r="B306" s="38"/>
      <c r="C306" s="38"/>
      <c r="D306" s="38"/>
      <c r="E306" s="38"/>
      <c r="F306" s="38"/>
      <c r="G306" s="38"/>
      <c r="H306" s="38"/>
      <c r="I306" s="38"/>
      <c r="J306" s="38"/>
      <c r="K306" s="38"/>
    </row>
    <row r="307" ht="14.4" spans="2:11">
      <c r="B307" s="38"/>
      <c r="C307" s="38"/>
      <c r="D307" s="38"/>
      <c r="E307" s="38"/>
      <c r="F307" s="38"/>
      <c r="G307" s="38"/>
      <c r="H307" s="38"/>
      <c r="I307" s="38"/>
      <c r="J307" s="38"/>
      <c r="K307" s="38"/>
    </row>
    <row r="308" ht="14.4" spans="2:11">
      <c r="B308" s="38"/>
      <c r="C308" s="38"/>
      <c r="D308" s="38"/>
      <c r="E308" s="38"/>
      <c r="F308" s="38"/>
      <c r="G308" s="38"/>
      <c r="H308" s="38"/>
      <c r="I308" s="38"/>
      <c r="J308" s="38"/>
      <c r="K308" s="38"/>
    </row>
    <row r="309" ht="14.4" spans="2:11">
      <c r="B309" s="38"/>
      <c r="C309" s="38"/>
      <c r="D309" s="38"/>
      <c r="E309" s="38"/>
      <c r="F309" s="38"/>
      <c r="G309" s="38"/>
      <c r="H309" s="38"/>
      <c r="I309" s="38"/>
      <c r="J309" s="38"/>
      <c r="K309" s="38"/>
    </row>
    <row r="310" ht="14.4" spans="2:11">
      <c r="B310" s="38"/>
      <c r="C310" s="38"/>
      <c r="D310" s="38"/>
      <c r="E310" s="38"/>
      <c r="F310" s="38"/>
      <c r="G310" s="38"/>
      <c r="H310" s="38"/>
      <c r="I310" s="38"/>
      <c r="J310" s="38"/>
      <c r="K310" s="38"/>
    </row>
    <row r="311" ht="14.4" spans="2:11">
      <c r="B311" s="38"/>
      <c r="C311" s="38"/>
      <c r="D311" s="38"/>
      <c r="E311" s="38"/>
      <c r="F311" s="38"/>
      <c r="G311" s="38"/>
      <c r="H311" s="38"/>
      <c r="I311" s="38"/>
      <c r="J311" s="38"/>
      <c r="K311" s="38"/>
    </row>
    <row r="312" ht="14.4" spans="2:11">
      <c r="B312" s="38"/>
      <c r="C312" s="38"/>
      <c r="D312" s="38"/>
      <c r="E312" s="38"/>
      <c r="F312" s="38"/>
      <c r="G312" s="38"/>
      <c r="H312" s="38"/>
      <c r="I312" s="38"/>
      <c r="J312" s="38"/>
      <c r="K312" s="38"/>
    </row>
    <row r="313" ht="14.4" spans="2:11">
      <c r="B313" s="38"/>
      <c r="C313" s="38"/>
      <c r="D313" s="38"/>
      <c r="E313" s="38"/>
      <c r="F313" s="38"/>
      <c r="G313" s="38"/>
      <c r="H313" s="38"/>
      <c r="I313" s="38"/>
      <c r="J313" s="38"/>
      <c r="K313" s="38"/>
    </row>
    <row r="314" ht="14.4" spans="2:11">
      <c r="B314" s="38"/>
      <c r="C314" s="38"/>
      <c r="D314" s="38"/>
      <c r="E314" s="38"/>
      <c r="F314" s="38"/>
      <c r="G314" s="38"/>
      <c r="H314" s="38"/>
      <c r="I314" s="38"/>
      <c r="J314" s="38"/>
      <c r="K314" s="38"/>
    </row>
    <row r="315" ht="14.4" spans="2:11">
      <c r="B315" s="38"/>
      <c r="C315" s="38"/>
      <c r="D315" s="38"/>
      <c r="E315" s="38"/>
      <c r="F315" s="38"/>
      <c r="G315" s="38"/>
      <c r="H315" s="38"/>
      <c r="I315" s="38"/>
      <c r="J315" s="38"/>
      <c r="K315" s="38"/>
    </row>
    <row r="316" ht="14.4" spans="2:11">
      <c r="B316" s="38"/>
      <c r="C316" s="38"/>
      <c r="D316" s="38"/>
      <c r="E316" s="38"/>
      <c r="F316" s="38"/>
      <c r="G316" s="38"/>
      <c r="H316" s="38"/>
      <c r="I316" s="38"/>
      <c r="J316" s="38"/>
      <c r="K316" s="38"/>
    </row>
    <row r="317" ht="14.4" spans="2:11">
      <c r="B317" s="38"/>
      <c r="C317" s="38"/>
      <c r="D317" s="38"/>
      <c r="E317" s="38"/>
      <c r="F317" s="38"/>
      <c r="G317" s="38"/>
      <c r="H317" s="38"/>
      <c r="I317" s="38"/>
      <c r="J317" s="38"/>
      <c r="K317" s="38"/>
    </row>
    <row r="318" ht="14.4" spans="2:11">
      <c r="B318" s="38"/>
      <c r="C318" s="38"/>
      <c r="D318" s="38"/>
      <c r="E318" s="38"/>
      <c r="F318" s="38"/>
      <c r="G318" s="38"/>
      <c r="H318" s="38"/>
      <c r="I318" s="38"/>
      <c r="J318" s="38"/>
      <c r="K318" s="38"/>
    </row>
    <row r="319" ht="14.4" spans="2:11">
      <c r="B319" s="38"/>
      <c r="C319" s="38"/>
      <c r="D319" s="38"/>
      <c r="E319" s="38"/>
      <c r="F319" s="38"/>
      <c r="G319" s="38"/>
      <c r="H319" s="38"/>
      <c r="I319" s="38"/>
      <c r="J319" s="38"/>
      <c r="K319" s="38"/>
    </row>
    <row r="320" ht="14.4" spans="2:11">
      <c r="B320" s="38"/>
      <c r="C320" s="38"/>
      <c r="D320" s="38"/>
      <c r="E320" s="38"/>
      <c r="F320" s="38"/>
      <c r="G320" s="38"/>
      <c r="H320" s="38"/>
      <c r="I320" s="38"/>
      <c r="J320" s="38"/>
      <c r="K320" s="38"/>
    </row>
    <row r="321" ht="14.4" spans="2:11">
      <c r="B321" s="38"/>
      <c r="C321" s="38"/>
      <c r="D321" s="38"/>
      <c r="E321" s="38"/>
      <c r="F321" s="38"/>
      <c r="G321" s="38"/>
      <c r="H321" s="38"/>
      <c r="I321" s="38"/>
      <c r="J321" s="38"/>
      <c r="K321" s="38"/>
    </row>
    <row r="322" ht="14.4" spans="2:11">
      <c r="B322" s="38"/>
      <c r="C322" s="38"/>
      <c r="D322" s="38"/>
      <c r="E322" s="38"/>
      <c r="F322" s="38"/>
      <c r="G322" s="38"/>
      <c r="H322" s="38"/>
      <c r="I322" s="38"/>
      <c r="J322" s="38"/>
      <c r="K322" s="38"/>
    </row>
    <row r="323" ht="14.4" spans="2:11">
      <c r="B323" s="38"/>
      <c r="C323" s="38"/>
      <c r="D323" s="38"/>
      <c r="E323" s="38"/>
      <c r="F323" s="38"/>
      <c r="G323" s="38"/>
      <c r="H323" s="38"/>
      <c r="I323" s="38"/>
      <c r="J323" s="38"/>
      <c r="K323" s="38"/>
    </row>
    <row r="324" ht="14.4" spans="2:11">
      <c r="B324" s="38"/>
      <c r="C324" s="38"/>
      <c r="D324" s="38"/>
      <c r="E324" s="38"/>
      <c r="F324" s="38"/>
      <c r="G324" s="38"/>
      <c r="H324" s="38"/>
      <c r="I324" s="38"/>
      <c r="J324" s="38"/>
      <c r="K324" s="38"/>
    </row>
    <row r="325" ht="14.4" spans="2:11">
      <c r="B325" s="38"/>
      <c r="C325" s="38"/>
      <c r="D325" s="38"/>
      <c r="E325" s="38"/>
      <c r="F325" s="38"/>
      <c r="G325" s="38"/>
      <c r="H325" s="38"/>
      <c r="I325" s="38"/>
      <c r="J325" s="38"/>
      <c r="K325" s="38"/>
    </row>
    <row r="326" ht="14.4" spans="2:11">
      <c r="B326" s="38"/>
      <c r="C326" s="38"/>
      <c r="D326" s="38"/>
      <c r="E326" s="38"/>
      <c r="F326" s="38"/>
      <c r="G326" s="38"/>
      <c r="H326" s="38"/>
      <c r="I326" s="38"/>
      <c r="J326" s="38"/>
      <c r="K326" s="38"/>
    </row>
    <row r="327" ht="14.4" spans="2:11">
      <c r="B327" s="38"/>
      <c r="C327" s="38"/>
      <c r="D327" s="38"/>
      <c r="E327" s="38"/>
      <c r="F327" s="38"/>
      <c r="G327" s="38"/>
      <c r="H327" s="38"/>
      <c r="I327" s="38"/>
      <c r="J327" s="38"/>
      <c r="K327" s="38"/>
    </row>
    <row r="328" ht="14.4" spans="2:11">
      <c r="B328" s="38"/>
      <c r="C328" s="38"/>
      <c r="D328" s="38"/>
      <c r="E328" s="38"/>
      <c r="F328" s="38"/>
      <c r="G328" s="38"/>
      <c r="H328" s="38"/>
      <c r="I328" s="38"/>
      <c r="J328" s="38"/>
      <c r="K328" s="38"/>
    </row>
    <row r="329" ht="14.4" spans="2:11">
      <c r="B329" s="38"/>
      <c r="C329" s="38"/>
      <c r="D329" s="38"/>
      <c r="E329" s="38"/>
      <c r="F329" s="38"/>
      <c r="G329" s="38"/>
      <c r="H329" s="38"/>
      <c r="I329" s="38"/>
      <c r="J329" s="38"/>
      <c r="K329" s="38"/>
    </row>
    <row r="330" ht="14.4" spans="2:11">
      <c r="B330" s="38"/>
      <c r="C330" s="38"/>
      <c r="D330" s="38"/>
      <c r="E330" s="38"/>
      <c r="F330" s="38"/>
      <c r="G330" s="38"/>
      <c r="H330" s="38"/>
      <c r="I330" s="38"/>
      <c r="J330" s="38"/>
      <c r="K330" s="38"/>
    </row>
    <row r="331" ht="14.4" spans="2:11">
      <c r="B331" s="38"/>
      <c r="C331" s="38"/>
      <c r="D331" s="38"/>
      <c r="E331" s="38"/>
      <c r="F331" s="38"/>
      <c r="G331" s="38"/>
      <c r="H331" s="38"/>
      <c r="I331" s="38"/>
      <c r="J331" s="38"/>
      <c r="K331" s="38"/>
    </row>
    <row r="332" ht="14.4" spans="2:11">
      <c r="B332" s="38"/>
      <c r="C332" s="38"/>
      <c r="D332" s="38"/>
      <c r="E332" s="38"/>
      <c r="F332" s="38"/>
      <c r="G332" s="38"/>
      <c r="H332" s="38"/>
      <c r="I332" s="38"/>
      <c r="J332" s="38"/>
      <c r="K332" s="38"/>
    </row>
    <row r="333" ht="14.4" spans="2:11">
      <c r="B333" s="38"/>
      <c r="C333" s="38"/>
      <c r="D333" s="38"/>
      <c r="E333" s="38"/>
      <c r="F333" s="38"/>
      <c r="G333" s="38"/>
      <c r="H333" s="38"/>
      <c r="I333" s="38"/>
      <c r="J333" s="38"/>
      <c r="K333" s="38"/>
    </row>
    <row r="334" ht="14.4" spans="2:11">
      <c r="B334" s="38"/>
      <c r="C334" s="38"/>
      <c r="D334" s="38"/>
      <c r="E334" s="38"/>
      <c r="F334" s="38"/>
      <c r="G334" s="38"/>
      <c r="H334" s="38"/>
      <c r="I334" s="38"/>
      <c r="J334" s="38"/>
      <c r="K334" s="38"/>
    </row>
    <row r="335" ht="14.4" spans="2:11">
      <c r="B335" s="38"/>
      <c r="C335" s="38"/>
      <c r="D335" s="38"/>
      <c r="E335" s="38"/>
      <c r="F335" s="38"/>
      <c r="G335" s="38"/>
      <c r="H335" s="38"/>
      <c r="I335" s="38"/>
      <c r="J335" s="38"/>
      <c r="K335" s="38"/>
    </row>
    <row r="336" ht="14.4" spans="2:11">
      <c r="B336" s="38"/>
      <c r="C336" s="38"/>
      <c r="D336" s="38"/>
      <c r="E336" s="38"/>
      <c r="F336" s="38"/>
      <c r="G336" s="38"/>
      <c r="H336" s="38"/>
      <c r="I336" s="38"/>
      <c r="J336" s="38"/>
      <c r="K336" s="38"/>
    </row>
    <row r="337" ht="14.4" spans="2:11">
      <c r="B337" s="38"/>
      <c r="C337" s="38"/>
      <c r="D337" s="38"/>
      <c r="E337" s="38"/>
      <c r="F337" s="38"/>
      <c r="G337" s="38"/>
      <c r="H337" s="38"/>
      <c r="I337" s="38"/>
      <c r="J337" s="38"/>
      <c r="K337" s="38"/>
    </row>
    <row r="338" ht="14.4" spans="2:11">
      <c r="B338" s="38"/>
      <c r="C338" s="38"/>
      <c r="D338" s="38"/>
      <c r="E338" s="38"/>
      <c r="F338" s="38"/>
      <c r="G338" s="38"/>
      <c r="H338" s="38"/>
      <c r="I338" s="38"/>
      <c r="J338" s="38"/>
      <c r="K338" s="38"/>
    </row>
    <row r="339" ht="14.4" spans="2:11">
      <c r="B339" s="38"/>
      <c r="C339" s="38"/>
      <c r="D339" s="38"/>
      <c r="E339" s="38"/>
      <c r="F339" s="38"/>
      <c r="G339" s="38"/>
      <c r="H339" s="38"/>
      <c r="I339" s="38"/>
      <c r="J339" s="38"/>
      <c r="K339" s="38"/>
    </row>
    <row r="340" ht="14.4" spans="2:11">
      <c r="B340" s="38"/>
      <c r="C340" s="38"/>
      <c r="D340" s="38"/>
      <c r="E340" s="38"/>
      <c r="F340" s="38"/>
      <c r="G340" s="38"/>
      <c r="H340" s="38"/>
      <c r="I340" s="38"/>
      <c r="J340" s="38"/>
      <c r="K340" s="38"/>
    </row>
    <row r="341" ht="14.4" spans="2:11">
      <c r="B341" s="38"/>
      <c r="C341" s="38"/>
      <c r="D341" s="38"/>
      <c r="E341" s="38"/>
      <c r="F341" s="38"/>
      <c r="G341" s="38"/>
      <c r="H341" s="38"/>
      <c r="I341" s="38"/>
      <c r="J341" s="38"/>
      <c r="K341" s="38"/>
    </row>
    <row r="342" ht="14.4" spans="2:11">
      <c r="B342" s="38"/>
      <c r="C342" s="38"/>
      <c r="D342" s="38"/>
      <c r="E342" s="38"/>
      <c r="F342" s="38"/>
      <c r="G342" s="38"/>
      <c r="H342" s="38"/>
      <c r="I342" s="38"/>
      <c r="J342" s="38"/>
      <c r="K342" s="38"/>
    </row>
    <row r="343" ht="14.4" spans="2:11">
      <c r="B343" s="38"/>
      <c r="C343" s="38"/>
      <c r="D343" s="38"/>
      <c r="E343" s="38"/>
      <c r="F343" s="38"/>
      <c r="G343" s="38"/>
      <c r="H343" s="38"/>
      <c r="I343" s="38"/>
      <c r="J343" s="38"/>
      <c r="K343" s="38"/>
    </row>
    <row r="344" ht="14.4" spans="2:11">
      <c r="B344" s="38"/>
      <c r="C344" s="38"/>
      <c r="D344" s="38"/>
      <c r="E344" s="38"/>
      <c r="F344" s="38"/>
      <c r="G344" s="38"/>
      <c r="H344" s="38"/>
      <c r="I344" s="38"/>
      <c r="J344" s="38"/>
      <c r="K344" s="38"/>
    </row>
    <row r="345" ht="14.4" spans="2:11">
      <c r="B345" s="38"/>
      <c r="C345" s="38"/>
      <c r="D345" s="38"/>
      <c r="E345" s="38"/>
      <c r="F345" s="38"/>
      <c r="G345" s="38"/>
      <c r="H345" s="38"/>
      <c r="I345" s="38"/>
      <c r="J345" s="38"/>
      <c r="K345" s="38"/>
    </row>
    <row r="346" ht="14.4" spans="2:11">
      <c r="B346" s="38"/>
      <c r="C346" s="38"/>
      <c r="D346" s="38"/>
      <c r="E346" s="38"/>
      <c r="F346" s="38"/>
      <c r="G346" s="38"/>
      <c r="H346" s="38"/>
      <c r="I346" s="38"/>
      <c r="J346" s="38"/>
      <c r="K346" s="38"/>
    </row>
    <row r="347" ht="14.4" spans="2:11">
      <c r="B347" s="38"/>
      <c r="C347" s="38"/>
      <c r="D347" s="38"/>
      <c r="E347" s="38"/>
      <c r="F347" s="38"/>
      <c r="G347" s="38"/>
      <c r="H347" s="38"/>
      <c r="I347" s="38"/>
      <c r="J347" s="38"/>
      <c r="K347" s="38"/>
    </row>
    <row r="348" ht="14.4" spans="2:11">
      <c r="B348" s="38"/>
      <c r="C348" s="38"/>
      <c r="D348" s="38"/>
      <c r="E348" s="38"/>
      <c r="F348" s="38"/>
      <c r="G348" s="38"/>
      <c r="H348" s="38"/>
      <c r="I348" s="38"/>
      <c r="J348" s="38"/>
      <c r="K348" s="38"/>
    </row>
    <row r="349" ht="14.4" spans="2:11">
      <c r="B349" s="38"/>
      <c r="C349" s="38"/>
      <c r="D349" s="38"/>
      <c r="E349" s="38"/>
      <c r="F349" s="38"/>
      <c r="G349" s="38"/>
      <c r="H349" s="38"/>
      <c r="I349" s="38"/>
      <c r="J349" s="38"/>
      <c r="K349" s="38"/>
    </row>
    <row r="350" ht="14.4" spans="2:11">
      <c r="B350" s="38"/>
      <c r="C350" s="38"/>
      <c r="D350" s="38"/>
      <c r="E350" s="38"/>
      <c r="F350" s="38"/>
      <c r="G350" s="38"/>
      <c r="H350" s="38"/>
      <c r="I350" s="38"/>
      <c r="J350" s="38"/>
      <c r="K350" s="38"/>
    </row>
    <row r="351" ht="14.4" spans="2:11">
      <c r="B351" s="38"/>
      <c r="C351" s="38"/>
      <c r="D351" s="38"/>
      <c r="E351" s="38"/>
      <c r="F351" s="38"/>
      <c r="G351" s="38"/>
      <c r="H351" s="38"/>
      <c r="I351" s="38"/>
      <c r="J351" s="38"/>
      <c r="K351" s="38"/>
    </row>
    <row r="352" ht="14.4" spans="2:11">
      <c r="B352" s="38"/>
      <c r="C352" s="38"/>
      <c r="D352" s="38"/>
      <c r="E352" s="38"/>
      <c r="F352" s="38"/>
      <c r="G352" s="38"/>
      <c r="H352" s="38"/>
      <c r="I352" s="38"/>
      <c r="J352" s="38"/>
      <c r="K352" s="38"/>
    </row>
    <row r="353" ht="14.4" spans="2:11">
      <c r="B353" s="38"/>
      <c r="C353" s="38"/>
      <c r="D353" s="38"/>
      <c r="E353" s="38"/>
      <c r="F353" s="38"/>
      <c r="G353" s="38"/>
      <c r="H353" s="38"/>
      <c r="I353" s="38"/>
      <c r="J353" s="38"/>
      <c r="K353" s="38"/>
    </row>
    <row r="354" ht="14.4" spans="2:11">
      <c r="B354" s="38"/>
      <c r="C354" s="38"/>
      <c r="D354" s="38"/>
      <c r="E354" s="38"/>
      <c r="F354" s="38"/>
      <c r="G354" s="38"/>
      <c r="H354" s="38"/>
      <c r="I354" s="38"/>
      <c r="J354" s="38"/>
      <c r="K354" s="38"/>
    </row>
    <row r="355" ht="14.4" spans="2:11">
      <c r="B355" s="38"/>
      <c r="C355" s="38"/>
      <c r="D355" s="38"/>
      <c r="E355" s="38"/>
      <c r="F355" s="38"/>
      <c r="G355" s="38"/>
      <c r="H355" s="38"/>
      <c r="I355" s="38"/>
      <c r="J355" s="38"/>
      <c r="K355" s="38"/>
    </row>
    <row r="356" ht="14.4" spans="2:11">
      <c r="B356" s="38"/>
      <c r="C356" s="38"/>
      <c r="D356" s="38"/>
      <c r="E356" s="38"/>
      <c r="F356" s="38"/>
      <c r="G356" s="38"/>
      <c r="H356" s="38"/>
      <c r="I356" s="38"/>
      <c r="J356" s="38"/>
      <c r="K356" s="38"/>
    </row>
    <row r="357" ht="14.4" spans="2:11">
      <c r="B357" s="38"/>
      <c r="C357" s="38"/>
      <c r="D357" s="38"/>
      <c r="E357" s="38"/>
      <c r="F357" s="38"/>
      <c r="G357" s="38"/>
      <c r="H357" s="38"/>
      <c r="I357" s="38"/>
      <c r="J357" s="38"/>
      <c r="K357" s="38"/>
    </row>
    <row r="358" ht="14.4" spans="2:11">
      <c r="B358" s="38"/>
      <c r="C358" s="38"/>
      <c r="D358" s="38"/>
      <c r="E358" s="38"/>
      <c r="F358" s="38"/>
      <c r="G358" s="38"/>
      <c r="H358" s="38"/>
      <c r="I358" s="38"/>
      <c r="J358" s="38"/>
      <c r="K358" s="38"/>
    </row>
    <row r="359" ht="14.4" spans="2:11">
      <c r="B359" s="38"/>
      <c r="C359" s="38"/>
      <c r="D359" s="38"/>
      <c r="E359" s="38"/>
      <c r="F359" s="38"/>
      <c r="G359" s="38"/>
      <c r="H359" s="38"/>
      <c r="I359" s="38"/>
      <c r="J359" s="38"/>
      <c r="K359" s="38"/>
    </row>
    <row r="360" ht="14.4" spans="2:11">
      <c r="B360" s="38"/>
      <c r="C360" s="38"/>
      <c r="D360" s="38"/>
      <c r="E360" s="38"/>
      <c r="F360" s="38"/>
      <c r="G360" s="38"/>
      <c r="H360" s="38"/>
      <c r="I360" s="38"/>
      <c r="J360" s="38"/>
      <c r="K360" s="38"/>
    </row>
    <row r="361" ht="14.4" spans="2:11">
      <c r="B361" s="38"/>
      <c r="C361" s="38"/>
      <c r="D361" s="38"/>
      <c r="E361" s="38"/>
      <c r="F361" s="38"/>
      <c r="G361" s="38"/>
      <c r="H361" s="38"/>
      <c r="I361" s="38"/>
      <c r="J361" s="38"/>
      <c r="K361" s="38"/>
    </row>
    <row r="362" ht="14.4" spans="2:11">
      <c r="B362" s="38"/>
      <c r="C362" s="38"/>
      <c r="D362" s="38"/>
      <c r="E362" s="38"/>
      <c r="F362" s="38"/>
      <c r="G362" s="38"/>
      <c r="H362" s="38"/>
      <c r="I362" s="38"/>
      <c r="J362" s="38"/>
      <c r="K362" s="38"/>
    </row>
    <row r="363" ht="14.4" spans="2:11">
      <c r="B363" s="38"/>
      <c r="C363" s="38"/>
      <c r="D363" s="38"/>
      <c r="E363" s="38"/>
      <c r="F363" s="38"/>
      <c r="G363" s="38"/>
      <c r="H363" s="38"/>
      <c r="I363" s="38"/>
      <c r="J363" s="38"/>
      <c r="K363" s="38"/>
    </row>
    <row r="364" ht="14.4" spans="2:11">
      <c r="B364" s="38"/>
      <c r="C364" s="38"/>
      <c r="D364" s="38"/>
      <c r="E364" s="38"/>
      <c r="F364" s="38"/>
      <c r="G364" s="38"/>
      <c r="H364" s="38"/>
      <c r="I364" s="38"/>
      <c r="J364" s="38"/>
      <c r="K364" s="38"/>
    </row>
    <row r="365" ht="14.4" spans="2:11">
      <c r="B365" s="38"/>
      <c r="C365" s="38"/>
      <c r="D365" s="38"/>
      <c r="E365" s="38"/>
      <c r="F365" s="38"/>
      <c r="G365" s="38"/>
      <c r="H365" s="38"/>
      <c r="I365" s="38"/>
      <c r="J365" s="38"/>
      <c r="K365" s="38"/>
    </row>
    <row r="366" ht="14.4" spans="2:11">
      <c r="B366" s="38"/>
      <c r="C366" s="38"/>
      <c r="D366" s="38"/>
      <c r="E366" s="38"/>
      <c r="F366" s="38"/>
      <c r="G366" s="38"/>
      <c r="H366" s="38"/>
      <c r="I366" s="38"/>
      <c r="J366" s="38"/>
      <c r="K366" s="38"/>
    </row>
    <row r="367" ht="14.4" spans="2:11">
      <c r="B367" s="38"/>
      <c r="C367" s="38"/>
      <c r="D367" s="38"/>
      <c r="E367" s="38"/>
      <c r="F367" s="38"/>
      <c r="G367" s="38"/>
      <c r="H367" s="38"/>
      <c r="I367" s="38"/>
      <c r="J367" s="38"/>
      <c r="K367" s="38"/>
    </row>
    <row r="368" ht="14.4" spans="2:11">
      <c r="B368" s="38"/>
      <c r="C368" s="38"/>
      <c r="D368" s="38"/>
      <c r="E368" s="38"/>
      <c r="F368" s="38"/>
      <c r="G368" s="38"/>
      <c r="H368" s="38"/>
      <c r="I368" s="38"/>
      <c r="J368" s="38"/>
      <c r="K368" s="38"/>
    </row>
    <row r="369" ht="14.4" spans="2:11">
      <c r="B369" s="38"/>
      <c r="C369" s="38"/>
      <c r="D369" s="38"/>
      <c r="E369" s="38"/>
      <c r="F369" s="38"/>
      <c r="G369" s="38"/>
      <c r="H369" s="38"/>
      <c r="I369" s="38"/>
      <c r="J369" s="38"/>
      <c r="K369" s="38"/>
    </row>
    <row r="370" ht="14.4" spans="2:11">
      <c r="B370" s="38"/>
      <c r="C370" s="38"/>
      <c r="D370" s="38"/>
      <c r="E370" s="38"/>
      <c r="F370" s="38"/>
      <c r="G370" s="38"/>
      <c r="H370" s="38"/>
      <c r="I370" s="38"/>
      <c r="J370" s="38"/>
      <c r="K370" s="38"/>
    </row>
    <row r="371" ht="14.4" spans="2:11">
      <c r="B371" s="38"/>
      <c r="C371" s="38"/>
      <c r="D371" s="38"/>
      <c r="E371" s="38"/>
      <c r="F371" s="38"/>
      <c r="G371" s="38"/>
      <c r="H371" s="38"/>
      <c r="I371" s="38"/>
      <c r="J371" s="38"/>
      <c r="K371" s="38"/>
    </row>
    <row r="372" ht="14.4" spans="2:11">
      <c r="B372" s="38"/>
      <c r="C372" s="38"/>
      <c r="D372" s="38"/>
      <c r="E372" s="38"/>
      <c r="F372" s="38"/>
      <c r="G372" s="38"/>
      <c r="H372" s="38"/>
      <c r="I372" s="38"/>
      <c r="J372" s="38"/>
      <c r="K372" s="38"/>
    </row>
    <row r="373" ht="14.4" spans="2:11">
      <c r="B373" s="38"/>
      <c r="C373" s="38"/>
      <c r="D373" s="38"/>
      <c r="E373" s="38"/>
      <c r="F373" s="38"/>
      <c r="G373" s="38"/>
      <c r="H373" s="38"/>
      <c r="I373" s="38"/>
      <c r="J373" s="38"/>
      <c r="K373" s="38"/>
    </row>
    <row r="374" ht="14.4" spans="2:11">
      <c r="B374" s="38"/>
      <c r="C374" s="38"/>
      <c r="D374" s="38"/>
      <c r="E374" s="38"/>
      <c r="F374" s="38"/>
      <c r="G374" s="38"/>
      <c r="H374" s="38"/>
      <c r="I374" s="38"/>
      <c r="J374" s="38"/>
      <c r="K374" s="38"/>
    </row>
    <row r="375" ht="14.4" spans="2:11">
      <c r="B375" s="38"/>
      <c r="C375" s="38"/>
      <c r="D375" s="38"/>
      <c r="E375" s="38"/>
      <c r="F375" s="38"/>
      <c r="G375" s="38"/>
      <c r="H375" s="38"/>
      <c r="I375" s="38"/>
      <c r="J375" s="38"/>
      <c r="K375" s="38"/>
    </row>
    <row r="376" ht="14.4" spans="2:11">
      <c r="B376" s="38"/>
      <c r="C376" s="38"/>
      <c r="D376" s="38"/>
      <c r="E376" s="38"/>
      <c r="F376" s="38"/>
      <c r="G376" s="38"/>
      <c r="H376" s="38"/>
      <c r="I376" s="38"/>
      <c r="J376" s="38"/>
      <c r="K376" s="38"/>
    </row>
    <row r="377" ht="14.4" spans="2:11">
      <c r="B377" s="38"/>
      <c r="C377" s="38"/>
      <c r="D377" s="38"/>
      <c r="E377" s="38"/>
      <c r="F377" s="38"/>
      <c r="G377" s="38"/>
      <c r="H377" s="38"/>
      <c r="I377" s="38"/>
      <c r="J377" s="38"/>
      <c r="K377" s="38"/>
    </row>
    <row r="378" ht="14.4" spans="2:11">
      <c r="B378" s="38"/>
      <c r="C378" s="38"/>
      <c r="D378" s="38"/>
      <c r="E378" s="38"/>
      <c r="F378" s="38"/>
      <c r="G378" s="38"/>
      <c r="H378" s="38"/>
      <c r="I378" s="38"/>
      <c r="J378" s="38"/>
      <c r="K378" s="38"/>
    </row>
    <row r="379" ht="14.4" spans="2:11">
      <c r="B379" s="38"/>
      <c r="C379" s="38"/>
      <c r="D379" s="38"/>
      <c r="E379" s="38"/>
      <c r="F379" s="38"/>
      <c r="G379" s="38"/>
      <c r="H379" s="38"/>
      <c r="I379" s="38"/>
      <c r="J379" s="38"/>
      <c r="K379" s="38"/>
    </row>
    <row r="380" ht="14.4" spans="2:11">
      <c r="B380" s="38"/>
      <c r="C380" s="38"/>
      <c r="D380" s="38"/>
      <c r="E380" s="38"/>
      <c r="F380" s="38"/>
      <c r="G380" s="38"/>
      <c r="H380" s="38"/>
      <c r="I380" s="38"/>
      <c r="J380" s="38"/>
      <c r="K380" s="38"/>
    </row>
    <row r="381" ht="14.4" spans="2:11">
      <c r="B381" s="38"/>
      <c r="C381" s="38"/>
      <c r="D381" s="38"/>
      <c r="E381" s="38"/>
      <c r="F381" s="38"/>
      <c r="G381" s="38"/>
      <c r="H381" s="38"/>
      <c r="I381" s="38"/>
      <c r="J381" s="38"/>
      <c r="K381" s="38"/>
    </row>
    <row r="382" ht="14.4" spans="2:11">
      <c r="B382" s="38"/>
      <c r="C382" s="38"/>
      <c r="D382" s="38"/>
      <c r="E382" s="38"/>
      <c r="F382" s="38"/>
      <c r="G382" s="38"/>
      <c r="H382" s="38"/>
      <c r="I382" s="38"/>
      <c r="J382" s="38"/>
      <c r="K382" s="38"/>
    </row>
    <row r="383" ht="14.4" spans="2:11">
      <c r="B383" s="38"/>
      <c r="C383" s="38"/>
      <c r="D383" s="38"/>
      <c r="E383" s="38"/>
      <c r="F383" s="38"/>
      <c r="G383" s="38"/>
      <c r="H383" s="38"/>
      <c r="I383" s="38"/>
      <c r="J383" s="38"/>
      <c r="K383" s="38"/>
    </row>
    <row r="384" ht="14.4" spans="2:11">
      <c r="B384" s="38"/>
      <c r="C384" s="38"/>
      <c r="D384" s="38"/>
      <c r="E384" s="38"/>
      <c r="F384" s="38"/>
      <c r="G384" s="38"/>
      <c r="H384" s="38"/>
      <c r="I384" s="38"/>
      <c r="J384" s="38"/>
      <c r="K384" s="38"/>
    </row>
    <row r="385" ht="14.4" spans="2:11">
      <c r="B385" s="38"/>
      <c r="C385" s="38"/>
      <c r="D385" s="38"/>
      <c r="E385" s="38"/>
      <c r="F385" s="38"/>
      <c r="G385" s="38"/>
      <c r="H385" s="38"/>
      <c r="I385" s="38"/>
      <c r="J385" s="38"/>
      <c r="K385" s="38"/>
    </row>
    <row r="386" ht="14.4" spans="2:11">
      <c r="B386" s="38"/>
      <c r="C386" s="38"/>
      <c r="D386" s="38"/>
      <c r="E386" s="38"/>
      <c r="F386" s="38"/>
      <c r="G386" s="38"/>
      <c r="H386" s="38"/>
      <c r="I386" s="38"/>
      <c r="J386" s="38"/>
      <c r="K386" s="38"/>
    </row>
    <row r="387" ht="14.4" spans="2:11">
      <c r="B387" s="38"/>
      <c r="C387" s="38"/>
      <c r="D387" s="38"/>
      <c r="E387" s="38"/>
      <c r="F387" s="38"/>
      <c r="G387" s="38"/>
      <c r="H387" s="38"/>
      <c r="I387" s="38"/>
      <c r="J387" s="38"/>
      <c r="K387" s="38"/>
    </row>
    <row r="388" ht="14.4" spans="2:11">
      <c r="B388" s="38"/>
      <c r="C388" s="38"/>
      <c r="D388" s="38"/>
      <c r="E388" s="38"/>
      <c r="F388" s="38"/>
      <c r="G388" s="38"/>
      <c r="H388" s="38"/>
      <c r="I388" s="38"/>
      <c r="J388" s="38"/>
      <c r="K388" s="38"/>
    </row>
    <row r="389" ht="14.4" spans="2:11">
      <c r="B389" s="38"/>
      <c r="C389" s="38"/>
      <c r="D389" s="38"/>
      <c r="E389" s="38"/>
      <c r="F389" s="38"/>
      <c r="G389" s="38"/>
      <c r="H389" s="38"/>
      <c r="I389" s="38"/>
      <c r="J389" s="38"/>
      <c r="K389" s="38"/>
    </row>
    <row r="390" ht="14.4" spans="2:11">
      <c r="B390" s="38"/>
      <c r="C390" s="38"/>
      <c r="D390" s="38"/>
      <c r="E390" s="38"/>
      <c r="F390" s="38"/>
      <c r="G390" s="38"/>
      <c r="H390" s="38"/>
      <c r="I390" s="38"/>
      <c r="J390" s="38"/>
      <c r="K390" s="38"/>
    </row>
    <row r="391" ht="14.4" spans="2:11">
      <c r="B391" s="38"/>
      <c r="C391" s="38"/>
      <c r="D391" s="38"/>
      <c r="E391" s="38"/>
      <c r="F391" s="38"/>
      <c r="G391" s="38"/>
      <c r="H391" s="38"/>
      <c r="I391" s="38"/>
      <c r="J391" s="38"/>
      <c r="K391" s="38"/>
    </row>
    <row r="392" ht="14.4" spans="2:11">
      <c r="B392" s="38"/>
      <c r="C392" s="38"/>
      <c r="D392" s="38"/>
      <c r="E392" s="38"/>
      <c r="F392" s="38"/>
      <c r="G392" s="38"/>
      <c r="H392" s="38"/>
      <c r="I392" s="38"/>
      <c r="J392" s="38"/>
      <c r="K392" s="38"/>
    </row>
    <row r="393" ht="14.4" spans="2:11">
      <c r="B393" s="38"/>
      <c r="C393" s="38"/>
      <c r="D393" s="38"/>
      <c r="E393" s="38"/>
      <c r="F393" s="38"/>
      <c r="G393" s="38"/>
      <c r="H393" s="38"/>
      <c r="I393" s="38"/>
      <c r="J393" s="38"/>
      <c r="K393" s="38"/>
    </row>
    <row r="394" ht="14.4" spans="2:11">
      <c r="B394" s="38"/>
      <c r="C394" s="38"/>
      <c r="D394" s="38"/>
      <c r="E394" s="38"/>
      <c r="F394" s="38"/>
      <c r="G394" s="38"/>
      <c r="H394" s="38"/>
      <c r="I394" s="38"/>
      <c r="J394" s="38"/>
      <c r="K394" s="38"/>
    </row>
    <row r="395" ht="14.4" spans="2:11">
      <c r="B395" s="38"/>
      <c r="C395" s="38"/>
      <c r="D395" s="38"/>
      <c r="E395" s="38"/>
      <c r="F395" s="38"/>
      <c r="G395" s="38"/>
      <c r="H395" s="38"/>
      <c r="I395" s="38"/>
      <c r="J395" s="38"/>
      <c r="K395" s="38"/>
    </row>
    <row r="396" ht="14.4" spans="2:11">
      <c r="B396" s="38"/>
      <c r="C396" s="38"/>
      <c r="D396" s="38"/>
      <c r="E396" s="38"/>
      <c r="F396" s="38"/>
      <c r="G396" s="38"/>
      <c r="H396" s="38"/>
      <c r="I396" s="38"/>
      <c r="J396" s="38"/>
      <c r="K396" s="38"/>
    </row>
    <row r="397" ht="14.4" spans="2:11">
      <c r="B397" s="38"/>
      <c r="C397" s="38"/>
      <c r="D397" s="38"/>
      <c r="E397" s="38"/>
      <c r="F397" s="38"/>
      <c r="G397" s="38"/>
      <c r="H397" s="38"/>
      <c r="I397" s="38"/>
      <c r="J397" s="38"/>
      <c r="K397" s="38"/>
    </row>
    <row r="398" ht="14.4" spans="2:11">
      <c r="B398" s="38"/>
      <c r="C398" s="38"/>
      <c r="D398" s="38"/>
      <c r="E398" s="38"/>
      <c r="F398" s="38"/>
      <c r="G398" s="38"/>
      <c r="H398" s="38"/>
      <c r="I398" s="38"/>
      <c r="J398" s="38"/>
      <c r="K398" s="38"/>
    </row>
    <row r="399" ht="14.4" spans="2:11">
      <c r="B399" s="38"/>
      <c r="C399" s="38"/>
      <c r="D399" s="38"/>
      <c r="E399" s="38"/>
      <c r="F399" s="38"/>
      <c r="G399" s="38"/>
      <c r="H399" s="38"/>
      <c r="I399" s="38"/>
      <c r="J399" s="38"/>
      <c r="K399" s="38"/>
    </row>
    <row r="400" ht="14.4" spans="2:11">
      <c r="B400" s="38"/>
      <c r="C400" s="38"/>
      <c r="D400" s="38"/>
      <c r="E400" s="38"/>
      <c r="F400" s="38"/>
      <c r="G400" s="38"/>
      <c r="H400" s="38"/>
      <c r="I400" s="38"/>
      <c r="J400" s="38"/>
      <c r="K400" s="38"/>
    </row>
    <row r="401" ht="14.4" spans="2:11">
      <c r="B401" s="38"/>
      <c r="C401" s="38"/>
      <c r="D401" s="38"/>
      <c r="E401" s="38"/>
      <c r="F401" s="38"/>
      <c r="G401" s="38"/>
      <c r="H401" s="38"/>
      <c r="I401" s="38"/>
      <c r="J401" s="38"/>
      <c r="K401" s="38"/>
    </row>
    <row r="402" ht="14.4" spans="2:11">
      <c r="B402" s="38"/>
      <c r="C402" s="38"/>
      <c r="D402" s="38"/>
      <c r="E402" s="38"/>
      <c r="F402" s="38"/>
      <c r="G402" s="38"/>
      <c r="H402" s="38"/>
      <c r="I402" s="38"/>
      <c r="J402" s="38"/>
      <c r="K402" s="38"/>
    </row>
    <row r="403" ht="14.4" spans="2:11">
      <c r="B403" s="38"/>
      <c r="C403" s="38"/>
      <c r="D403" s="38"/>
      <c r="E403" s="38"/>
      <c r="F403" s="38"/>
      <c r="G403" s="38"/>
      <c r="H403" s="38"/>
      <c r="I403" s="38"/>
      <c r="J403" s="38"/>
      <c r="K403" s="38"/>
    </row>
    <row r="404" ht="14.4" spans="2:11">
      <c r="B404" s="38"/>
      <c r="C404" s="38"/>
      <c r="D404" s="38"/>
      <c r="E404" s="38"/>
      <c r="F404" s="38"/>
      <c r="G404" s="38"/>
      <c r="H404" s="38"/>
      <c r="I404" s="38"/>
      <c r="J404" s="38"/>
      <c r="K404" s="38"/>
    </row>
    <row r="405" ht="14.4" spans="2:11">
      <c r="B405" s="38"/>
      <c r="C405" s="38"/>
      <c r="D405" s="38"/>
      <c r="E405" s="38"/>
      <c r="F405" s="38"/>
      <c r="G405" s="38"/>
      <c r="H405" s="38"/>
      <c r="I405" s="38"/>
      <c r="J405" s="38"/>
      <c r="K405" s="38"/>
    </row>
    <row r="406" ht="14.4" spans="2:11">
      <c r="B406" s="38"/>
      <c r="C406" s="38"/>
      <c r="D406" s="38"/>
      <c r="E406" s="38"/>
      <c r="F406" s="38"/>
      <c r="G406" s="38"/>
      <c r="H406" s="38"/>
      <c r="I406" s="38"/>
      <c r="J406" s="38"/>
      <c r="K406" s="38"/>
    </row>
    <row r="407" ht="14.4" spans="2:11">
      <c r="B407" s="38"/>
      <c r="C407" s="38"/>
      <c r="D407" s="38"/>
      <c r="E407" s="38"/>
      <c r="F407" s="38"/>
      <c r="G407" s="38"/>
      <c r="H407" s="38"/>
      <c r="I407" s="38"/>
      <c r="J407" s="38"/>
      <c r="K407" s="38"/>
    </row>
    <row r="408" ht="14.4" spans="2:11">
      <c r="B408" s="38"/>
      <c r="C408" s="38"/>
      <c r="D408" s="38"/>
      <c r="E408" s="38"/>
      <c r="F408" s="38"/>
      <c r="G408" s="38"/>
      <c r="H408" s="38"/>
      <c r="I408" s="38"/>
      <c r="J408" s="38"/>
      <c r="K408" s="38"/>
    </row>
    <row r="409" ht="14.4" spans="2:11">
      <c r="B409" s="38"/>
      <c r="C409" s="38"/>
      <c r="D409" s="38"/>
      <c r="E409" s="38"/>
      <c r="F409" s="38"/>
      <c r="G409" s="38"/>
      <c r="H409" s="38"/>
      <c r="I409" s="38"/>
      <c r="J409" s="38"/>
      <c r="K409" s="38"/>
    </row>
    <row r="410" ht="14.4" spans="2:11">
      <c r="B410" s="38"/>
      <c r="C410" s="38"/>
      <c r="D410" s="38"/>
      <c r="E410" s="38"/>
      <c r="F410" s="38"/>
      <c r="G410" s="38"/>
      <c r="H410" s="38"/>
      <c r="I410" s="38"/>
      <c r="J410" s="38"/>
      <c r="K410" s="38"/>
    </row>
    <row r="411" ht="14.4" spans="2:11">
      <c r="B411" s="38"/>
      <c r="C411" s="38"/>
      <c r="D411" s="38"/>
      <c r="E411" s="38"/>
      <c r="F411" s="38"/>
      <c r="G411" s="38"/>
      <c r="H411" s="38"/>
      <c r="I411" s="38"/>
      <c r="J411" s="38"/>
      <c r="K411" s="38"/>
    </row>
    <row r="412" ht="14.4" spans="2:11">
      <c r="B412" s="38"/>
      <c r="C412" s="38"/>
      <c r="D412" s="38"/>
      <c r="E412" s="38"/>
      <c r="F412" s="38"/>
      <c r="G412" s="38"/>
      <c r="H412" s="38"/>
      <c r="I412" s="38"/>
      <c r="J412" s="38"/>
      <c r="K412" s="38"/>
    </row>
    <row r="413" ht="14.4" spans="2:11">
      <c r="B413" s="38"/>
      <c r="C413" s="38"/>
      <c r="D413" s="38"/>
      <c r="E413" s="38"/>
      <c r="F413" s="38"/>
      <c r="G413" s="38"/>
      <c r="H413" s="38"/>
      <c r="I413" s="38"/>
      <c r="J413" s="38"/>
      <c r="K413" s="38"/>
    </row>
    <row r="414" ht="14.4" spans="2:11">
      <c r="B414" s="38"/>
      <c r="C414" s="38"/>
      <c r="D414" s="38"/>
      <c r="E414" s="38"/>
      <c r="F414" s="38"/>
      <c r="G414" s="38"/>
      <c r="H414" s="38"/>
      <c r="I414" s="38"/>
      <c r="J414" s="38"/>
      <c r="K414" s="38"/>
    </row>
    <row r="415" ht="14.4" spans="2:11">
      <c r="B415" s="38"/>
      <c r="C415" s="38"/>
      <c r="D415" s="38"/>
      <c r="E415" s="38"/>
      <c r="F415" s="38"/>
      <c r="G415" s="38"/>
      <c r="H415" s="38"/>
      <c r="I415" s="38"/>
      <c r="J415" s="38"/>
      <c r="K415" s="38"/>
    </row>
    <row r="416" ht="14.4" spans="2:11">
      <c r="B416" s="38"/>
      <c r="C416" s="38"/>
      <c r="D416" s="38"/>
      <c r="E416" s="38"/>
      <c r="F416" s="38"/>
      <c r="G416" s="38"/>
      <c r="H416" s="38"/>
      <c r="I416" s="38"/>
      <c r="J416" s="38"/>
      <c r="K416" s="38"/>
    </row>
    <row r="417" ht="14.4" spans="2:11">
      <c r="B417" s="38"/>
      <c r="C417" s="38"/>
      <c r="D417" s="38"/>
      <c r="E417" s="38"/>
      <c r="F417" s="38"/>
      <c r="G417" s="38"/>
      <c r="H417" s="38"/>
      <c r="I417" s="38"/>
      <c r="J417" s="38"/>
      <c r="K417" s="38"/>
    </row>
    <row r="418" ht="14.4" spans="2:11">
      <c r="B418" s="38"/>
      <c r="C418" s="38"/>
      <c r="D418" s="38"/>
      <c r="E418" s="38"/>
      <c r="F418" s="38"/>
      <c r="G418" s="38"/>
      <c r="H418" s="38"/>
      <c r="I418" s="38"/>
      <c r="J418" s="38"/>
      <c r="K418" s="38"/>
    </row>
    <row r="419" ht="14.4" spans="2:11">
      <c r="B419" s="38"/>
      <c r="C419" s="38"/>
      <c r="D419" s="38"/>
      <c r="E419" s="38"/>
      <c r="F419" s="38"/>
      <c r="G419" s="38"/>
      <c r="H419" s="38"/>
      <c r="I419" s="38"/>
      <c r="J419" s="38"/>
      <c r="K419" s="38"/>
    </row>
    <row r="420" ht="14.4" spans="2:11">
      <c r="B420" s="38"/>
      <c r="C420" s="38"/>
      <c r="D420" s="38"/>
      <c r="E420" s="38"/>
      <c r="F420" s="38"/>
      <c r="G420" s="38"/>
      <c r="H420" s="38"/>
      <c r="I420" s="38"/>
      <c r="J420" s="38"/>
      <c r="K420" s="38"/>
    </row>
    <row r="421" ht="14.4" spans="2:11">
      <c r="B421" s="38"/>
      <c r="C421" s="38"/>
      <c r="D421" s="38"/>
      <c r="E421" s="38"/>
      <c r="F421" s="38"/>
      <c r="G421" s="38"/>
      <c r="H421" s="38"/>
      <c r="I421" s="38"/>
      <c r="J421" s="38"/>
      <c r="K421" s="38"/>
    </row>
    <row r="422" ht="14.4" spans="2:11">
      <c r="B422" s="38"/>
      <c r="C422" s="38"/>
      <c r="D422" s="38"/>
      <c r="E422" s="38"/>
      <c r="F422" s="38"/>
      <c r="G422" s="38"/>
      <c r="H422" s="38"/>
      <c r="I422" s="38"/>
      <c r="J422" s="38"/>
      <c r="K422" s="38"/>
    </row>
    <row r="423" ht="14.4" spans="2:11">
      <c r="B423" s="38"/>
      <c r="C423" s="38"/>
      <c r="D423" s="38"/>
      <c r="E423" s="38"/>
      <c r="F423" s="38"/>
      <c r="G423" s="38"/>
      <c r="H423" s="38"/>
      <c r="I423" s="38"/>
      <c r="J423" s="38"/>
      <c r="K423" s="38"/>
    </row>
    <row r="424" ht="14.4" spans="2:11">
      <c r="B424" s="38"/>
      <c r="C424" s="38"/>
      <c r="D424" s="38"/>
      <c r="E424" s="38"/>
      <c r="F424" s="38"/>
      <c r="G424" s="38"/>
      <c r="H424" s="38"/>
      <c r="I424" s="38"/>
      <c r="J424" s="38"/>
      <c r="K424" s="38"/>
    </row>
    <row r="425" ht="14.4" spans="2:11">
      <c r="B425" s="38"/>
      <c r="C425" s="38"/>
      <c r="D425" s="38"/>
      <c r="E425" s="38"/>
      <c r="F425" s="38"/>
      <c r="G425" s="38"/>
      <c r="H425" s="38"/>
      <c r="I425" s="38"/>
      <c r="J425" s="38"/>
      <c r="K425" s="38"/>
    </row>
    <row r="426" ht="14.4" spans="2:11">
      <c r="B426" s="38"/>
      <c r="C426" s="38"/>
      <c r="D426" s="38"/>
      <c r="E426" s="38"/>
      <c r="F426" s="38"/>
      <c r="G426" s="38"/>
      <c r="H426" s="38"/>
      <c r="I426" s="38"/>
      <c r="J426" s="38"/>
      <c r="K426" s="38"/>
    </row>
    <row r="427" ht="14.4" spans="2:11">
      <c r="B427" s="38"/>
      <c r="C427" s="38"/>
      <c r="D427" s="38"/>
      <c r="E427" s="38"/>
      <c r="F427" s="38"/>
      <c r="G427" s="38"/>
      <c r="H427" s="38"/>
      <c r="I427" s="38"/>
      <c r="J427" s="38"/>
      <c r="K427" s="38"/>
    </row>
    <row r="428" ht="14.4" spans="2:11">
      <c r="B428" s="38"/>
      <c r="C428" s="38"/>
      <c r="D428" s="38"/>
      <c r="E428" s="38"/>
      <c r="F428" s="38"/>
      <c r="G428" s="38"/>
      <c r="H428" s="38"/>
      <c r="I428" s="38"/>
      <c r="J428" s="38"/>
      <c r="K428" s="38"/>
    </row>
    <row r="429" ht="14.4" spans="2:11">
      <c r="B429" s="38"/>
      <c r="C429" s="38"/>
      <c r="D429" s="38"/>
      <c r="E429" s="38"/>
      <c r="F429" s="38"/>
      <c r="G429" s="38"/>
      <c r="H429" s="38"/>
      <c r="I429" s="38"/>
      <c r="J429" s="38"/>
      <c r="K429" s="38"/>
    </row>
    <row r="430" ht="14.4" spans="2:11">
      <c r="B430" s="38"/>
      <c r="C430" s="38"/>
      <c r="D430" s="38"/>
      <c r="E430" s="38"/>
      <c r="F430" s="38"/>
      <c r="G430" s="38"/>
      <c r="H430" s="38"/>
      <c r="I430" s="38"/>
      <c r="J430" s="38"/>
      <c r="K430" s="38"/>
    </row>
    <row r="431" ht="14.4" spans="2:11">
      <c r="B431" s="38"/>
      <c r="C431" s="38"/>
      <c r="D431" s="38"/>
      <c r="E431" s="38"/>
      <c r="F431" s="38"/>
      <c r="G431" s="38"/>
      <c r="H431" s="38"/>
      <c r="I431" s="38"/>
      <c r="J431" s="38"/>
      <c r="K431" s="38"/>
    </row>
    <row r="432" ht="14.4" spans="2:11">
      <c r="B432" s="38"/>
      <c r="C432" s="38"/>
      <c r="D432" s="38"/>
      <c r="E432" s="38"/>
      <c r="F432" s="38"/>
      <c r="G432" s="38"/>
      <c r="H432" s="38"/>
      <c r="I432" s="38"/>
      <c r="J432" s="38"/>
      <c r="K432" s="38"/>
    </row>
    <row r="433" ht="14.4" spans="2:11">
      <c r="B433" s="38"/>
      <c r="C433" s="38"/>
      <c r="D433" s="38"/>
      <c r="E433" s="38"/>
      <c r="F433" s="38"/>
      <c r="G433" s="38"/>
      <c r="H433" s="38"/>
      <c r="I433" s="38"/>
      <c r="J433" s="38"/>
      <c r="K433" s="38"/>
    </row>
    <row r="434" ht="14.4" spans="2:11">
      <c r="B434" s="38"/>
      <c r="C434" s="38"/>
      <c r="D434" s="38"/>
      <c r="E434" s="38"/>
      <c r="F434" s="38"/>
      <c r="G434" s="38"/>
      <c r="H434" s="38"/>
      <c r="I434" s="38"/>
      <c r="J434" s="38"/>
      <c r="K434" s="38"/>
    </row>
    <row r="435" ht="14.4" spans="2:11">
      <c r="B435" s="38"/>
      <c r="C435" s="38"/>
      <c r="D435" s="38"/>
      <c r="E435" s="38"/>
      <c r="F435" s="38"/>
      <c r="G435" s="38"/>
      <c r="H435" s="38"/>
      <c r="I435" s="38"/>
      <c r="J435" s="38"/>
      <c r="K435" s="38"/>
    </row>
    <row r="436" ht="14.4" spans="2:11">
      <c r="B436" s="38"/>
      <c r="C436" s="38"/>
      <c r="D436" s="38"/>
      <c r="E436" s="38"/>
      <c r="F436" s="38"/>
      <c r="G436" s="38"/>
      <c r="H436" s="38"/>
      <c r="I436" s="38"/>
      <c r="J436" s="38"/>
      <c r="K436" s="38"/>
    </row>
    <row r="437" ht="14.4" spans="2:11">
      <c r="B437" s="38"/>
      <c r="C437" s="38"/>
      <c r="D437" s="38"/>
      <c r="E437" s="38"/>
      <c r="F437" s="38"/>
      <c r="G437" s="38"/>
      <c r="H437" s="38"/>
      <c r="I437" s="38"/>
      <c r="J437" s="38"/>
      <c r="K437" s="38"/>
    </row>
    <row r="438" ht="14.4" spans="2:11">
      <c r="B438" s="38"/>
      <c r="C438" s="38"/>
      <c r="D438" s="38"/>
      <c r="E438" s="38"/>
      <c r="F438" s="38"/>
      <c r="G438" s="38"/>
      <c r="H438" s="38"/>
      <c r="I438" s="38"/>
      <c r="J438" s="38"/>
      <c r="K438" s="38"/>
    </row>
    <row r="439" ht="14.4" spans="2:11">
      <c r="B439" s="38"/>
      <c r="C439" s="38"/>
      <c r="D439" s="38"/>
      <c r="E439" s="38"/>
      <c r="F439" s="38"/>
      <c r="G439" s="38"/>
      <c r="H439" s="38"/>
      <c r="I439" s="38"/>
      <c r="J439" s="38"/>
      <c r="K439" s="38"/>
    </row>
    <row r="440" ht="14.4" spans="2:11">
      <c r="B440" s="38"/>
      <c r="C440" s="38"/>
      <c r="D440" s="38"/>
      <c r="E440" s="38"/>
      <c r="F440" s="38"/>
      <c r="G440" s="38"/>
      <c r="H440" s="38"/>
      <c r="I440" s="38"/>
      <c r="J440" s="38"/>
      <c r="K440" s="38"/>
    </row>
    <row r="441" ht="14.4" spans="2:11">
      <c r="B441" s="38"/>
      <c r="C441" s="38"/>
      <c r="D441" s="38"/>
      <c r="E441" s="38"/>
      <c r="F441" s="38"/>
      <c r="G441" s="38"/>
      <c r="H441" s="38"/>
      <c r="I441" s="38"/>
      <c r="J441" s="38"/>
      <c r="K441" s="38"/>
    </row>
    <row r="442" ht="14.4" spans="2:11">
      <c r="B442" s="38"/>
      <c r="C442" s="38"/>
      <c r="D442" s="38"/>
      <c r="E442" s="38"/>
      <c r="F442" s="38"/>
      <c r="G442" s="38"/>
      <c r="H442" s="38"/>
      <c r="I442" s="38"/>
      <c r="J442" s="38"/>
      <c r="K442" s="38"/>
    </row>
    <row r="443" ht="14.4" spans="2:11">
      <c r="B443" s="38"/>
      <c r="C443" s="38"/>
      <c r="D443" s="38"/>
      <c r="E443" s="38"/>
      <c r="F443" s="38"/>
      <c r="G443" s="38"/>
      <c r="H443" s="38"/>
      <c r="I443" s="38"/>
      <c r="J443" s="38"/>
      <c r="K443" s="38"/>
    </row>
    <row r="444" ht="14.4" spans="2:11">
      <c r="B444" s="38"/>
      <c r="C444" s="38"/>
      <c r="D444" s="38"/>
      <c r="E444" s="38"/>
      <c r="F444" s="38"/>
      <c r="G444" s="38"/>
      <c r="H444" s="38"/>
      <c r="I444" s="38"/>
      <c r="J444" s="38"/>
      <c r="K444" s="38"/>
    </row>
    <row r="445" ht="14.4" spans="2:11">
      <c r="B445" s="38"/>
      <c r="C445" s="38"/>
      <c r="D445" s="38"/>
      <c r="E445" s="38"/>
      <c r="F445" s="38"/>
      <c r="G445" s="38"/>
      <c r="H445" s="38"/>
      <c r="I445" s="38"/>
      <c r="J445" s="38"/>
      <c r="K445" s="38"/>
    </row>
    <row r="446" ht="14.4" spans="2:11">
      <c r="B446" s="38"/>
      <c r="C446" s="38"/>
      <c r="D446" s="38"/>
      <c r="E446" s="38"/>
      <c r="F446" s="38"/>
      <c r="G446" s="38"/>
      <c r="H446" s="38"/>
      <c r="I446" s="38"/>
      <c r="J446" s="38"/>
      <c r="K446" s="38"/>
    </row>
    <row r="447" ht="14.4" spans="2:11">
      <c r="B447" s="38"/>
      <c r="C447" s="38"/>
      <c r="D447" s="38"/>
      <c r="E447" s="38"/>
      <c r="F447" s="38"/>
      <c r="G447" s="38"/>
      <c r="H447" s="38"/>
      <c r="I447" s="38"/>
      <c r="J447" s="38"/>
      <c r="K447" s="38"/>
    </row>
    <row r="448" ht="14.4" spans="2:11">
      <c r="B448" s="38"/>
      <c r="C448" s="38"/>
      <c r="D448" s="38"/>
      <c r="E448" s="38"/>
      <c r="F448" s="38"/>
      <c r="G448" s="38"/>
      <c r="H448" s="38"/>
      <c r="I448" s="38"/>
      <c r="J448" s="38"/>
      <c r="K448" s="38"/>
    </row>
    <row r="449" ht="14.4" spans="2:11">
      <c r="B449" s="38"/>
      <c r="C449" s="38"/>
      <c r="D449" s="38"/>
      <c r="E449" s="38"/>
      <c r="F449" s="38"/>
      <c r="G449" s="38"/>
      <c r="H449" s="38"/>
      <c r="I449" s="38"/>
      <c r="J449" s="38"/>
      <c r="K449" s="38"/>
    </row>
    <row r="450" ht="14.4" spans="2:11">
      <c r="B450" s="38"/>
      <c r="C450" s="38"/>
      <c r="D450" s="38"/>
      <c r="E450" s="38"/>
      <c r="F450" s="38"/>
      <c r="G450" s="38"/>
      <c r="H450" s="38"/>
      <c r="I450" s="38"/>
      <c r="J450" s="38"/>
      <c r="K450" s="38"/>
    </row>
    <row r="451" ht="14.4" spans="2:11">
      <c r="B451" s="38"/>
      <c r="C451" s="38"/>
      <c r="D451" s="38"/>
      <c r="E451" s="38"/>
      <c r="F451" s="38"/>
      <c r="G451" s="38"/>
      <c r="H451" s="38"/>
      <c r="I451" s="38"/>
      <c r="J451" s="38"/>
      <c r="K451" s="38"/>
    </row>
    <row r="452" ht="14.4" spans="2:11">
      <c r="B452" s="38"/>
      <c r="C452" s="38"/>
      <c r="D452" s="38"/>
      <c r="E452" s="38"/>
      <c r="F452" s="38"/>
      <c r="G452" s="38"/>
      <c r="H452" s="38"/>
      <c r="I452" s="38"/>
      <c r="J452" s="38"/>
      <c r="K452" s="38"/>
    </row>
    <row r="453" ht="14.4" spans="2:11">
      <c r="B453" s="38"/>
      <c r="C453" s="38"/>
      <c r="D453" s="38"/>
      <c r="E453" s="38"/>
      <c r="F453" s="38"/>
      <c r="G453" s="38"/>
      <c r="H453" s="38"/>
      <c r="I453" s="38"/>
      <c r="J453" s="38"/>
      <c r="K453" s="38"/>
    </row>
    <row r="454" ht="14.4" spans="2:11">
      <c r="B454" s="38"/>
      <c r="C454" s="38"/>
      <c r="D454" s="38"/>
      <c r="E454" s="38"/>
      <c r="F454" s="38"/>
      <c r="G454" s="38"/>
      <c r="H454" s="38"/>
      <c r="I454" s="38"/>
      <c r="J454" s="38"/>
      <c r="K454" s="38"/>
    </row>
    <row r="455" ht="14.4" spans="2:11">
      <c r="B455" s="38"/>
      <c r="C455" s="38"/>
      <c r="D455" s="38"/>
      <c r="E455" s="38"/>
      <c r="F455" s="38"/>
      <c r="G455" s="38"/>
      <c r="H455" s="38"/>
      <c r="I455" s="38"/>
      <c r="J455" s="38"/>
      <c r="K455" s="38"/>
    </row>
    <row r="456" ht="14.4" spans="2:11">
      <c r="B456" s="38"/>
      <c r="C456" s="38"/>
      <c r="D456" s="38"/>
      <c r="E456" s="38"/>
      <c r="F456" s="38"/>
      <c r="G456" s="38"/>
      <c r="H456" s="38"/>
      <c r="I456" s="38"/>
      <c r="J456" s="38"/>
      <c r="K456" s="38"/>
    </row>
    <row r="457" ht="14.4" spans="2:11">
      <c r="B457" s="38"/>
      <c r="C457" s="38"/>
      <c r="D457" s="38"/>
      <c r="E457" s="38"/>
      <c r="F457" s="38"/>
      <c r="G457" s="38"/>
      <c r="H457" s="38"/>
      <c r="I457" s="38"/>
      <c r="J457" s="38"/>
      <c r="K457" s="38"/>
    </row>
    <row r="458" ht="14.4" spans="2:11">
      <c r="B458" s="38"/>
      <c r="C458" s="38"/>
      <c r="D458" s="38"/>
      <c r="E458" s="38"/>
      <c r="F458" s="38"/>
      <c r="G458" s="38"/>
      <c r="H458" s="38"/>
      <c r="I458" s="38"/>
      <c r="J458" s="38"/>
      <c r="K458" s="38"/>
    </row>
    <row r="459" ht="14.4" spans="2:11">
      <c r="B459" s="38"/>
      <c r="C459" s="38"/>
      <c r="D459" s="38"/>
      <c r="E459" s="38"/>
      <c r="F459" s="38"/>
      <c r="G459" s="38"/>
      <c r="H459" s="38"/>
      <c r="I459" s="38"/>
      <c r="J459" s="38"/>
      <c r="K459" s="38"/>
    </row>
    <row r="460" ht="14.4" spans="2:11">
      <c r="B460" s="38"/>
      <c r="C460" s="38"/>
      <c r="D460" s="38"/>
      <c r="E460" s="38"/>
      <c r="F460" s="38"/>
      <c r="G460" s="38"/>
      <c r="H460" s="38"/>
      <c r="I460" s="38"/>
      <c r="J460" s="38"/>
      <c r="K460" s="38"/>
    </row>
    <row r="461" ht="14.4" spans="2:11">
      <c r="B461" s="38"/>
      <c r="C461" s="38"/>
      <c r="D461" s="38"/>
      <c r="E461" s="38"/>
      <c r="F461" s="38"/>
      <c r="G461" s="38"/>
      <c r="H461" s="38"/>
      <c r="I461" s="38"/>
      <c r="J461" s="38"/>
      <c r="K461" s="38"/>
    </row>
    <row r="462" ht="14.4" spans="2:11">
      <c r="B462" s="38"/>
      <c r="C462" s="38"/>
      <c r="D462" s="38"/>
      <c r="E462" s="38"/>
      <c r="F462" s="38"/>
      <c r="G462" s="38"/>
      <c r="H462" s="38"/>
      <c r="I462" s="38"/>
      <c r="J462" s="38"/>
      <c r="K462" s="38"/>
    </row>
    <row r="463" ht="14.4" spans="2:11">
      <c r="B463" s="38"/>
      <c r="C463" s="38"/>
      <c r="D463" s="38"/>
      <c r="E463" s="38"/>
      <c r="F463" s="38"/>
      <c r="G463" s="38"/>
      <c r="H463" s="38"/>
      <c r="I463" s="38"/>
      <c r="J463" s="38"/>
      <c r="K463" s="38"/>
    </row>
    <row r="464" ht="14.4" spans="2:11">
      <c r="B464" s="38"/>
      <c r="C464" s="38"/>
      <c r="D464" s="38"/>
      <c r="E464" s="38"/>
      <c r="F464" s="38"/>
      <c r="G464" s="38"/>
      <c r="H464" s="38"/>
      <c r="I464" s="38"/>
      <c r="J464" s="38"/>
      <c r="K464" s="38"/>
    </row>
    <row r="465" ht="14.4" spans="2:11">
      <c r="B465" s="38"/>
      <c r="C465" s="38"/>
      <c r="D465" s="38"/>
      <c r="E465" s="38"/>
      <c r="F465" s="38"/>
      <c r="G465" s="38"/>
      <c r="H465" s="38"/>
      <c r="I465" s="38"/>
      <c r="J465" s="38"/>
      <c r="K465" s="38"/>
    </row>
    <row r="466" ht="14.4" spans="2:11">
      <c r="B466" s="38"/>
      <c r="C466" s="38"/>
      <c r="D466" s="38"/>
      <c r="E466" s="38"/>
      <c r="F466" s="38"/>
      <c r="G466" s="38"/>
      <c r="H466" s="38"/>
      <c r="I466" s="38"/>
      <c r="J466" s="38"/>
      <c r="K466" s="38"/>
    </row>
    <row r="467" ht="14.4" spans="2:11">
      <c r="B467" s="38"/>
      <c r="C467" s="38"/>
      <c r="D467" s="38"/>
      <c r="E467" s="38"/>
      <c r="F467" s="38"/>
      <c r="G467" s="38"/>
      <c r="H467" s="38"/>
      <c r="I467" s="38"/>
      <c r="J467" s="38"/>
      <c r="K467" s="38"/>
    </row>
    <row r="468" ht="14.4" spans="2:11">
      <c r="B468" s="38"/>
      <c r="C468" s="38"/>
      <c r="D468" s="38"/>
      <c r="E468" s="38"/>
      <c r="F468" s="38"/>
      <c r="G468" s="38"/>
      <c r="H468" s="38"/>
      <c r="I468" s="38"/>
      <c r="J468" s="38"/>
      <c r="K468" s="38"/>
    </row>
    <row r="469" ht="14.4" spans="2:11">
      <c r="B469" s="38"/>
      <c r="C469" s="38"/>
      <c r="D469" s="38"/>
      <c r="E469" s="38"/>
      <c r="F469" s="38"/>
      <c r="G469" s="38"/>
      <c r="H469" s="38"/>
      <c r="I469" s="38"/>
      <c r="J469" s="38"/>
      <c r="K469" s="38"/>
    </row>
    <row r="470" ht="14.4" spans="2:11">
      <c r="B470" s="38"/>
      <c r="C470" s="38"/>
      <c r="D470" s="38"/>
      <c r="E470" s="38"/>
      <c r="F470" s="38"/>
      <c r="G470" s="38"/>
      <c r="H470" s="38"/>
      <c r="I470" s="38"/>
      <c r="J470" s="38"/>
      <c r="K470" s="38"/>
    </row>
    <row r="471" ht="14.4" spans="2:11">
      <c r="B471" s="38"/>
      <c r="C471" s="38"/>
      <c r="D471" s="38"/>
      <c r="E471" s="38"/>
      <c r="F471" s="38"/>
      <c r="G471" s="38"/>
      <c r="H471" s="38"/>
      <c r="I471" s="38"/>
      <c r="J471" s="38"/>
      <c r="K471" s="38"/>
    </row>
    <row r="472" ht="14.4" spans="2:11">
      <c r="B472" s="38"/>
      <c r="C472" s="38"/>
      <c r="D472" s="38"/>
      <c r="E472" s="38"/>
      <c r="F472" s="38"/>
      <c r="G472" s="38"/>
      <c r="H472" s="38"/>
      <c r="I472" s="38"/>
      <c r="J472" s="38"/>
      <c r="K472" s="38"/>
    </row>
    <row r="473" ht="14.4" spans="2:11">
      <c r="B473" s="38"/>
      <c r="C473" s="38"/>
      <c r="D473" s="38"/>
      <c r="E473" s="38"/>
      <c r="F473" s="38"/>
      <c r="G473" s="38"/>
      <c r="H473" s="38"/>
      <c r="I473" s="38"/>
      <c r="J473" s="38"/>
      <c r="K473" s="38"/>
    </row>
    <row r="474" ht="14.4" spans="2:11">
      <c r="B474" s="38"/>
      <c r="C474" s="38"/>
      <c r="D474" s="38"/>
      <c r="E474" s="38"/>
      <c r="F474" s="38"/>
      <c r="G474" s="38"/>
      <c r="H474" s="38"/>
      <c r="I474" s="38"/>
      <c r="J474" s="38"/>
      <c r="K474" s="38"/>
    </row>
    <row r="475" ht="14.4" spans="2:11">
      <c r="B475" s="38"/>
      <c r="C475" s="38"/>
      <c r="D475" s="38"/>
      <c r="E475" s="38"/>
      <c r="F475" s="38"/>
      <c r="G475" s="38"/>
      <c r="H475" s="38"/>
      <c r="I475" s="38"/>
      <c r="J475" s="38"/>
      <c r="K475" s="38"/>
    </row>
    <row r="476" ht="14.4" spans="2:11">
      <c r="B476" s="38"/>
      <c r="C476" s="38"/>
      <c r="D476" s="38"/>
      <c r="E476" s="38"/>
      <c r="F476" s="38"/>
      <c r="G476" s="38"/>
      <c r="H476" s="38"/>
      <c r="I476" s="38"/>
      <c r="J476" s="38"/>
      <c r="K476" s="38"/>
    </row>
    <row r="477" ht="14.4" spans="2:11">
      <c r="B477" s="38"/>
      <c r="C477" s="38"/>
      <c r="D477" s="38"/>
      <c r="E477" s="38"/>
      <c r="F477" s="38"/>
      <c r="G477" s="38"/>
      <c r="H477" s="38"/>
      <c r="I477" s="38"/>
      <c r="J477" s="38"/>
      <c r="K477" s="38"/>
    </row>
    <row r="478" ht="14.4" spans="2:11">
      <c r="B478" s="38"/>
      <c r="C478" s="38"/>
      <c r="D478" s="38"/>
      <c r="E478" s="38"/>
      <c r="F478" s="38"/>
      <c r="G478" s="38"/>
      <c r="H478" s="38"/>
      <c r="I478" s="38"/>
      <c r="J478" s="38"/>
      <c r="K478" s="38"/>
    </row>
    <row r="479" ht="14.4" spans="2:11">
      <c r="B479" s="38"/>
      <c r="C479" s="38"/>
      <c r="D479" s="38"/>
      <c r="E479" s="38"/>
      <c r="F479" s="38"/>
      <c r="G479" s="38"/>
      <c r="H479" s="38"/>
      <c r="I479" s="38"/>
      <c r="J479" s="38"/>
      <c r="K479" s="38"/>
    </row>
    <row r="480" ht="14.4" spans="2:11">
      <c r="B480" s="38"/>
      <c r="C480" s="38"/>
      <c r="D480" s="38"/>
      <c r="E480" s="38"/>
      <c r="F480" s="38"/>
      <c r="G480" s="38"/>
      <c r="H480" s="38"/>
      <c r="I480" s="38"/>
      <c r="J480" s="38"/>
      <c r="K480" s="38"/>
    </row>
    <row r="481" ht="14.4" spans="2:11">
      <c r="B481" s="38"/>
      <c r="C481" s="38"/>
      <c r="D481" s="38"/>
      <c r="E481" s="38"/>
      <c r="F481" s="38"/>
      <c r="G481" s="38"/>
      <c r="H481" s="38"/>
      <c r="I481" s="38"/>
      <c r="J481" s="38"/>
      <c r="K481" s="38"/>
    </row>
    <row r="482" ht="14.4" spans="2:11">
      <c r="B482" s="38"/>
      <c r="C482" s="38"/>
      <c r="D482" s="38"/>
      <c r="E482" s="38"/>
      <c r="F482" s="38"/>
      <c r="G482" s="38"/>
      <c r="H482" s="38"/>
      <c r="I482" s="38"/>
      <c r="J482" s="38"/>
      <c r="K482" s="38"/>
    </row>
    <row r="483" ht="14.4" spans="2:11">
      <c r="B483" s="38"/>
      <c r="C483" s="38"/>
      <c r="D483" s="38"/>
      <c r="E483" s="38"/>
      <c r="F483" s="38"/>
      <c r="G483" s="38"/>
      <c r="H483" s="38"/>
      <c r="I483" s="38"/>
      <c r="J483" s="38"/>
      <c r="K483" s="38"/>
    </row>
    <row r="484" ht="14.4" spans="2:11">
      <c r="B484" s="38"/>
      <c r="C484" s="38"/>
      <c r="D484" s="38"/>
      <c r="E484" s="38"/>
      <c r="F484" s="38"/>
      <c r="G484" s="38"/>
      <c r="H484" s="38"/>
      <c r="I484" s="38"/>
      <c r="J484" s="38"/>
      <c r="K484" s="38"/>
    </row>
    <row r="485" ht="14.4" spans="2:11">
      <c r="B485" s="38"/>
      <c r="C485" s="38"/>
      <c r="D485" s="38"/>
      <c r="E485" s="38"/>
      <c r="F485" s="38"/>
      <c r="G485" s="38"/>
      <c r="H485" s="38"/>
      <c r="I485" s="38"/>
      <c r="J485" s="38"/>
      <c r="K485" s="38"/>
    </row>
    <row r="486" ht="14.4" spans="2:11">
      <c r="B486" s="38"/>
      <c r="C486" s="38"/>
      <c r="D486" s="38"/>
      <c r="E486" s="38"/>
      <c r="F486" s="38"/>
      <c r="G486" s="38"/>
      <c r="H486" s="38"/>
      <c r="I486" s="38"/>
      <c r="J486" s="38"/>
      <c r="K486" s="38"/>
    </row>
    <row r="487" ht="14.4" spans="2:11">
      <c r="B487" s="38"/>
      <c r="C487" s="38"/>
      <c r="D487" s="38"/>
      <c r="E487" s="38"/>
      <c r="F487" s="38"/>
      <c r="G487" s="38"/>
      <c r="H487" s="38"/>
      <c r="I487" s="38"/>
      <c r="J487" s="38"/>
      <c r="K487" s="38"/>
    </row>
    <row r="488" ht="14.4" spans="2:11">
      <c r="B488" s="38"/>
      <c r="C488" s="38"/>
      <c r="D488" s="38"/>
      <c r="E488" s="38"/>
      <c r="F488" s="38"/>
      <c r="G488" s="38"/>
      <c r="H488" s="38"/>
      <c r="I488" s="38"/>
      <c r="J488" s="38"/>
      <c r="K488" s="38"/>
    </row>
    <row r="489" ht="14.4" spans="2:11">
      <c r="B489" s="38"/>
      <c r="C489" s="38"/>
      <c r="D489" s="38"/>
      <c r="E489" s="38"/>
      <c r="F489" s="38"/>
      <c r="G489" s="38"/>
      <c r="H489" s="38"/>
      <c r="I489" s="38"/>
      <c r="J489" s="38"/>
      <c r="K489" s="38"/>
    </row>
    <row r="490" ht="14.4" spans="2:11">
      <c r="B490" s="38"/>
      <c r="C490" s="38"/>
      <c r="D490" s="38"/>
      <c r="E490" s="38"/>
      <c r="F490" s="38"/>
      <c r="G490" s="38"/>
      <c r="H490" s="38"/>
      <c r="I490" s="38"/>
      <c r="J490" s="38"/>
      <c r="K490" s="38"/>
    </row>
    <row r="491" ht="14.4" spans="2:11">
      <c r="B491" s="38"/>
      <c r="C491" s="38"/>
      <c r="D491" s="38"/>
      <c r="E491" s="38"/>
      <c r="F491" s="38"/>
      <c r="G491" s="38"/>
      <c r="H491" s="38"/>
      <c r="I491" s="38"/>
      <c r="J491" s="38"/>
      <c r="K491" s="38"/>
    </row>
    <row r="492" ht="14.4" spans="2:11">
      <c r="B492" s="38"/>
      <c r="C492" s="38"/>
      <c r="D492" s="38"/>
      <c r="E492" s="38"/>
      <c r="F492" s="38"/>
      <c r="G492" s="38"/>
      <c r="H492" s="38"/>
      <c r="I492" s="38"/>
      <c r="J492" s="38"/>
      <c r="K492" s="38"/>
    </row>
    <row r="493" ht="14.4" spans="2:11">
      <c r="B493" s="38"/>
      <c r="C493" s="38"/>
      <c r="D493" s="38"/>
      <c r="E493" s="38"/>
      <c r="F493" s="38"/>
      <c r="G493" s="38"/>
      <c r="H493" s="38"/>
      <c r="I493" s="38"/>
      <c r="J493" s="38"/>
      <c r="K493" s="38"/>
    </row>
    <row r="494" ht="14.4" spans="2:11">
      <c r="B494" s="38"/>
      <c r="C494" s="38"/>
      <c r="D494" s="38"/>
      <c r="E494" s="38"/>
      <c r="F494" s="38"/>
      <c r="G494" s="38"/>
      <c r="H494" s="38"/>
      <c r="I494" s="38"/>
      <c r="J494" s="38"/>
      <c r="K494" s="38"/>
    </row>
    <row r="495" ht="14.4" spans="2:11">
      <c r="B495" s="38"/>
      <c r="C495" s="38"/>
      <c r="D495" s="38"/>
      <c r="E495" s="38"/>
      <c r="F495" s="38"/>
      <c r="G495" s="38"/>
      <c r="H495" s="38"/>
      <c r="I495" s="38"/>
      <c r="J495" s="38"/>
      <c r="K495" s="38"/>
    </row>
    <row r="496" ht="14.4" spans="2:11">
      <c r="B496" s="38"/>
      <c r="C496" s="38"/>
      <c r="D496" s="38"/>
      <c r="E496" s="38"/>
      <c r="F496" s="38"/>
      <c r="G496" s="38"/>
      <c r="H496" s="38"/>
      <c r="I496" s="38"/>
      <c r="J496" s="38"/>
      <c r="K496" s="38"/>
    </row>
    <row r="497" ht="14.4" spans="2:11">
      <c r="B497" s="38"/>
      <c r="C497" s="38"/>
      <c r="D497" s="38"/>
      <c r="E497" s="38"/>
      <c r="F497" s="38"/>
      <c r="G497" s="38"/>
      <c r="H497" s="38"/>
      <c r="I497" s="38"/>
      <c r="J497" s="38"/>
      <c r="K497" s="38"/>
    </row>
    <row r="498" ht="14.4" spans="2:11">
      <c r="B498" s="38"/>
      <c r="C498" s="38"/>
      <c r="D498" s="38"/>
      <c r="E498" s="38"/>
      <c r="F498" s="38"/>
      <c r="G498" s="38"/>
      <c r="H498" s="38"/>
      <c r="I498" s="38"/>
      <c r="J498" s="38"/>
      <c r="K498" s="38"/>
    </row>
    <row r="499" ht="14.4" spans="2:11">
      <c r="B499" s="38"/>
      <c r="C499" s="38"/>
      <c r="D499" s="38"/>
      <c r="E499" s="38"/>
      <c r="F499" s="38"/>
      <c r="G499" s="38"/>
      <c r="H499" s="38"/>
      <c r="I499" s="38"/>
      <c r="J499" s="38"/>
      <c r="K499" s="38"/>
    </row>
    <row r="500" ht="14.4" spans="2:11">
      <c r="B500" s="38"/>
      <c r="C500" s="38"/>
      <c r="D500" s="38"/>
      <c r="E500" s="38"/>
      <c r="F500" s="38"/>
      <c r="G500" s="38"/>
      <c r="H500" s="38"/>
      <c r="I500" s="38"/>
      <c r="J500" s="38"/>
      <c r="K500" s="38"/>
    </row>
    <row r="501" ht="14.4" spans="2:11">
      <c r="B501" s="38"/>
      <c r="C501" s="38"/>
      <c r="D501" s="38"/>
      <c r="E501" s="38"/>
      <c r="F501" s="38"/>
      <c r="G501" s="38"/>
      <c r="H501" s="38"/>
      <c r="I501" s="38"/>
      <c r="J501" s="38"/>
      <c r="K501" s="38"/>
    </row>
    <row r="502" ht="14.4" spans="2:11">
      <c r="B502" s="38"/>
      <c r="C502" s="38"/>
      <c r="D502" s="38"/>
      <c r="E502" s="38"/>
      <c r="F502" s="38"/>
      <c r="G502" s="38"/>
      <c r="H502" s="38"/>
      <c r="I502" s="38"/>
      <c r="J502" s="38"/>
      <c r="K502" s="38"/>
    </row>
    <row r="503" ht="14.4" spans="2:11">
      <c r="B503" s="38"/>
      <c r="C503" s="38"/>
      <c r="D503" s="38"/>
      <c r="E503" s="38"/>
      <c r="F503" s="38"/>
      <c r="G503" s="38"/>
      <c r="H503" s="38"/>
      <c r="I503" s="38"/>
      <c r="J503" s="38"/>
      <c r="K503" s="38"/>
    </row>
    <row r="504" ht="14.4" spans="2:11">
      <c r="B504" s="38"/>
      <c r="C504" s="38"/>
      <c r="D504" s="38"/>
      <c r="E504" s="38"/>
      <c r="F504" s="38"/>
      <c r="G504" s="38"/>
      <c r="H504" s="38"/>
      <c r="I504" s="38"/>
      <c r="J504" s="38"/>
      <c r="K504" s="38"/>
    </row>
    <row r="505" ht="14.4" spans="2:11">
      <c r="B505" s="38"/>
      <c r="C505" s="38"/>
      <c r="D505" s="38"/>
      <c r="E505" s="38"/>
      <c r="F505" s="38"/>
      <c r="G505" s="38"/>
      <c r="H505" s="38"/>
      <c r="I505" s="38"/>
      <c r="J505" s="38"/>
      <c r="K505" s="38"/>
    </row>
    <row r="506" ht="14.4" spans="2:11">
      <c r="B506" s="38"/>
      <c r="C506" s="38"/>
      <c r="D506" s="38"/>
      <c r="E506" s="38"/>
      <c r="F506" s="38"/>
      <c r="G506" s="38"/>
      <c r="H506" s="38"/>
      <c r="I506" s="38"/>
      <c r="J506" s="38"/>
      <c r="K506" s="38"/>
    </row>
    <row r="507" ht="14.4" spans="2:11">
      <c r="B507" s="38"/>
      <c r="C507" s="38"/>
      <c r="D507" s="38"/>
      <c r="E507" s="38"/>
      <c r="F507" s="38"/>
      <c r="G507" s="38"/>
      <c r="H507" s="38"/>
      <c r="I507" s="38"/>
      <c r="J507" s="38"/>
      <c r="K507" s="38"/>
    </row>
    <row r="508" ht="14.4" spans="2:11">
      <c r="B508" s="38"/>
      <c r="C508" s="38"/>
      <c r="D508" s="38"/>
      <c r="E508" s="38"/>
      <c r="F508" s="38"/>
      <c r="G508" s="38"/>
      <c r="H508" s="38"/>
      <c r="I508" s="38"/>
      <c r="J508" s="38"/>
      <c r="K508" s="38"/>
    </row>
    <row r="509" ht="14.4" spans="2:11">
      <c r="B509" s="38"/>
      <c r="C509" s="38"/>
      <c r="D509" s="38"/>
      <c r="E509" s="38"/>
      <c r="F509" s="38"/>
      <c r="G509" s="38"/>
      <c r="H509" s="38"/>
      <c r="I509" s="38"/>
      <c r="J509" s="38"/>
      <c r="K509" s="38"/>
    </row>
    <row r="510" ht="14.4" spans="2:11">
      <c r="B510" s="38"/>
      <c r="C510" s="38"/>
      <c r="D510" s="38"/>
      <c r="E510" s="38"/>
      <c r="F510" s="38"/>
      <c r="G510" s="38"/>
      <c r="H510" s="38"/>
      <c r="I510" s="38"/>
      <c r="J510" s="38"/>
      <c r="K510" s="38"/>
    </row>
    <row r="511" ht="14.4" spans="2:11">
      <c r="B511" s="38"/>
      <c r="C511" s="38"/>
      <c r="D511" s="38"/>
      <c r="E511" s="38"/>
      <c r="F511" s="38"/>
      <c r="G511" s="38"/>
      <c r="H511" s="38"/>
      <c r="I511" s="38"/>
      <c r="J511" s="38"/>
      <c r="K511" s="38"/>
    </row>
    <row r="512" ht="14.4" spans="2:11">
      <c r="B512" s="38"/>
      <c r="C512" s="38"/>
      <c r="D512" s="38"/>
      <c r="E512" s="38"/>
      <c r="F512" s="38"/>
      <c r="G512" s="38"/>
      <c r="H512" s="38"/>
      <c r="I512" s="38"/>
      <c r="J512" s="38"/>
      <c r="K512" s="38"/>
    </row>
    <row r="513" ht="14.4" spans="2:11">
      <c r="B513" s="38"/>
      <c r="C513" s="38"/>
      <c r="D513" s="38"/>
      <c r="E513" s="38"/>
      <c r="F513" s="38"/>
      <c r="G513" s="38"/>
      <c r="H513" s="38"/>
      <c r="I513" s="38"/>
      <c r="J513" s="38"/>
      <c r="K513" s="38"/>
    </row>
    <row r="514" ht="14.4" spans="2:11">
      <c r="B514" s="38"/>
      <c r="C514" s="38"/>
      <c r="D514" s="38"/>
      <c r="E514" s="38"/>
      <c r="F514" s="38"/>
      <c r="G514" s="38"/>
      <c r="H514" s="38"/>
      <c r="I514" s="38"/>
      <c r="J514" s="38"/>
      <c r="K514" s="38"/>
    </row>
    <row r="515" ht="14.4" spans="2:11">
      <c r="B515" s="38"/>
      <c r="C515" s="38"/>
      <c r="D515" s="38"/>
      <c r="E515" s="38"/>
      <c r="F515" s="38"/>
      <c r="G515" s="38"/>
      <c r="H515" s="38"/>
      <c r="I515" s="38"/>
      <c r="J515" s="38"/>
      <c r="K515" s="38"/>
    </row>
    <row r="516" ht="14.4" spans="2:11">
      <c r="B516" s="38"/>
      <c r="C516" s="38"/>
      <c r="D516" s="38"/>
      <c r="E516" s="38"/>
      <c r="F516" s="38"/>
      <c r="G516" s="38"/>
      <c r="H516" s="38"/>
      <c r="I516" s="38"/>
      <c r="J516" s="38"/>
      <c r="K516" s="38"/>
    </row>
    <row r="517" ht="14.4" spans="2:11">
      <c r="B517" s="38"/>
      <c r="C517" s="38"/>
      <c r="D517" s="38"/>
      <c r="E517" s="38"/>
      <c r="F517" s="38"/>
      <c r="G517" s="38"/>
      <c r="H517" s="38"/>
      <c r="I517" s="38"/>
      <c r="J517" s="38"/>
      <c r="K517" s="38"/>
    </row>
    <row r="518" ht="14.4" spans="2:11">
      <c r="B518" s="38"/>
      <c r="C518" s="38"/>
      <c r="D518" s="38"/>
      <c r="E518" s="38"/>
      <c r="F518" s="38"/>
      <c r="G518" s="38"/>
      <c r="H518" s="38"/>
      <c r="I518" s="38"/>
      <c r="J518" s="38"/>
      <c r="K518" s="38"/>
    </row>
    <row r="519" ht="14.4" spans="2:11">
      <c r="B519" s="38"/>
      <c r="C519" s="38"/>
      <c r="D519" s="38"/>
      <c r="E519" s="38"/>
      <c r="F519" s="38"/>
      <c r="G519" s="38"/>
      <c r="H519" s="38"/>
      <c r="I519" s="38"/>
      <c r="J519" s="38"/>
      <c r="K519" s="38"/>
    </row>
    <row r="520" ht="14.4" spans="2:11">
      <c r="B520" s="38"/>
      <c r="C520" s="38"/>
      <c r="D520" s="38"/>
      <c r="E520" s="38"/>
      <c r="F520" s="38"/>
      <c r="G520" s="38"/>
      <c r="H520" s="38"/>
      <c r="I520" s="38"/>
      <c r="J520" s="38"/>
      <c r="K520" s="38"/>
    </row>
    <row r="521" ht="14.4" spans="2:11">
      <c r="B521" s="38"/>
      <c r="C521" s="38"/>
      <c r="D521" s="38"/>
      <c r="E521" s="38"/>
      <c r="F521" s="38"/>
      <c r="G521" s="38"/>
      <c r="H521" s="38"/>
      <c r="I521" s="38"/>
      <c r="J521" s="38"/>
      <c r="K521" s="38"/>
    </row>
    <row r="522" ht="14.4" spans="2:11">
      <c r="B522" s="38"/>
      <c r="C522" s="38"/>
      <c r="D522" s="38"/>
      <c r="E522" s="38"/>
      <c r="F522" s="38"/>
      <c r="G522" s="38"/>
      <c r="H522" s="38"/>
      <c r="I522" s="38"/>
      <c r="J522" s="38"/>
      <c r="K522" s="38"/>
    </row>
    <row r="523" ht="14.4" spans="2:11">
      <c r="B523" s="38"/>
      <c r="C523" s="38"/>
      <c r="D523" s="38"/>
      <c r="E523" s="38"/>
      <c r="F523" s="38"/>
      <c r="G523" s="38"/>
      <c r="H523" s="38"/>
      <c r="I523" s="38"/>
      <c r="J523" s="38"/>
      <c r="K523" s="38"/>
    </row>
    <row r="524" ht="14.4" spans="2:11">
      <c r="B524" s="38"/>
      <c r="C524" s="38"/>
      <c r="D524" s="38"/>
      <c r="E524" s="38"/>
      <c r="F524" s="38"/>
      <c r="G524" s="38"/>
      <c r="H524" s="38"/>
      <c r="I524" s="38"/>
      <c r="J524" s="38"/>
      <c r="K524" s="38"/>
    </row>
    <row r="525" ht="14.4" spans="2:11">
      <c r="B525" s="38"/>
      <c r="C525" s="38"/>
      <c r="D525" s="38"/>
      <c r="E525" s="38"/>
      <c r="F525" s="38"/>
      <c r="G525" s="38"/>
      <c r="H525" s="38"/>
      <c r="I525" s="38"/>
      <c r="J525" s="38"/>
      <c r="K525" s="38"/>
    </row>
    <row r="526" ht="14.4" spans="2:11">
      <c r="B526" s="38"/>
      <c r="C526" s="38"/>
      <c r="D526" s="38"/>
      <c r="E526" s="38"/>
      <c r="F526" s="38"/>
      <c r="G526" s="38"/>
      <c r="H526" s="38"/>
      <c r="I526" s="38"/>
      <c r="J526" s="38"/>
      <c r="K526" s="38"/>
    </row>
    <row r="527" ht="14.4" spans="2:11">
      <c r="B527" s="38"/>
      <c r="C527" s="38"/>
      <c r="D527" s="38"/>
      <c r="E527" s="38"/>
      <c r="F527" s="38"/>
      <c r="G527" s="38"/>
      <c r="H527" s="38"/>
      <c r="I527" s="38"/>
      <c r="J527" s="38"/>
      <c r="K527" s="38"/>
    </row>
    <row r="528" ht="14.4" spans="2:11">
      <c r="B528" s="38"/>
      <c r="C528" s="38"/>
      <c r="D528" s="38"/>
      <c r="E528" s="38"/>
      <c r="F528" s="38"/>
      <c r="G528" s="38"/>
      <c r="H528" s="38"/>
      <c r="I528" s="38"/>
      <c r="J528" s="38"/>
      <c r="K528" s="38"/>
    </row>
    <row r="529" ht="14.4" spans="2:11">
      <c r="B529" s="38"/>
      <c r="C529" s="38"/>
      <c r="D529" s="38"/>
      <c r="E529" s="38"/>
      <c r="F529" s="38"/>
      <c r="G529" s="38"/>
      <c r="H529" s="38"/>
      <c r="I529" s="38"/>
      <c r="J529" s="38"/>
      <c r="K529" s="38"/>
    </row>
    <row r="530" ht="14.4" spans="2:11">
      <c r="B530" s="38"/>
      <c r="C530" s="38"/>
      <c r="D530" s="38"/>
      <c r="E530" s="38"/>
      <c r="F530" s="38"/>
      <c r="G530" s="38"/>
      <c r="H530" s="38"/>
      <c r="I530" s="38"/>
      <c r="J530" s="38"/>
      <c r="K530" s="38"/>
    </row>
    <row r="531" ht="14.4" spans="2:11">
      <c r="B531" s="38"/>
      <c r="C531" s="38"/>
      <c r="D531" s="38"/>
      <c r="E531" s="38"/>
      <c r="F531" s="38"/>
      <c r="G531" s="38"/>
      <c r="H531" s="38"/>
      <c r="I531" s="38"/>
      <c r="J531" s="38"/>
      <c r="K531" s="38"/>
    </row>
    <row r="532" ht="14.4" spans="2:11">
      <c r="B532" s="38"/>
      <c r="C532" s="38"/>
      <c r="D532" s="38"/>
      <c r="E532" s="38"/>
      <c r="F532" s="38"/>
      <c r="G532" s="38"/>
      <c r="H532" s="38"/>
      <c r="I532" s="38"/>
      <c r="J532" s="38"/>
      <c r="K532" s="38"/>
    </row>
    <row r="533" ht="14.4" spans="2:11">
      <c r="B533" s="38"/>
      <c r="C533" s="38"/>
      <c r="D533" s="38"/>
      <c r="E533" s="38"/>
      <c r="F533" s="38"/>
      <c r="G533" s="38"/>
      <c r="H533" s="38"/>
      <c r="I533" s="38"/>
      <c r="J533" s="38"/>
      <c r="K533" s="38"/>
    </row>
    <row r="534" ht="14.4" spans="2:11">
      <c r="B534" s="38"/>
      <c r="C534" s="38"/>
      <c r="D534" s="38"/>
      <c r="E534" s="38"/>
      <c r="F534" s="38"/>
      <c r="G534" s="38"/>
      <c r="H534" s="38"/>
      <c r="I534" s="38"/>
      <c r="J534" s="38"/>
      <c r="K534" s="38"/>
    </row>
    <row r="535" ht="14.4" spans="2:11">
      <c r="B535" s="38"/>
      <c r="C535" s="38"/>
      <c r="D535" s="38"/>
      <c r="E535" s="38"/>
      <c r="F535" s="38"/>
      <c r="G535" s="38"/>
      <c r="H535" s="38"/>
      <c r="I535" s="38"/>
      <c r="J535" s="38"/>
      <c r="K535" s="38"/>
    </row>
    <row r="536" ht="14.4" spans="2:11">
      <c r="B536" s="38"/>
      <c r="C536" s="38"/>
      <c r="D536" s="38"/>
      <c r="E536" s="38"/>
      <c r="F536" s="38"/>
      <c r="G536" s="38"/>
      <c r="H536" s="38"/>
      <c r="I536" s="38"/>
      <c r="J536" s="38"/>
      <c r="K536" s="38"/>
    </row>
    <row r="537" ht="14.4" spans="2:11">
      <c r="B537" s="38"/>
      <c r="C537" s="38"/>
      <c r="D537" s="38"/>
      <c r="E537" s="38"/>
      <c r="F537" s="38"/>
      <c r="G537" s="38"/>
      <c r="H537" s="38"/>
      <c r="I537" s="38"/>
      <c r="J537" s="38"/>
      <c r="K537" s="38"/>
    </row>
    <row r="538" ht="14.4" spans="2:11">
      <c r="B538" s="38"/>
      <c r="C538" s="38"/>
      <c r="D538" s="38"/>
      <c r="E538" s="38"/>
      <c r="F538" s="38"/>
      <c r="G538" s="38"/>
      <c r="H538" s="38"/>
      <c r="I538" s="38"/>
      <c r="J538" s="38"/>
      <c r="K538" s="38"/>
    </row>
    <row r="539" ht="14.4" spans="2:11">
      <c r="B539" s="38"/>
      <c r="C539" s="38"/>
      <c r="D539" s="38"/>
      <c r="E539" s="38"/>
      <c r="F539" s="38"/>
      <c r="G539" s="38"/>
      <c r="H539" s="38"/>
      <c r="I539" s="38"/>
      <c r="J539" s="38"/>
      <c r="K539" s="38"/>
    </row>
    <row r="540" ht="14.4" spans="2:11">
      <c r="B540" s="38"/>
      <c r="C540" s="38"/>
      <c r="D540" s="38"/>
      <c r="E540" s="38"/>
      <c r="F540" s="38"/>
      <c r="G540" s="38"/>
      <c r="H540" s="38"/>
      <c r="I540" s="38"/>
      <c r="J540" s="38"/>
      <c r="K540" s="38"/>
    </row>
    <row r="541" ht="14.4" spans="2:11">
      <c r="B541" s="38"/>
      <c r="C541" s="38"/>
      <c r="D541" s="38"/>
      <c r="E541" s="38"/>
      <c r="F541" s="38"/>
      <c r="G541" s="38"/>
      <c r="H541" s="38"/>
      <c r="I541" s="38"/>
      <c r="J541" s="38"/>
      <c r="K541" s="38"/>
    </row>
    <row r="542" ht="14.4" spans="2:11">
      <c r="B542" s="38"/>
      <c r="C542" s="38"/>
      <c r="D542" s="38"/>
      <c r="E542" s="38"/>
      <c r="F542" s="38"/>
      <c r="G542" s="38"/>
      <c r="H542" s="38"/>
      <c r="I542" s="38"/>
      <c r="J542" s="38"/>
      <c r="K542" s="38"/>
    </row>
    <row r="543" ht="14.4" spans="2:11">
      <c r="B543" s="38"/>
      <c r="C543" s="38"/>
      <c r="D543" s="38"/>
      <c r="E543" s="38"/>
      <c r="F543" s="38"/>
      <c r="G543" s="38"/>
      <c r="H543" s="38"/>
      <c r="I543" s="38"/>
      <c r="J543" s="38"/>
      <c r="K543" s="38"/>
    </row>
    <row r="544" ht="14.4" spans="2:11">
      <c r="B544" s="38"/>
      <c r="C544" s="38"/>
      <c r="D544" s="38"/>
      <c r="E544" s="38"/>
      <c r="F544" s="38"/>
      <c r="G544" s="38"/>
      <c r="H544" s="38"/>
      <c r="I544" s="38"/>
      <c r="J544" s="38"/>
      <c r="K544" s="38"/>
    </row>
    <row r="545" ht="14.4" spans="2:11">
      <c r="B545" s="38"/>
      <c r="C545" s="38"/>
      <c r="D545" s="38"/>
      <c r="E545" s="38"/>
      <c r="F545" s="38"/>
      <c r="G545" s="38"/>
      <c r="H545" s="38"/>
      <c r="I545" s="38"/>
      <c r="J545" s="38"/>
      <c r="K545" s="38"/>
    </row>
    <row r="546" ht="14.4" spans="2:11">
      <c r="B546" s="38"/>
      <c r="C546" s="38"/>
      <c r="D546" s="38"/>
      <c r="E546" s="38"/>
      <c r="F546" s="38"/>
      <c r="G546" s="38"/>
      <c r="H546" s="38"/>
      <c r="I546" s="38"/>
      <c r="J546" s="38"/>
      <c r="K546" s="38"/>
    </row>
    <row r="547" ht="14.4" spans="2:11">
      <c r="B547" s="38"/>
      <c r="C547" s="38"/>
      <c r="D547" s="38"/>
      <c r="E547" s="38"/>
      <c r="F547" s="38"/>
      <c r="G547" s="38"/>
      <c r="H547" s="38"/>
      <c r="I547" s="38"/>
      <c r="J547" s="38"/>
      <c r="K547" s="38"/>
    </row>
    <row r="548" ht="14.4" spans="2:11">
      <c r="B548" s="38"/>
      <c r="C548" s="38"/>
      <c r="D548" s="38"/>
      <c r="E548" s="38"/>
      <c r="F548" s="38"/>
      <c r="G548" s="38"/>
      <c r="H548" s="38"/>
      <c r="I548" s="38"/>
      <c r="J548" s="38"/>
      <c r="K548" s="38"/>
    </row>
    <row r="549" ht="14.4" spans="2:11">
      <c r="B549" s="38"/>
      <c r="C549" s="38"/>
      <c r="D549" s="38"/>
      <c r="E549" s="38"/>
      <c r="F549" s="38"/>
      <c r="G549" s="38"/>
      <c r="H549" s="38"/>
      <c r="I549" s="38"/>
      <c r="J549" s="38"/>
      <c r="K549" s="38"/>
    </row>
    <row r="550" ht="14.4" spans="2:11">
      <c r="B550" s="38"/>
      <c r="C550" s="38"/>
      <c r="D550" s="38"/>
      <c r="E550" s="38"/>
      <c r="F550" s="38"/>
      <c r="G550" s="38"/>
      <c r="H550" s="38"/>
      <c r="I550" s="38"/>
      <c r="J550" s="38"/>
      <c r="K550" s="38"/>
    </row>
    <row r="551" ht="14.4" spans="2:11">
      <c r="B551" s="38"/>
      <c r="C551" s="38"/>
      <c r="D551" s="38"/>
      <c r="E551" s="38"/>
      <c r="F551" s="38"/>
      <c r="G551" s="38"/>
      <c r="H551" s="38"/>
      <c r="I551" s="38"/>
      <c r="J551" s="38"/>
      <c r="K551" s="38"/>
    </row>
    <row r="552" ht="14.4" spans="2:11">
      <c r="B552" s="38"/>
      <c r="C552" s="38"/>
      <c r="D552" s="38"/>
      <c r="E552" s="38"/>
      <c r="F552" s="38"/>
      <c r="G552" s="38"/>
      <c r="H552" s="38"/>
      <c r="I552" s="38"/>
      <c r="J552" s="38"/>
      <c r="K552" s="38"/>
    </row>
    <row r="553" ht="14.4" spans="2:11">
      <c r="B553" s="38"/>
      <c r="C553" s="38"/>
      <c r="D553" s="38"/>
      <c r="E553" s="38"/>
      <c r="F553" s="38"/>
      <c r="G553" s="38"/>
      <c r="H553" s="38"/>
      <c r="I553" s="38"/>
      <c r="J553" s="38"/>
      <c r="K553" s="38"/>
    </row>
    <row r="554" ht="14.4" spans="2:11">
      <c r="B554" s="38"/>
      <c r="C554" s="38"/>
      <c r="D554" s="38"/>
      <c r="E554" s="38"/>
      <c r="F554" s="38"/>
      <c r="G554" s="38"/>
      <c r="H554" s="38"/>
      <c r="I554" s="38"/>
      <c r="J554" s="38"/>
      <c r="K554" s="38"/>
    </row>
    <row r="555" ht="14.4" spans="2:11">
      <c r="B555" s="38"/>
      <c r="C555" s="38"/>
      <c r="D555" s="38"/>
      <c r="E555" s="38"/>
      <c r="F555" s="38"/>
      <c r="G555" s="38"/>
      <c r="H555" s="38"/>
      <c r="I555" s="38"/>
      <c r="J555" s="38"/>
      <c r="K555" s="38"/>
    </row>
    <row r="556" ht="14.4" spans="2:11">
      <c r="B556" s="38"/>
      <c r="C556" s="38"/>
      <c r="D556" s="38"/>
      <c r="E556" s="38"/>
      <c r="F556" s="38"/>
      <c r="G556" s="38"/>
      <c r="H556" s="38"/>
      <c r="I556" s="38"/>
      <c r="J556" s="38"/>
      <c r="K556" s="38"/>
    </row>
    <row r="557" ht="14.4" spans="2:11">
      <c r="B557" s="38"/>
      <c r="C557" s="38"/>
      <c r="D557" s="38"/>
      <c r="E557" s="38"/>
      <c r="F557" s="38"/>
      <c r="G557" s="38"/>
      <c r="H557" s="38"/>
      <c r="I557" s="38"/>
      <c r="J557" s="38"/>
      <c r="K557" s="38"/>
    </row>
    <row r="558" ht="14.4" spans="2:11">
      <c r="B558" s="38"/>
      <c r="C558" s="38"/>
      <c r="D558" s="38"/>
      <c r="E558" s="38"/>
      <c r="F558" s="38"/>
      <c r="G558" s="38"/>
      <c r="H558" s="38"/>
      <c r="I558" s="38"/>
      <c r="J558" s="38"/>
      <c r="K558" s="38"/>
    </row>
    <row r="559" ht="14.4" spans="2:11">
      <c r="B559" s="38"/>
      <c r="C559" s="38"/>
      <c r="D559" s="38"/>
      <c r="E559" s="38"/>
      <c r="F559" s="38"/>
      <c r="G559" s="38"/>
      <c r="H559" s="38"/>
      <c r="I559" s="38"/>
      <c r="J559" s="38"/>
      <c r="K559" s="38"/>
    </row>
    <row r="560" ht="14.4" spans="2:11">
      <c r="B560" s="38"/>
      <c r="C560" s="38"/>
      <c r="D560" s="38"/>
      <c r="E560" s="38"/>
      <c r="F560" s="38"/>
      <c r="G560" s="38"/>
      <c r="H560" s="38"/>
      <c r="I560" s="38"/>
      <c r="J560" s="38"/>
      <c r="K560" s="38"/>
    </row>
    <row r="561" ht="14.4" spans="2:11">
      <c r="B561" s="38"/>
      <c r="C561" s="38"/>
      <c r="D561" s="38"/>
      <c r="E561" s="38"/>
      <c r="F561" s="38"/>
      <c r="G561" s="38"/>
      <c r="H561" s="38"/>
      <c r="I561" s="38"/>
      <c r="J561" s="38"/>
      <c r="K561" s="38"/>
    </row>
    <row r="562" ht="14.4" spans="2:11">
      <c r="B562" s="38"/>
      <c r="C562" s="38"/>
      <c r="D562" s="38"/>
      <c r="E562" s="38"/>
      <c r="F562" s="38"/>
      <c r="G562" s="38"/>
      <c r="H562" s="38"/>
      <c r="I562" s="38"/>
      <c r="J562" s="38"/>
      <c r="K562" s="38"/>
    </row>
    <row r="563" ht="14.4" spans="2:11">
      <c r="B563" s="38"/>
      <c r="C563" s="38"/>
      <c r="D563" s="38"/>
      <c r="E563" s="38"/>
      <c r="F563" s="38"/>
      <c r="G563" s="38"/>
      <c r="H563" s="38"/>
      <c r="I563" s="38"/>
      <c r="J563" s="38"/>
      <c r="K563" s="38"/>
    </row>
    <row r="564" ht="14.4" spans="2:11">
      <c r="B564" s="38"/>
      <c r="C564" s="38"/>
      <c r="D564" s="38"/>
      <c r="E564" s="38"/>
      <c r="F564" s="38"/>
      <c r="G564" s="38"/>
      <c r="H564" s="38"/>
      <c r="I564" s="38"/>
      <c r="J564" s="38"/>
      <c r="K564" s="38"/>
    </row>
    <row r="565" ht="14.4" spans="2:11">
      <c r="B565" s="38"/>
      <c r="C565" s="38"/>
      <c r="D565" s="38"/>
      <c r="E565" s="38"/>
      <c r="F565" s="38"/>
      <c r="G565" s="38"/>
      <c r="H565" s="38"/>
      <c r="I565" s="38"/>
      <c r="J565" s="38"/>
      <c r="K565" s="38"/>
    </row>
    <row r="566" ht="14.4" spans="2:11">
      <c r="B566" s="38"/>
      <c r="C566" s="38"/>
      <c r="D566" s="38"/>
      <c r="E566" s="38"/>
      <c r="F566" s="38"/>
      <c r="G566" s="38"/>
      <c r="H566" s="38"/>
      <c r="I566" s="38"/>
      <c r="J566" s="38"/>
      <c r="K566" s="38"/>
    </row>
    <row r="567" ht="14.4" spans="2:11">
      <c r="B567" s="38"/>
      <c r="C567" s="38"/>
      <c r="D567" s="38"/>
      <c r="E567" s="38"/>
      <c r="F567" s="38"/>
      <c r="G567" s="38"/>
      <c r="H567" s="38"/>
      <c r="I567" s="38"/>
      <c r="J567" s="38"/>
      <c r="K567" s="38"/>
    </row>
    <row r="568" ht="14.4" spans="2:11">
      <c r="B568" s="38"/>
      <c r="C568" s="38"/>
      <c r="D568" s="38"/>
      <c r="E568" s="38"/>
      <c r="F568" s="38"/>
      <c r="G568" s="38"/>
      <c r="H568" s="38"/>
      <c r="I568" s="38"/>
      <c r="J568" s="38"/>
      <c r="K568" s="38"/>
    </row>
    <row r="569" ht="14.4" spans="2:11">
      <c r="B569" s="38"/>
      <c r="C569" s="38"/>
      <c r="D569" s="38"/>
      <c r="E569" s="38"/>
      <c r="F569" s="38"/>
      <c r="G569" s="38"/>
      <c r="H569" s="38"/>
      <c r="I569" s="38"/>
      <c r="J569" s="38"/>
      <c r="K569" s="38"/>
    </row>
    <row r="570" ht="14.4" spans="2:11">
      <c r="B570" s="38"/>
      <c r="C570" s="38"/>
      <c r="D570" s="38"/>
      <c r="E570" s="38"/>
      <c r="F570" s="38"/>
      <c r="G570" s="38"/>
      <c r="H570" s="38"/>
      <c r="I570" s="38"/>
      <c r="J570" s="38"/>
      <c r="K570" s="38"/>
    </row>
    <row r="571" ht="14.4" spans="2:11">
      <c r="B571" s="38"/>
      <c r="C571" s="38"/>
      <c r="D571" s="38"/>
      <c r="E571" s="38"/>
      <c r="F571" s="38"/>
      <c r="G571" s="38"/>
      <c r="H571" s="38"/>
      <c r="I571" s="38"/>
      <c r="J571" s="38"/>
      <c r="K571" s="38"/>
    </row>
    <row r="572" ht="14.4" spans="2:11">
      <c r="B572" s="38"/>
      <c r="C572" s="38"/>
      <c r="D572" s="38"/>
      <c r="E572" s="38"/>
      <c r="F572" s="38"/>
      <c r="G572" s="38"/>
      <c r="H572" s="38"/>
      <c r="I572" s="38"/>
      <c r="J572" s="38"/>
      <c r="K572" s="38"/>
    </row>
    <row r="573" ht="14.4" spans="2:11">
      <c r="B573" s="38"/>
      <c r="C573" s="38"/>
      <c r="D573" s="38"/>
      <c r="E573" s="38"/>
      <c r="F573" s="38"/>
      <c r="G573" s="38"/>
      <c r="H573" s="38"/>
      <c r="I573" s="38"/>
      <c r="J573" s="38"/>
      <c r="K573" s="38"/>
    </row>
    <row r="574" ht="14.4" spans="2:11">
      <c r="B574" s="38"/>
      <c r="C574" s="38"/>
      <c r="D574" s="38"/>
      <c r="E574" s="38"/>
      <c r="F574" s="38"/>
      <c r="G574" s="38"/>
      <c r="H574" s="38"/>
      <c r="I574" s="38"/>
      <c r="J574" s="38"/>
      <c r="K574" s="38"/>
    </row>
    <row r="575" ht="14.4" spans="2:11">
      <c r="B575" s="38"/>
      <c r="C575" s="38"/>
      <c r="D575" s="38"/>
      <c r="E575" s="38"/>
      <c r="F575" s="38"/>
      <c r="G575" s="38"/>
      <c r="H575" s="38"/>
      <c r="I575" s="38"/>
      <c r="J575" s="38"/>
      <c r="K575" s="38"/>
    </row>
    <row r="576" ht="14.4" spans="2:11">
      <c r="B576" s="38"/>
      <c r="C576" s="38"/>
      <c r="D576" s="38"/>
      <c r="E576" s="38"/>
      <c r="F576" s="38"/>
      <c r="G576" s="38"/>
      <c r="H576" s="38"/>
      <c r="I576" s="38"/>
      <c r="J576" s="38"/>
      <c r="K576" s="38"/>
    </row>
    <row r="577" ht="14.4" spans="2:11">
      <c r="B577" s="38"/>
      <c r="C577" s="38"/>
      <c r="D577" s="38"/>
      <c r="E577" s="38"/>
      <c r="F577" s="38"/>
      <c r="G577" s="38"/>
      <c r="H577" s="38"/>
      <c r="I577" s="38"/>
      <c r="J577" s="38"/>
      <c r="K577" s="38"/>
    </row>
    <row r="578" ht="14.4" spans="2:11">
      <c r="B578" s="38"/>
      <c r="C578" s="38"/>
      <c r="D578" s="38"/>
      <c r="E578" s="38"/>
      <c r="F578" s="38"/>
      <c r="G578" s="38"/>
      <c r="H578" s="38"/>
      <c r="I578" s="38"/>
      <c r="J578" s="38"/>
      <c r="K578" s="38"/>
    </row>
    <row r="579" ht="14.4" spans="2:11">
      <c r="B579" s="38"/>
      <c r="C579" s="38"/>
      <c r="D579" s="38"/>
      <c r="E579" s="38"/>
      <c r="F579" s="38"/>
      <c r="G579" s="38"/>
      <c r="H579" s="38"/>
      <c r="I579" s="38"/>
      <c r="J579" s="38"/>
      <c r="K579" s="38"/>
    </row>
    <row r="580" ht="14.4" spans="2:11">
      <c r="B580" s="38"/>
      <c r="C580" s="38"/>
      <c r="D580" s="38"/>
      <c r="E580" s="38"/>
      <c r="F580" s="38"/>
      <c r="G580" s="38"/>
      <c r="H580" s="38"/>
      <c r="I580" s="38"/>
      <c r="J580" s="38"/>
      <c r="K580" s="38"/>
    </row>
    <row r="581" ht="14.4" spans="2:11">
      <c r="B581" s="38"/>
      <c r="C581" s="38"/>
      <c r="D581" s="38"/>
      <c r="E581" s="38"/>
      <c r="F581" s="38"/>
      <c r="G581" s="38"/>
      <c r="H581" s="38"/>
      <c r="I581" s="38"/>
      <c r="J581" s="38"/>
      <c r="K581" s="38"/>
    </row>
    <row r="582" ht="14.4" spans="2:11">
      <c r="B582" s="38"/>
      <c r="C582" s="38"/>
      <c r="D582" s="38"/>
      <c r="E582" s="38"/>
      <c r="F582" s="38"/>
      <c r="G582" s="38"/>
      <c r="H582" s="38"/>
      <c r="I582" s="38"/>
      <c r="J582" s="38"/>
      <c r="K582" s="38"/>
    </row>
    <row r="583" ht="14.4" spans="2:11">
      <c r="B583" s="38"/>
      <c r="C583" s="38"/>
      <c r="D583" s="38"/>
      <c r="E583" s="38"/>
      <c r="F583" s="38"/>
      <c r="G583" s="38"/>
      <c r="H583" s="38"/>
      <c r="I583" s="38"/>
      <c r="J583" s="38"/>
      <c r="K583" s="38"/>
    </row>
    <row r="584" ht="14.4" spans="2:11">
      <c r="B584" s="38"/>
      <c r="C584" s="38"/>
      <c r="D584" s="38"/>
      <c r="E584" s="38"/>
      <c r="F584" s="38"/>
      <c r="G584" s="38"/>
      <c r="H584" s="38"/>
      <c r="I584" s="38"/>
      <c r="J584" s="38"/>
      <c r="K584" s="38"/>
    </row>
    <row r="585" ht="14.4" spans="2:11">
      <c r="B585" s="38"/>
      <c r="C585" s="38"/>
      <c r="D585" s="38"/>
      <c r="E585" s="38"/>
      <c r="F585" s="38"/>
      <c r="G585" s="38"/>
      <c r="H585" s="38"/>
      <c r="I585" s="38"/>
      <c r="J585" s="38"/>
      <c r="K585" s="38"/>
    </row>
    <row r="586" ht="14.4" spans="2:11">
      <c r="B586" s="38"/>
      <c r="C586" s="38"/>
      <c r="D586" s="38"/>
      <c r="E586" s="38"/>
      <c r="F586" s="38"/>
      <c r="G586" s="38"/>
      <c r="H586" s="38"/>
      <c r="I586" s="38"/>
      <c r="J586" s="38"/>
      <c r="K586" s="38"/>
    </row>
    <row r="587" ht="14.4" spans="2:11">
      <c r="B587" s="38"/>
      <c r="C587" s="38"/>
      <c r="D587" s="38"/>
      <c r="E587" s="38"/>
      <c r="F587" s="38"/>
      <c r="G587" s="38"/>
      <c r="H587" s="38"/>
      <c r="I587" s="38"/>
      <c r="J587" s="38"/>
      <c r="K587" s="38"/>
    </row>
    <row r="588" ht="14.4" spans="2:11">
      <c r="B588" s="38"/>
      <c r="C588" s="38"/>
      <c r="D588" s="38"/>
      <c r="E588" s="38"/>
      <c r="F588" s="38"/>
      <c r="G588" s="38"/>
      <c r="H588" s="38"/>
      <c r="I588" s="38"/>
      <c r="J588" s="38"/>
      <c r="K588" s="38"/>
    </row>
    <row r="589" ht="14.4" spans="2:11">
      <c r="B589" s="38"/>
      <c r="C589" s="38"/>
      <c r="D589" s="38"/>
      <c r="E589" s="38"/>
      <c r="F589" s="38"/>
      <c r="G589" s="38"/>
      <c r="H589" s="38"/>
      <c r="I589" s="38"/>
      <c r="J589" s="38"/>
      <c r="K589" s="38"/>
    </row>
    <row r="590" ht="14.4" spans="2:11">
      <c r="B590" s="38"/>
      <c r="C590" s="38"/>
      <c r="D590" s="38"/>
      <c r="E590" s="38"/>
      <c r="F590" s="38"/>
      <c r="G590" s="38"/>
      <c r="H590" s="38"/>
      <c r="I590" s="38"/>
      <c r="J590" s="38"/>
      <c r="K590" s="38"/>
    </row>
    <row r="591" ht="14.4" spans="2:11">
      <c r="B591" s="38"/>
      <c r="C591" s="38"/>
      <c r="D591" s="38"/>
      <c r="E591" s="38"/>
      <c r="F591" s="38"/>
      <c r="G591" s="38"/>
      <c r="H591" s="38"/>
      <c r="I591" s="38"/>
      <c r="J591" s="38"/>
      <c r="K591" s="38"/>
    </row>
    <row r="592" ht="14.4" spans="2:11">
      <c r="B592" s="38"/>
      <c r="C592" s="38"/>
      <c r="D592" s="38"/>
      <c r="E592" s="38"/>
      <c r="F592" s="38"/>
      <c r="G592" s="38"/>
      <c r="H592" s="38"/>
      <c r="I592" s="38"/>
      <c r="J592" s="38"/>
      <c r="K592" s="38"/>
    </row>
    <row r="593" ht="14.4" spans="2:11">
      <c r="B593" s="38"/>
      <c r="C593" s="38"/>
      <c r="D593" s="38"/>
      <c r="E593" s="38"/>
      <c r="F593" s="38"/>
      <c r="G593" s="38"/>
      <c r="H593" s="38"/>
      <c r="I593" s="38"/>
      <c r="J593" s="38"/>
      <c r="K593" s="38"/>
    </row>
    <row r="594" ht="14.4" spans="2:11">
      <c r="B594" s="38"/>
      <c r="C594" s="38"/>
      <c r="D594" s="38"/>
      <c r="E594" s="38"/>
      <c r="F594" s="38"/>
      <c r="G594" s="38"/>
      <c r="H594" s="38"/>
      <c r="I594" s="38"/>
      <c r="J594" s="38"/>
      <c r="K594" s="38"/>
    </row>
    <row r="595" ht="14.4" spans="2:11">
      <c r="B595" s="38"/>
      <c r="C595" s="38"/>
      <c r="D595" s="38"/>
      <c r="E595" s="38"/>
      <c r="F595" s="38"/>
      <c r="G595" s="38"/>
      <c r="H595" s="38"/>
      <c r="I595" s="38"/>
      <c r="J595" s="38"/>
      <c r="K595" s="38"/>
    </row>
    <row r="596" ht="14.4" spans="2:11">
      <c r="B596" s="38"/>
      <c r="C596" s="38"/>
      <c r="D596" s="38"/>
      <c r="E596" s="38"/>
      <c r="F596" s="38"/>
      <c r="G596" s="38"/>
      <c r="H596" s="38"/>
      <c r="I596" s="38"/>
      <c r="J596" s="38"/>
      <c r="K596" s="38"/>
    </row>
    <row r="597" ht="14.4" spans="2:11">
      <c r="B597" s="38"/>
      <c r="C597" s="38"/>
      <c r="D597" s="38"/>
      <c r="E597" s="38"/>
      <c r="F597" s="38"/>
      <c r="G597" s="38"/>
      <c r="H597" s="38"/>
      <c r="I597" s="38"/>
      <c r="J597" s="38"/>
      <c r="K597" s="38"/>
    </row>
    <row r="598" ht="14.4" spans="2:11">
      <c r="B598" s="38"/>
      <c r="C598" s="38"/>
      <c r="D598" s="38"/>
      <c r="E598" s="38"/>
      <c r="F598" s="38"/>
      <c r="G598" s="38"/>
      <c r="H598" s="38"/>
      <c r="I598" s="38"/>
      <c r="J598" s="38"/>
      <c r="K598" s="38"/>
    </row>
    <row r="599" ht="14.4" spans="2:11">
      <c r="B599" s="38"/>
      <c r="C599" s="38"/>
      <c r="D599" s="38"/>
      <c r="E599" s="38"/>
      <c r="F599" s="38"/>
      <c r="G599" s="38"/>
      <c r="H599" s="38"/>
      <c r="I599" s="38"/>
      <c r="J599" s="38"/>
      <c r="K599" s="38"/>
    </row>
    <row r="600" ht="14.4" spans="2:11">
      <c r="B600" s="38"/>
      <c r="C600" s="38"/>
      <c r="D600" s="38"/>
      <c r="E600" s="38"/>
      <c r="F600" s="38"/>
      <c r="G600" s="38"/>
      <c r="H600" s="38"/>
      <c r="I600" s="38"/>
      <c r="J600" s="38"/>
      <c r="K600" s="38"/>
    </row>
    <row r="601" ht="14.4" spans="2:11">
      <c r="B601" s="38"/>
      <c r="C601" s="38"/>
      <c r="D601" s="38"/>
      <c r="E601" s="38"/>
      <c r="F601" s="38"/>
      <c r="G601" s="38"/>
      <c r="H601" s="38"/>
      <c r="I601" s="38"/>
      <c r="J601" s="38"/>
      <c r="K601" s="38"/>
    </row>
    <row r="602" ht="14.4" spans="2:11">
      <c r="B602" s="38"/>
      <c r="C602" s="38"/>
      <c r="D602" s="38"/>
      <c r="E602" s="38"/>
      <c r="F602" s="38"/>
      <c r="G602" s="38"/>
      <c r="H602" s="38"/>
      <c r="I602" s="38"/>
      <c r="J602" s="38"/>
      <c r="K602" s="38"/>
    </row>
    <row r="603" ht="14.4" spans="2:11">
      <c r="B603" s="38"/>
      <c r="C603" s="38"/>
      <c r="D603" s="38"/>
      <c r="E603" s="38"/>
      <c r="F603" s="38"/>
      <c r="G603" s="38"/>
      <c r="H603" s="38"/>
      <c r="I603" s="38"/>
      <c r="J603" s="38"/>
      <c r="K603" s="38"/>
    </row>
    <row r="604" ht="14.4" spans="2:11">
      <c r="B604" s="38"/>
      <c r="C604" s="38"/>
      <c r="D604" s="38"/>
      <c r="E604" s="38"/>
      <c r="F604" s="38"/>
      <c r="G604" s="38"/>
      <c r="H604" s="38"/>
      <c r="I604" s="38"/>
      <c r="J604" s="38"/>
      <c r="K604" s="38"/>
    </row>
    <row r="605" ht="14.4" spans="2:11">
      <c r="B605" s="38"/>
      <c r="C605" s="38"/>
      <c r="D605" s="38"/>
      <c r="E605" s="38"/>
      <c r="F605" s="38"/>
      <c r="G605" s="38"/>
      <c r="H605" s="38"/>
      <c r="I605" s="38"/>
      <c r="J605" s="38"/>
      <c r="K605" s="38"/>
    </row>
    <row r="606" ht="14.4" spans="2:11">
      <c r="B606" s="38"/>
      <c r="C606" s="38"/>
      <c r="D606" s="38"/>
      <c r="E606" s="38"/>
      <c r="F606" s="38"/>
      <c r="G606" s="38"/>
      <c r="H606" s="38"/>
      <c r="I606" s="38"/>
      <c r="J606" s="38"/>
      <c r="K606" s="38"/>
    </row>
    <row r="607" ht="14.4" spans="2:11">
      <c r="B607" s="38"/>
      <c r="C607" s="38"/>
      <c r="D607" s="38"/>
      <c r="E607" s="38"/>
      <c r="F607" s="38"/>
      <c r="G607" s="38"/>
      <c r="H607" s="38"/>
      <c r="I607" s="38"/>
      <c r="J607" s="38"/>
      <c r="K607" s="38"/>
    </row>
    <row r="608" ht="14.4" spans="2:11">
      <c r="B608" s="38"/>
      <c r="C608" s="38"/>
      <c r="D608" s="38"/>
      <c r="E608" s="38"/>
      <c r="F608" s="38"/>
      <c r="G608" s="38"/>
      <c r="H608" s="38"/>
      <c r="I608" s="38"/>
      <c r="J608" s="38"/>
      <c r="K608" s="38"/>
    </row>
    <row r="609" ht="14.4" spans="2:11">
      <c r="B609" s="38"/>
      <c r="C609" s="38"/>
      <c r="D609" s="38"/>
      <c r="E609" s="38"/>
      <c r="F609" s="38"/>
      <c r="G609" s="38"/>
      <c r="H609" s="38"/>
      <c r="I609" s="38"/>
      <c r="J609" s="38"/>
      <c r="K609" s="38"/>
    </row>
    <row r="610" ht="14.4" spans="2:11">
      <c r="B610" s="38"/>
      <c r="C610" s="38"/>
      <c r="D610" s="38"/>
      <c r="E610" s="38"/>
      <c r="F610" s="38"/>
      <c r="G610" s="38"/>
      <c r="H610" s="38"/>
      <c r="I610" s="38"/>
      <c r="J610" s="38"/>
      <c r="K610" s="38"/>
    </row>
    <row r="611" ht="14.4" spans="2:11">
      <c r="B611" s="38"/>
      <c r="C611" s="38"/>
      <c r="D611" s="38"/>
      <c r="E611" s="38"/>
      <c r="F611" s="38"/>
      <c r="G611" s="38"/>
      <c r="H611" s="38"/>
      <c r="I611" s="38"/>
      <c r="J611" s="38"/>
      <c r="K611" s="38"/>
    </row>
    <row r="612" ht="14.4" spans="2:11">
      <c r="B612" s="38"/>
      <c r="C612" s="38"/>
      <c r="D612" s="38"/>
      <c r="E612" s="38"/>
      <c r="F612" s="38"/>
      <c r="G612" s="38"/>
      <c r="H612" s="38"/>
      <c r="I612" s="38"/>
      <c r="J612" s="38"/>
      <c r="K612" s="38"/>
    </row>
    <row r="613" ht="14.4" spans="2:11">
      <c r="B613" s="38"/>
      <c r="C613" s="38"/>
      <c r="D613" s="38"/>
      <c r="E613" s="38"/>
      <c r="F613" s="38"/>
      <c r="G613" s="38"/>
      <c r="H613" s="38"/>
      <c r="I613" s="38"/>
      <c r="J613" s="38"/>
      <c r="K613" s="38"/>
    </row>
    <row r="614" ht="14.4" spans="2:11">
      <c r="B614" s="38"/>
      <c r="C614" s="38"/>
      <c r="D614" s="38"/>
      <c r="E614" s="38"/>
      <c r="F614" s="38"/>
      <c r="G614" s="38"/>
      <c r="H614" s="38"/>
      <c r="I614" s="38"/>
      <c r="J614" s="38"/>
      <c r="K614" s="38"/>
    </row>
    <row r="615" ht="14.4" spans="2:11">
      <c r="B615" s="38"/>
      <c r="C615" s="38"/>
      <c r="D615" s="38"/>
      <c r="E615" s="38"/>
      <c r="F615" s="38"/>
      <c r="G615" s="38"/>
      <c r="H615" s="38"/>
      <c r="I615" s="38"/>
      <c r="J615" s="38"/>
      <c r="K615" s="38"/>
    </row>
    <row r="616" ht="14.4" spans="2:11">
      <c r="B616" s="38"/>
      <c r="C616" s="38"/>
      <c r="D616" s="38"/>
      <c r="E616" s="38"/>
      <c r="F616" s="38"/>
      <c r="G616" s="38"/>
      <c r="H616" s="38"/>
      <c r="I616" s="38"/>
      <c r="J616" s="38"/>
      <c r="K616" s="38"/>
    </row>
    <row r="617" ht="14.4" spans="2:11">
      <c r="B617" s="38"/>
      <c r="C617" s="38"/>
      <c r="D617" s="38"/>
      <c r="E617" s="38"/>
      <c r="F617" s="38"/>
      <c r="G617" s="38"/>
      <c r="H617" s="38"/>
      <c r="I617" s="38"/>
      <c r="J617" s="38"/>
      <c r="K617" s="38"/>
    </row>
    <row r="618" ht="14.4" spans="2:11">
      <c r="B618" s="38"/>
      <c r="C618" s="38"/>
      <c r="D618" s="38"/>
      <c r="E618" s="38"/>
      <c r="F618" s="38"/>
      <c r="G618" s="38"/>
      <c r="H618" s="38"/>
      <c r="I618" s="38"/>
      <c r="J618" s="38"/>
      <c r="K618" s="38"/>
    </row>
    <row r="619" ht="14.4" spans="2:11">
      <c r="B619" s="38"/>
      <c r="C619" s="38"/>
      <c r="D619" s="38"/>
      <c r="E619" s="38"/>
      <c r="F619" s="38"/>
      <c r="G619" s="38"/>
      <c r="H619" s="38"/>
      <c r="I619" s="38"/>
      <c r="J619" s="38"/>
      <c r="K619" s="38"/>
    </row>
    <row r="620" ht="14.4" spans="2:11">
      <c r="B620" s="38"/>
      <c r="C620" s="38"/>
      <c r="D620" s="38"/>
      <c r="E620" s="38"/>
      <c r="F620" s="38"/>
      <c r="G620" s="38"/>
      <c r="H620" s="38"/>
      <c r="I620" s="38"/>
      <c r="J620" s="38"/>
      <c r="K620" s="38"/>
    </row>
    <row r="621" ht="14.4" spans="2:11">
      <c r="B621" s="38"/>
      <c r="C621" s="38"/>
      <c r="D621" s="38"/>
      <c r="E621" s="38"/>
      <c r="F621" s="38"/>
      <c r="G621" s="38"/>
      <c r="H621" s="38"/>
      <c r="I621" s="38"/>
      <c r="J621" s="38"/>
      <c r="K621" s="38"/>
    </row>
    <row r="622" ht="14.4" spans="2:11">
      <c r="B622" s="38"/>
      <c r="C622" s="38"/>
      <c r="D622" s="38"/>
      <c r="E622" s="38"/>
      <c r="F622" s="38"/>
      <c r="G622" s="38"/>
      <c r="H622" s="38"/>
      <c r="I622" s="38"/>
      <c r="J622" s="38"/>
      <c r="K622" s="38"/>
    </row>
    <row r="623" ht="14.4" spans="2:11">
      <c r="B623" s="38"/>
      <c r="C623" s="38"/>
      <c r="D623" s="38"/>
      <c r="E623" s="38"/>
      <c r="F623" s="38"/>
      <c r="G623" s="38"/>
      <c r="H623" s="38"/>
      <c r="I623" s="38"/>
      <c r="J623" s="38"/>
      <c r="K623" s="38"/>
    </row>
    <row r="624" ht="14.4" spans="2:11">
      <c r="B624" s="38"/>
      <c r="C624" s="38"/>
      <c r="D624" s="38"/>
      <c r="E624" s="38"/>
      <c r="F624" s="38"/>
      <c r="G624" s="38"/>
      <c r="H624" s="38"/>
      <c r="I624" s="38"/>
      <c r="J624" s="38"/>
      <c r="K624" s="38"/>
    </row>
    <row r="625" ht="14.4" spans="2:11">
      <c r="B625" s="38"/>
      <c r="C625" s="38"/>
      <c r="D625" s="38"/>
      <c r="E625" s="38"/>
      <c r="F625" s="38"/>
      <c r="G625" s="38"/>
      <c r="H625" s="38"/>
      <c r="I625" s="38"/>
      <c r="J625" s="38"/>
      <c r="K625" s="38"/>
    </row>
    <row r="626" ht="14.4" spans="2:11">
      <c r="B626" s="38"/>
      <c r="C626" s="38"/>
      <c r="D626" s="38"/>
      <c r="E626" s="38"/>
      <c r="F626" s="38"/>
      <c r="G626" s="38"/>
      <c r="H626" s="38"/>
      <c r="I626" s="38"/>
      <c r="J626" s="38"/>
      <c r="K626" s="38"/>
    </row>
    <row r="627" ht="14.4" spans="2:11">
      <c r="B627" s="38"/>
      <c r="C627" s="38"/>
      <c r="D627" s="38"/>
      <c r="E627" s="38"/>
      <c r="F627" s="38"/>
      <c r="G627" s="38"/>
      <c r="H627" s="38"/>
      <c r="I627" s="38"/>
      <c r="J627" s="38"/>
      <c r="K627" s="38"/>
    </row>
    <row r="628" ht="14.4" spans="2:11">
      <c r="B628" s="38"/>
      <c r="C628" s="38"/>
      <c r="D628" s="38"/>
      <c r="E628" s="38"/>
      <c r="F628" s="38"/>
      <c r="G628" s="38"/>
      <c r="H628" s="38"/>
      <c r="I628" s="38"/>
      <c r="J628" s="38"/>
      <c r="K628" s="38"/>
    </row>
    <row r="629" ht="14.4" spans="2:11">
      <c r="B629" s="38"/>
      <c r="C629" s="38"/>
      <c r="D629" s="38"/>
      <c r="E629" s="38"/>
      <c r="F629" s="38"/>
      <c r="G629" s="38"/>
      <c r="H629" s="38"/>
      <c r="I629" s="38"/>
      <c r="J629" s="38"/>
      <c r="K629" s="38"/>
    </row>
    <row r="630" ht="14.4" spans="2:11">
      <c r="B630" s="38"/>
      <c r="C630" s="38"/>
      <c r="D630" s="38"/>
      <c r="E630" s="38"/>
      <c r="F630" s="38"/>
      <c r="G630" s="38"/>
      <c r="H630" s="38"/>
      <c r="I630" s="38"/>
      <c r="J630" s="38"/>
      <c r="K630" s="38"/>
    </row>
    <row r="631" ht="14.4" spans="2:11">
      <c r="B631" s="38"/>
      <c r="C631" s="38"/>
      <c r="D631" s="38"/>
      <c r="E631" s="38"/>
      <c r="F631" s="38"/>
      <c r="G631" s="38"/>
      <c r="H631" s="38"/>
      <c r="I631" s="38"/>
      <c r="J631" s="38"/>
      <c r="K631" s="38"/>
    </row>
    <row r="632" ht="14.4" spans="2:11">
      <c r="B632" s="38"/>
      <c r="C632" s="38"/>
      <c r="D632" s="38"/>
      <c r="E632" s="38"/>
      <c r="F632" s="38"/>
      <c r="G632" s="38"/>
      <c r="H632" s="38"/>
      <c r="I632" s="38"/>
      <c r="J632" s="38"/>
      <c r="K632" s="38"/>
    </row>
    <row r="633" ht="14.4" spans="2:11">
      <c r="B633" s="38"/>
      <c r="C633" s="38"/>
      <c r="D633" s="38"/>
      <c r="E633" s="38"/>
      <c r="F633" s="38"/>
      <c r="G633" s="38"/>
      <c r="H633" s="38"/>
      <c r="I633" s="38"/>
      <c r="J633" s="38"/>
      <c r="K633" s="38"/>
    </row>
    <row r="634" ht="14.4" spans="2:11">
      <c r="B634" s="38"/>
      <c r="C634" s="38"/>
      <c r="D634" s="38"/>
      <c r="E634" s="38"/>
      <c r="F634" s="38"/>
      <c r="G634" s="38"/>
      <c r="H634" s="38"/>
      <c r="I634" s="38"/>
      <c r="J634" s="38"/>
      <c r="K634" s="38"/>
    </row>
    <row r="635" ht="14.4" spans="2:11">
      <c r="B635" s="38"/>
      <c r="C635" s="38"/>
      <c r="D635" s="38"/>
      <c r="E635" s="38"/>
      <c r="F635" s="38"/>
      <c r="G635" s="38"/>
      <c r="H635" s="38"/>
      <c r="I635" s="38"/>
      <c r="J635" s="38"/>
      <c r="K635" s="38"/>
    </row>
    <row r="636" ht="14.4" spans="2:11">
      <c r="B636" s="38"/>
      <c r="C636" s="38"/>
      <c r="D636" s="38"/>
      <c r="E636" s="38"/>
      <c r="F636" s="38"/>
      <c r="G636" s="38"/>
      <c r="H636" s="38"/>
      <c r="I636" s="38"/>
      <c r="J636" s="38"/>
      <c r="K636" s="38"/>
    </row>
    <row r="637" ht="14.4" spans="2:11">
      <c r="B637" s="38"/>
      <c r="C637" s="38"/>
      <c r="D637" s="38"/>
      <c r="E637" s="38"/>
      <c r="F637" s="38"/>
      <c r="G637" s="38"/>
      <c r="H637" s="38"/>
      <c r="I637" s="38"/>
      <c r="J637" s="38"/>
      <c r="K637" s="38"/>
    </row>
    <row r="638" ht="14.4" spans="2:11">
      <c r="B638" s="38"/>
      <c r="C638" s="38"/>
      <c r="D638" s="38"/>
      <c r="E638" s="38"/>
      <c r="F638" s="38"/>
      <c r="G638" s="38"/>
      <c r="H638" s="38"/>
      <c r="I638" s="38"/>
      <c r="J638" s="38"/>
      <c r="K638" s="38"/>
    </row>
    <row r="639" ht="14.4" spans="2:11">
      <c r="B639" s="38"/>
      <c r="C639" s="38"/>
      <c r="D639" s="38"/>
      <c r="E639" s="38"/>
      <c r="F639" s="38"/>
      <c r="G639" s="38"/>
      <c r="H639" s="38"/>
      <c r="I639" s="38"/>
      <c r="J639" s="38"/>
      <c r="K639" s="38"/>
    </row>
    <row r="640" ht="14.4" spans="2:11">
      <c r="B640" s="38"/>
      <c r="C640" s="38"/>
      <c r="D640" s="38"/>
      <c r="E640" s="38"/>
      <c r="F640" s="38"/>
      <c r="G640" s="38"/>
      <c r="H640" s="38"/>
      <c r="I640" s="38"/>
      <c r="J640" s="38"/>
      <c r="K640" s="38"/>
    </row>
    <row r="641" ht="14.4" spans="2:11">
      <c r="B641" s="38"/>
      <c r="C641" s="38"/>
      <c r="D641" s="38"/>
      <c r="E641" s="38"/>
      <c r="F641" s="38"/>
      <c r="G641" s="38"/>
      <c r="H641" s="38"/>
      <c r="I641" s="38"/>
      <c r="J641" s="38"/>
      <c r="K641" s="38"/>
    </row>
    <row r="642" ht="14.4" spans="2:11">
      <c r="B642" s="38"/>
      <c r="C642" s="38"/>
      <c r="D642" s="38"/>
      <c r="E642" s="38"/>
      <c r="F642" s="38"/>
      <c r="G642" s="38"/>
      <c r="H642" s="38"/>
      <c r="I642" s="38"/>
      <c r="J642" s="38"/>
      <c r="K642" s="38"/>
    </row>
    <row r="643" ht="14.4" spans="2:11">
      <c r="B643" s="38"/>
      <c r="C643" s="38"/>
      <c r="D643" s="38"/>
      <c r="E643" s="38"/>
      <c r="F643" s="38"/>
      <c r="G643" s="38"/>
      <c r="H643" s="38"/>
      <c r="I643" s="38"/>
      <c r="J643" s="38"/>
      <c r="K643" s="38"/>
    </row>
    <row r="644" ht="14.4" spans="2:11">
      <c r="B644" s="38"/>
      <c r="C644" s="38"/>
      <c r="D644" s="38"/>
      <c r="E644" s="38"/>
      <c r="F644" s="38"/>
      <c r="G644" s="38"/>
      <c r="H644" s="38"/>
      <c r="I644" s="38"/>
      <c r="J644" s="38"/>
      <c r="K644" s="38"/>
    </row>
    <row r="645" ht="14.4" spans="2:11">
      <c r="B645" s="38"/>
      <c r="C645" s="38"/>
      <c r="D645" s="38"/>
      <c r="E645" s="38"/>
      <c r="F645" s="38"/>
      <c r="G645" s="38"/>
      <c r="H645" s="38"/>
      <c r="I645" s="38"/>
      <c r="J645" s="38"/>
      <c r="K645" s="38"/>
    </row>
    <row r="646" ht="14.4" spans="2:11">
      <c r="B646" s="38"/>
      <c r="C646" s="38"/>
      <c r="D646" s="38"/>
      <c r="E646" s="38"/>
      <c r="F646" s="38"/>
      <c r="G646" s="38"/>
      <c r="H646" s="38"/>
      <c r="I646" s="38"/>
      <c r="J646" s="38"/>
      <c r="K646" s="38"/>
    </row>
    <row r="647" ht="14.4" spans="2:11">
      <c r="B647" s="38"/>
      <c r="C647" s="38"/>
      <c r="D647" s="38"/>
      <c r="E647" s="38"/>
      <c r="F647" s="38"/>
      <c r="G647" s="38"/>
      <c r="H647" s="38"/>
      <c r="I647" s="38"/>
      <c r="J647" s="38"/>
      <c r="K647" s="38"/>
    </row>
    <row r="648" ht="14.4" spans="2:11">
      <c r="B648" s="38"/>
      <c r="C648" s="38"/>
      <c r="D648" s="38"/>
      <c r="E648" s="38"/>
      <c r="F648" s="38"/>
      <c r="G648" s="38"/>
      <c r="H648" s="38"/>
      <c r="I648" s="38"/>
      <c r="J648" s="38"/>
      <c r="K648" s="38"/>
    </row>
    <row r="649" ht="14.4" spans="2:11">
      <c r="B649" s="38"/>
      <c r="C649" s="38"/>
      <c r="D649" s="38"/>
      <c r="E649" s="38"/>
      <c r="F649" s="38"/>
      <c r="G649" s="38"/>
      <c r="H649" s="38"/>
      <c r="I649" s="38"/>
      <c r="J649" s="38"/>
      <c r="K649" s="38"/>
    </row>
    <row r="650" ht="14.4" spans="2:11">
      <c r="B650" s="38"/>
      <c r="C650" s="38"/>
      <c r="D650" s="38"/>
      <c r="E650" s="38"/>
      <c r="F650" s="38"/>
      <c r="G650" s="38"/>
      <c r="H650" s="38"/>
      <c r="I650" s="38"/>
      <c r="J650" s="38"/>
      <c r="K650" s="38"/>
    </row>
    <row r="651" ht="14.4" spans="2:11">
      <c r="B651" s="38"/>
      <c r="C651" s="38"/>
      <c r="D651" s="38"/>
      <c r="E651" s="38"/>
      <c r="F651" s="38"/>
      <c r="G651" s="38"/>
      <c r="H651" s="38"/>
      <c r="I651" s="38"/>
      <c r="J651" s="38"/>
      <c r="K651" s="38"/>
    </row>
    <row r="652" ht="14.4" spans="2:11">
      <c r="B652" s="38"/>
      <c r="C652" s="38"/>
      <c r="D652" s="38"/>
      <c r="E652" s="38"/>
      <c r="F652" s="38"/>
      <c r="G652" s="38"/>
      <c r="H652" s="38"/>
      <c r="I652" s="38"/>
      <c r="J652" s="38"/>
      <c r="K652" s="38"/>
    </row>
    <row r="653" ht="14.4" spans="2:11">
      <c r="B653" s="38"/>
      <c r="C653" s="38"/>
      <c r="D653" s="38"/>
      <c r="E653" s="38"/>
      <c r="F653" s="38"/>
      <c r="G653" s="38"/>
      <c r="H653" s="38"/>
      <c r="I653" s="38"/>
      <c r="J653" s="38"/>
      <c r="K653" s="38"/>
    </row>
    <row r="654" ht="14.4" spans="2:11">
      <c r="B654" s="38"/>
      <c r="C654" s="38"/>
      <c r="D654" s="38"/>
      <c r="E654" s="38"/>
      <c r="F654" s="38"/>
      <c r="G654" s="38"/>
      <c r="H654" s="38"/>
      <c r="I654" s="38"/>
      <c r="J654" s="38"/>
      <c r="K654" s="38"/>
    </row>
    <row r="655" ht="14.4" spans="2:11">
      <c r="B655" s="38"/>
      <c r="C655" s="38"/>
      <c r="D655" s="38"/>
      <c r="E655" s="38"/>
      <c r="F655" s="38"/>
      <c r="G655" s="38"/>
      <c r="H655" s="38"/>
      <c r="I655" s="38"/>
      <c r="J655" s="38"/>
      <c r="K655" s="38"/>
    </row>
    <row r="656" ht="14.4" spans="2:11">
      <c r="B656" s="38"/>
      <c r="C656" s="38"/>
      <c r="D656" s="38"/>
      <c r="E656" s="38"/>
      <c r="F656" s="38"/>
      <c r="G656" s="38"/>
      <c r="H656" s="38"/>
      <c r="I656" s="38"/>
      <c r="J656" s="38"/>
      <c r="K656" s="38"/>
    </row>
    <row r="657" ht="14.4" spans="2:11">
      <c r="B657" s="38"/>
      <c r="C657" s="38"/>
      <c r="D657" s="38"/>
      <c r="E657" s="38"/>
      <c r="F657" s="38"/>
      <c r="G657" s="38"/>
      <c r="H657" s="38"/>
      <c r="I657" s="38"/>
      <c r="J657" s="38"/>
      <c r="K657" s="38"/>
    </row>
    <row r="658" ht="14.4" spans="2:11">
      <c r="B658" s="38"/>
      <c r="C658" s="38"/>
      <c r="D658" s="38"/>
      <c r="E658" s="38"/>
      <c r="F658" s="38"/>
      <c r="G658" s="38"/>
      <c r="H658" s="38"/>
      <c r="I658" s="38"/>
      <c r="J658" s="38"/>
      <c r="K658" s="38"/>
    </row>
    <row r="659" ht="14.4" spans="2:11">
      <c r="B659" s="38"/>
      <c r="C659" s="38"/>
      <c r="D659" s="38"/>
      <c r="E659" s="38"/>
      <c r="F659" s="38"/>
      <c r="G659" s="38"/>
      <c r="H659" s="38"/>
      <c r="I659" s="38"/>
      <c r="J659" s="38"/>
      <c r="K659" s="38"/>
    </row>
    <row r="660" ht="14.4" spans="2:11">
      <c r="B660" s="38"/>
      <c r="C660" s="38"/>
      <c r="D660" s="38"/>
      <c r="E660" s="38"/>
      <c r="F660" s="38"/>
      <c r="G660" s="38"/>
      <c r="H660" s="38"/>
      <c r="I660" s="38"/>
      <c r="J660" s="38"/>
      <c r="K660" s="38"/>
    </row>
    <row r="661" ht="14.4" spans="2:11">
      <c r="B661" s="38"/>
      <c r="C661" s="38"/>
      <c r="D661" s="38"/>
      <c r="E661" s="38"/>
      <c r="F661" s="38"/>
      <c r="G661" s="38"/>
      <c r="H661" s="38"/>
      <c r="I661" s="38"/>
      <c r="J661" s="38"/>
      <c r="K661" s="38"/>
    </row>
    <row r="662" ht="14.4" spans="2:11">
      <c r="B662" s="38"/>
      <c r="C662" s="38"/>
      <c r="D662" s="38"/>
      <c r="E662" s="38"/>
      <c r="F662" s="38"/>
      <c r="G662" s="38"/>
      <c r="H662" s="38"/>
      <c r="I662" s="38"/>
      <c r="J662" s="38"/>
      <c r="K662" s="38"/>
    </row>
    <row r="663" ht="14.4" spans="2:11">
      <c r="B663" s="38"/>
      <c r="C663" s="38"/>
      <c r="D663" s="38"/>
      <c r="E663" s="38"/>
      <c r="F663" s="38"/>
      <c r="G663" s="38"/>
      <c r="H663" s="38"/>
      <c r="I663" s="38"/>
      <c r="J663" s="38"/>
      <c r="K663" s="38"/>
    </row>
    <row r="664" ht="14.4" spans="2:11">
      <c r="B664" s="38"/>
      <c r="C664" s="38"/>
      <c r="D664" s="38"/>
      <c r="E664" s="38"/>
      <c r="F664" s="38"/>
      <c r="G664" s="38"/>
      <c r="H664" s="38"/>
      <c r="I664" s="38"/>
      <c r="J664" s="38"/>
      <c r="K664" s="38"/>
    </row>
    <row r="665" ht="14.4" spans="2:11">
      <c r="B665" s="38"/>
      <c r="C665" s="38"/>
      <c r="D665" s="38"/>
      <c r="E665" s="38"/>
      <c r="F665" s="38"/>
      <c r="G665" s="38"/>
      <c r="H665" s="38"/>
      <c r="I665" s="38"/>
      <c r="J665" s="38"/>
      <c r="K665" s="38"/>
    </row>
    <row r="666" ht="14.4" spans="2:11">
      <c r="B666" s="38"/>
      <c r="C666" s="38"/>
      <c r="D666" s="38"/>
      <c r="E666" s="38"/>
      <c r="F666" s="38"/>
      <c r="G666" s="38"/>
      <c r="H666" s="38"/>
      <c r="I666" s="38"/>
      <c r="J666" s="38"/>
      <c r="K666" s="38"/>
    </row>
    <row r="667" ht="14.4" spans="2:11">
      <c r="B667" s="38"/>
      <c r="C667" s="38"/>
      <c r="D667" s="38"/>
      <c r="E667" s="38"/>
      <c r="F667" s="38"/>
      <c r="G667" s="38"/>
      <c r="H667" s="38"/>
      <c r="I667" s="38"/>
      <c r="J667" s="38"/>
      <c r="K667" s="38"/>
    </row>
    <row r="668" ht="14.4" spans="2:11">
      <c r="B668" s="38"/>
      <c r="C668" s="38"/>
      <c r="D668" s="38"/>
      <c r="E668" s="38"/>
      <c r="F668" s="38"/>
      <c r="G668" s="38"/>
      <c r="H668" s="38"/>
      <c r="I668" s="38"/>
      <c r="J668" s="38"/>
      <c r="K668" s="38"/>
    </row>
    <row r="669" ht="14.4" spans="2:11">
      <c r="B669" s="38"/>
      <c r="C669" s="38"/>
      <c r="D669" s="38"/>
      <c r="E669" s="38"/>
      <c r="F669" s="38"/>
      <c r="G669" s="38"/>
      <c r="H669" s="38"/>
      <c r="I669" s="38"/>
      <c r="J669" s="38"/>
      <c r="K669" s="38"/>
    </row>
    <row r="670" ht="14.4" spans="2:11">
      <c r="B670" s="38"/>
      <c r="C670" s="38"/>
      <c r="D670" s="38"/>
      <c r="E670" s="38"/>
      <c r="F670" s="38"/>
      <c r="G670" s="38"/>
      <c r="H670" s="38"/>
      <c r="I670" s="38"/>
      <c r="J670" s="38"/>
      <c r="K670" s="38"/>
    </row>
    <row r="671" ht="14.4" spans="2:11">
      <c r="B671" s="38"/>
      <c r="C671" s="38"/>
      <c r="D671" s="38"/>
      <c r="E671" s="38"/>
      <c r="F671" s="38"/>
      <c r="G671" s="38"/>
      <c r="H671" s="38"/>
      <c r="I671" s="38"/>
      <c r="J671" s="38"/>
      <c r="K671" s="38"/>
    </row>
    <row r="672" ht="14.4" spans="2:11">
      <c r="B672" s="38"/>
      <c r="C672" s="38"/>
      <c r="D672" s="38"/>
      <c r="E672" s="38"/>
      <c r="F672" s="38"/>
      <c r="G672" s="38"/>
      <c r="H672" s="38"/>
      <c r="I672" s="38"/>
      <c r="J672" s="38"/>
      <c r="K672" s="38"/>
    </row>
    <row r="673" ht="14.4" spans="2:11">
      <c r="B673" s="38"/>
      <c r="C673" s="38"/>
      <c r="D673" s="38"/>
      <c r="E673" s="38"/>
      <c r="F673" s="38"/>
      <c r="G673" s="38"/>
      <c r="H673" s="38"/>
      <c r="I673" s="38"/>
      <c r="J673" s="38"/>
      <c r="K673" s="38"/>
    </row>
    <row r="674" ht="14.4" spans="2:11">
      <c r="B674" s="38"/>
      <c r="C674" s="38"/>
      <c r="D674" s="38"/>
      <c r="E674" s="38"/>
      <c r="F674" s="38"/>
      <c r="G674" s="38"/>
      <c r="H674" s="38"/>
      <c r="I674" s="38"/>
      <c r="J674" s="38"/>
      <c r="K674" s="38"/>
    </row>
    <row r="675" ht="14.4" spans="2:11">
      <c r="B675" s="38"/>
      <c r="C675" s="38"/>
      <c r="D675" s="38"/>
      <c r="E675" s="38"/>
      <c r="F675" s="38"/>
      <c r="G675" s="38"/>
      <c r="H675" s="38"/>
      <c r="I675" s="38"/>
      <c r="J675" s="38"/>
      <c r="K675" s="38"/>
    </row>
    <row r="676" ht="14.4" spans="2:11">
      <c r="B676" s="38"/>
      <c r="C676" s="38"/>
      <c r="D676" s="38"/>
      <c r="E676" s="38"/>
      <c r="F676" s="38"/>
      <c r="G676" s="38"/>
      <c r="H676" s="38"/>
      <c r="I676" s="38"/>
      <c r="J676" s="38"/>
      <c r="K676" s="38"/>
    </row>
    <row r="677" ht="14.4" spans="2:11">
      <c r="B677" s="38"/>
      <c r="C677" s="38"/>
      <c r="D677" s="38"/>
      <c r="E677" s="38"/>
      <c r="F677" s="38"/>
      <c r="G677" s="38"/>
      <c r="H677" s="38"/>
      <c r="I677" s="38"/>
      <c r="J677" s="38"/>
      <c r="K677" s="38"/>
    </row>
    <row r="678" ht="14.4" spans="2:11">
      <c r="B678" s="38"/>
      <c r="C678" s="38"/>
      <c r="D678" s="38"/>
      <c r="E678" s="38"/>
      <c r="F678" s="38"/>
      <c r="G678" s="38"/>
      <c r="H678" s="38"/>
      <c r="I678" s="38"/>
      <c r="J678" s="38"/>
      <c r="K678" s="38"/>
    </row>
    <row r="679" ht="14.4" spans="2:11">
      <c r="B679" s="38"/>
      <c r="C679" s="38"/>
      <c r="D679" s="38"/>
      <c r="E679" s="38"/>
      <c r="F679" s="38"/>
      <c r="G679" s="38"/>
      <c r="H679" s="38"/>
      <c r="I679" s="38"/>
      <c r="J679" s="38"/>
      <c r="K679" s="38"/>
    </row>
    <row r="680" ht="14.4" spans="2:11">
      <c r="B680" s="38"/>
      <c r="C680" s="38"/>
      <c r="D680" s="38"/>
      <c r="E680" s="38"/>
      <c r="F680" s="38"/>
      <c r="G680" s="38"/>
      <c r="H680" s="38"/>
      <c r="I680" s="38"/>
      <c r="J680" s="38"/>
      <c r="K680" s="38"/>
    </row>
    <row r="681" ht="14.4" spans="2:11">
      <c r="B681" s="38"/>
      <c r="C681" s="38"/>
      <c r="D681" s="38"/>
      <c r="E681" s="38"/>
      <c r="F681" s="38"/>
      <c r="G681" s="38"/>
      <c r="H681" s="38"/>
      <c r="I681" s="38"/>
      <c r="J681" s="38"/>
      <c r="K681" s="38"/>
    </row>
    <row r="682" ht="14.4" spans="2:11">
      <c r="B682" s="38"/>
      <c r="C682" s="38"/>
      <c r="D682" s="38"/>
      <c r="E682" s="38"/>
      <c r="F682" s="38"/>
      <c r="G682" s="38"/>
      <c r="H682" s="38"/>
      <c r="I682" s="38"/>
      <c r="J682" s="38"/>
      <c r="K682" s="38"/>
    </row>
    <row r="683" ht="14.4" spans="2:11">
      <c r="B683" s="38"/>
      <c r="C683" s="38"/>
      <c r="D683" s="38"/>
      <c r="E683" s="38"/>
      <c r="F683" s="38"/>
      <c r="G683" s="38"/>
      <c r="H683" s="38"/>
      <c r="I683" s="38"/>
      <c r="J683" s="38"/>
      <c r="K683" s="38"/>
    </row>
    <row r="684" ht="14.4" spans="2:11">
      <c r="B684" s="38"/>
      <c r="C684" s="38"/>
      <c r="D684" s="38"/>
      <c r="E684" s="38"/>
      <c r="F684" s="38"/>
      <c r="G684" s="38"/>
      <c r="H684" s="38"/>
      <c r="I684" s="38"/>
      <c r="J684" s="38"/>
      <c r="K684" s="38"/>
    </row>
    <row r="685" ht="14.4" spans="2:11">
      <c r="B685" s="38"/>
      <c r="C685" s="38"/>
      <c r="D685" s="38"/>
      <c r="E685" s="38"/>
      <c r="F685" s="38"/>
      <c r="G685" s="38"/>
      <c r="H685" s="38"/>
      <c r="I685" s="38"/>
      <c r="J685" s="38"/>
      <c r="K685" s="38"/>
    </row>
    <row r="686" ht="14.4" spans="2:11">
      <c r="B686" s="38"/>
      <c r="C686" s="38"/>
      <c r="D686" s="38"/>
      <c r="E686" s="38"/>
      <c r="F686" s="38"/>
      <c r="G686" s="38"/>
      <c r="H686" s="38"/>
      <c r="I686" s="38"/>
      <c r="J686" s="38"/>
      <c r="K686" s="38"/>
    </row>
    <row r="687" ht="14.4" spans="2:11">
      <c r="B687" s="38"/>
      <c r="C687" s="38"/>
      <c r="D687" s="38"/>
      <c r="E687" s="38"/>
      <c r="F687" s="38"/>
      <c r="G687" s="38"/>
      <c r="H687" s="38"/>
      <c r="I687" s="38"/>
      <c r="J687" s="38"/>
      <c r="K687" s="38"/>
    </row>
    <row r="688" ht="14.4" spans="2:11">
      <c r="B688" s="38"/>
      <c r="C688" s="38"/>
      <c r="D688" s="38"/>
      <c r="E688" s="38"/>
      <c r="F688" s="38"/>
      <c r="G688" s="38"/>
      <c r="H688" s="38"/>
      <c r="I688" s="38"/>
      <c r="J688" s="38"/>
      <c r="K688" s="38"/>
    </row>
    <row r="689" ht="14.4" spans="2:11">
      <c r="B689" s="38"/>
      <c r="C689" s="38"/>
      <c r="D689" s="38"/>
      <c r="E689" s="38"/>
      <c r="F689" s="38"/>
      <c r="G689" s="38"/>
      <c r="H689" s="38"/>
      <c r="I689" s="38"/>
      <c r="J689" s="38"/>
      <c r="K689" s="38"/>
    </row>
    <row r="690" ht="14.4" spans="2:11">
      <c r="B690" s="38"/>
      <c r="C690" s="38"/>
      <c r="D690" s="38"/>
      <c r="E690" s="38"/>
      <c r="F690" s="38"/>
      <c r="G690" s="38"/>
      <c r="H690" s="38"/>
      <c r="I690" s="38"/>
      <c r="J690" s="38"/>
      <c r="K690" s="38"/>
    </row>
    <row r="691" ht="14.4" spans="2:11">
      <c r="B691" s="38"/>
      <c r="C691" s="38"/>
      <c r="D691" s="38"/>
      <c r="E691" s="38"/>
      <c r="F691" s="38"/>
      <c r="G691" s="38"/>
      <c r="H691" s="38"/>
      <c r="I691" s="38"/>
      <c r="J691" s="38"/>
      <c r="K691" s="38"/>
    </row>
    <row r="692" ht="14.4" spans="2:11">
      <c r="B692" s="38"/>
      <c r="C692" s="38"/>
      <c r="D692" s="38"/>
      <c r="E692" s="38"/>
      <c r="F692" s="38"/>
      <c r="G692" s="38"/>
      <c r="H692" s="38"/>
      <c r="I692" s="38"/>
      <c r="J692" s="38"/>
      <c r="K692" s="38"/>
    </row>
    <row r="693" ht="14.4" spans="2:11">
      <c r="B693" s="38"/>
      <c r="C693" s="38"/>
      <c r="D693" s="38"/>
      <c r="E693" s="38"/>
      <c r="F693" s="38"/>
      <c r="G693" s="38"/>
      <c r="H693" s="38"/>
      <c r="I693" s="38"/>
      <c r="J693" s="38"/>
      <c r="K693" s="38"/>
    </row>
    <row r="694" ht="14.4" spans="2:11">
      <c r="B694" s="38"/>
      <c r="C694" s="38"/>
      <c r="D694" s="38"/>
      <c r="E694" s="38"/>
      <c r="F694" s="38"/>
      <c r="G694" s="38"/>
      <c r="H694" s="38"/>
      <c r="I694" s="38"/>
      <c r="J694" s="38"/>
      <c r="K694" s="38"/>
    </row>
    <row r="695" ht="14.4" spans="2:11">
      <c r="B695" s="38"/>
      <c r="C695" s="38"/>
      <c r="D695" s="38"/>
      <c r="E695" s="38"/>
      <c r="F695" s="38"/>
      <c r="G695" s="38"/>
      <c r="H695" s="38"/>
      <c r="I695" s="38"/>
      <c r="J695" s="38"/>
      <c r="K695" s="38"/>
    </row>
    <row r="696" ht="14.4" spans="2:11">
      <c r="B696" s="38"/>
      <c r="C696" s="38"/>
      <c r="D696" s="38"/>
      <c r="E696" s="38"/>
      <c r="F696" s="38"/>
      <c r="G696" s="38"/>
      <c r="H696" s="38"/>
      <c r="I696" s="38"/>
      <c r="J696" s="38"/>
      <c r="K696" s="38"/>
    </row>
    <row r="697" ht="14.4" spans="2:11">
      <c r="B697" s="38"/>
      <c r="C697" s="38"/>
      <c r="D697" s="38"/>
      <c r="E697" s="38"/>
      <c r="F697" s="38"/>
      <c r="G697" s="38"/>
      <c r="H697" s="38"/>
      <c r="I697" s="38"/>
      <c r="J697" s="38"/>
      <c r="K697" s="38"/>
    </row>
    <row r="698" ht="14.4" spans="2:11">
      <c r="B698" s="38"/>
      <c r="C698" s="38"/>
      <c r="D698" s="38"/>
      <c r="E698" s="38"/>
      <c r="F698" s="38"/>
      <c r="G698" s="38"/>
      <c r="H698" s="38"/>
      <c r="I698" s="38"/>
      <c r="J698" s="38"/>
      <c r="K698" s="38"/>
    </row>
    <row r="699" ht="14.4" spans="2:11">
      <c r="B699" s="38"/>
      <c r="C699" s="38"/>
      <c r="D699" s="38"/>
      <c r="E699" s="38"/>
      <c r="F699" s="38"/>
      <c r="G699" s="38"/>
      <c r="H699" s="38"/>
      <c r="I699" s="38"/>
      <c r="J699" s="38"/>
      <c r="K699" s="38"/>
    </row>
    <row r="700" ht="14.4" spans="2:11">
      <c r="B700" s="38"/>
      <c r="C700" s="38"/>
      <c r="D700" s="38"/>
      <c r="E700" s="38"/>
      <c r="F700" s="38"/>
      <c r="G700" s="38"/>
      <c r="H700" s="38"/>
      <c r="I700" s="38"/>
      <c r="J700" s="38"/>
      <c r="K700" s="38"/>
    </row>
    <row r="701" ht="14.4" spans="2:11">
      <c r="B701" s="38"/>
      <c r="C701" s="38"/>
      <c r="D701" s="38"/>
      <c r="E701" s="38"/>
      <c r="F701" s="38"/>
      <c r="G701" s="38"/>
      <c r="H701" s="38"/>
      <c r="I701" s="38"/>
      <c r="J701" s="38"/>
      <c r="K701" s="38"/>
    </row>
    <row r="702" ht="14.4" spans="2:11">
      <c r="B702" s="38"/>
      <c r="C702" s="38"/>
      <c r="D702" s="38"/>
      <c r="E702" s="38"/>
      <c r="F702" s="38"/>
      <c r="G702" s="38"/>
      <c r="H702" s="38"/>
      <c r="I702" s="38"/>
      <c r="J702" s="38"/>
      <c r="K702" s="38"/>
    </row>
    <row r="703" ht="14.4" spans="2:11">
      <c r="B703" s="38"/>
      <c r="C703" s="38"/>
      <c r="D703" s="38"/>
      <c r="E703" s="38"/>
      <c r="F703" s="38"/>
      <c r="G703" s="38"/>
      <c r="H703" s="38"/>
      <c r="I703" s="38"/>
      <c r="J703" s="38"/>
      <c r="K703" s="38"/>
    </row>
    <row r="704" ht="14.4" spans="2:11">
      <c r="B704" s="38"/>
      <c r="C704" s="38"/>
      <c r="D704" s="38"/>
      <c r="E704" s="38"/>
      <c r="F704" s="38"/>
      <c r="G704" s="38"/>
      <c r="H704" s="38"/>
      <c r="I704" s="38"/>
      <c r="J704" s="38"/>
      <c r="K704" s="38"/>
    </row>
    <row r="705" ht="14.4" spans="2:11">
      <c r="B705" s="38"/>
      <c r="C705" s="38"/>
      <c r="D705" s="38"/>
      <c r="E705" s="38"/>
      <c r="F705" s="38"/>
      <c r="G705" s="38"/>
      <c r="H705" s="38"/>
      <c r="I705" s="38"/>
      <c r="J705" s="38"/>
      <c r="K705" s="38"/>
    </row>
    <row r="706" ht="14.4" spans="2:11">
      <c r="B706" s="38"/>
      <c r="C706" s="38"/>
      <c r="D706" s="38"/>
      <c r="E706" s="38"/>
      <c r="F706" s="38"/>
      <c r="G706" s="38"/>
      <c r="H706" s="38"/>
      <c r="I706" s="38"/>
      <c r="J706" s="38"/>
      <c r="K706" s="38"/>
    </row>
    <row r="707" ht="14.4" spans="2:11">
      <c r="B707" s="38"/>
      <c r="C707" s="38"/>
      <c r="D707" s="38"/>
      <c r="E707" s="38"/>
      <c r="F707" s="38"/>
      <c r="G707" s="38"/>
      <c r="H707" s="38"/>
      <c r="I707" s="38"/>
      <c r="J707" s="38"/>
      <c r="K707" s="38"/>
    </row>
    <row r="708" ht="14.4" spans="2:11">
      <c r="B708" s="38"/>
      <c r="C708" s="38"/>
      <c r="D708" s="38"/>
      <c r="E708" s="38"/>
      <c r="F708" s="38"/>
      <c r="G708" s="38"/>
      <c r="H708" s="38"/>
      <c r="I708" s="38"/>
      <c r="J708" s="38"/>
      <c r="K708" s="38"/>
    </row>
    <row r="709" ht="14.4" spans="2:11">
      <c r="B709" s="38"/>
      <c r="C709" s="38"/>
      <c r="D709" s="38"/>
      <c r="E709" s="38"/>
      <c r="F709" s="38"/>
      <c r="G709" s="38"/>
      <c r="H709" s="38"/>
      <c r="I709" s="38"/>
      <c r="J709" s="38"/>
      <c r="K709" s="38"/>
    </row>
    <row r="710" ht="14.4" spans="2:11">
      <c r="B710" s="38"/>
      <c r="C710" s="38"/>
      <c r="D710" s="38"/>
      <c r="E710" s="38"/>
      <c r="F710" s="38"/>
      <c r="G710" s="38"/>
      <c r="H710" s="38"/>
      <c r="I710" s="38"/>
      <c r="J710" s="38"/>
      <c r="K710" s="38"/>
    </row>
    <row r="711" ht="14.4" spans="2:11">
      <c r="B711" s="38"/>
      <c r="C711" s="38"/>
      <c r="D711" s="38"/>
      <c r="E711" s="38"/>
      <c r="F711" s="38"/>
      <c r="G711" s="38"/>
      <c r="H711" s="38"/>
      <c r="I711" s="38"/>
      <c r="J711" s="38"/>
      <c r="K711" s="38"/>
    </row>
    <row r="712" ht="14.4" spans="2:11">
      <c r="B712" s="38"/>
      <c r="C712" s="38"/>
      <c r="D712" s="38"/>
      <c r="E712" s="38"/>
      <c r="F712" s="38"/>
      <c r="G712" s="38"/>
      <c r="H712" s="38"/>
      <c r="I712" s="38"/>
      <c r="J712" s="38"/>
      <c r="K712" s="38"/>
    </row>
    <row r="713" ht="14.4" spans="2:11">
      <c r="B713" s="38"/>
      <c r="C713" s="38"/>
      <c r="D713" s="38"/>
      <c r="E713" s="38"/>
      <c r="F713" s="38"/>
      <c r="G713" s="38"/>
      <c r="H713" s="38"/>
      <c r="I713" s="38"/>
      <c r="J713" s="38"/>
      <c r="K713" s="38"/>
    </row>
    <row r="714" ht="14.4" spans="2:11">
      <c r="B714" s="38"/>
      <c r="C714" s="38"/>
      <c r="D714" s="38"/>
      <c r="E714" s="38"/>
      <c r="F714" s="38"/>
      <c r="G714" s="38"/>
      <c r="H714" s="38"/>
      <c r="I714" s="38"/>
      <c r="J714" s="38"/>
      <c r="K714" s="38"/>
    </row>
    <row r="715" ht="14.4" spans="2:11">
      <c r="B715" s="38"/>
      <c r="C715" s="38"/>
      <c r="D715" s="38"/>
      <c r="E715" s="38"/>
      <c r="F715" s="38"/>
      <c r="G715" s="38"/>
      <c r="H715" s="38"/>
      <c r="I715" s="38"/>
      <c r="J715" s="38"/>
      <c r="K715" s="38"/>
    </row>
    <row r="716" ht="14.4" spans="2:11">
      <c r="B716" s="38"/>
      <c r="C716" s="38"/>
      <c r="D716" s="38"/>
      <c r="E716" s="38"/>
      <c r="F716" s="38"/>
      <c r="G716" s="38"/>
      <c r="H716" s="38"/>
      <c r="I716" s="38"/>
      <c r="J716" s="38"/>
      <c r="K716" s="38"/>
    </row>
    <row r="717" ht="14.4" spans="2:11">
      <c r="B717" s="38"/>
      <c r="C717" s="38"/>
      <c r="D717" s="38"/>
      <c r="E717" s="38"/>
      <c r="F717" s="38"/>
      <c r="G717" s="38"/>
      <c r="H717" s="38"/>
      <c r="I717" s="38"/>
      <c r="J717" s="38"/>
      <c r="K717" s="38"/>
    </row>
    <row r="718" ht="14.4" spans="2:11">
      <c r="B718" s="38"/>
      <c r="C718" s="38"/>
      <c r="D718" s="38"/>
      <c r="E718" s="38"/>
      <c r="F718" s="38"/>
      <c r="G718" s="38"/>
      <c r="H718" s="38"/>
      <c r="I718" s="38"/>
      <c r="J718" s="38"/>
      <c r="K718" s="38"/>
    </row>
    <row r="719" ht="14.4" spans="2:11">
      <c r="B719" s="38"/>
      <c r="C719" s="38"/>
      <c r="D719" s="38"/>
      <c r="E719" s="38"/>
      <c r="F719" s="38"/>
      <c r="G719" s="38"/>
      <c r="H719" s="38"/>
      <c r="I719" s="38"/>
      <c r="J719" s="38"/>
      <c r="K719" s="38"/>
    </row>
    <row r="720" ht="14.4" spans="2:11">
      <c r="B720" s="38"/>
      <c r="C720" s="38"/>
      <c r="D720" s="38"/>
      <c r="E720" s="38"/>
      <c r="F720" s="38"/>
      <c r="G720" s="38"/>
      <c r="H720" s="38"/>
      <c r="I720" s="38"/>
      <c r="J720" s="38"/>
      <c r="K720" s="38"/>
    </row>
    <row r="721" ht="14.4" spans="2:11">
      <c r="B721" s="38"/>
      <c r="C721" s="38"/>
      <c r="D721" s="38"/>
      <c r="E721" s="38"/>
      <c r="F721" s="38"/>
      <c r="G721" s="38"/>
      <c r="H721" s="38"/>
      <c r="I721" s="38"/>
      <c r="J721" s="38"/>
      <c r="K721" s="38"/>
    </row>
    <row r="722" ht="14.4" spans="2:11">
      <c r="B722" s="38"/>
      <c r="C722" s="38"/>
      <c r="D722" s="38"/>
      <c r="E722" s="38"/>
      <c r="F722" s="38"/>
      <c r="G722" s="38"/>
      <c r="H722" s="38"/>
      <c r="I722" s="38"/>
      <c r="J722" s="38"/>
      <c r="K722" s="38"/>
    </row>
    <row r="723" ht="14.4" spans="2:11">
      <c r="B723" s="38"/>
      <c r="C723" s="38"/>
      <c r="D723" s="38"/>
      <c r="E723" s="38"/>
      <c r="F723" s="38"/>
      <c r="G723" s="38"/>
      <c r="H723" s="38"/>
      <c r="I723" s="38"/>
      <c r="J723" s="38"/>
      <c r="K723" s="38"/>
    </row>
    <row r="724" ht="14.4" spans="2:11">
      <c r="B724" s="38"/>
      <c r="C724" s="38"/>
      <c r="D724" s="38"/>
      <c r="E724" s="38"/>
      <c r="F724" s="38"/>
      <c r="G724" s="38"/>
      <c r="H724" s="38"/>
      <c r="I724" s="38"/>
      <c r="J724" s="38"/>
      <c r="K724" s="38"/>
    </row>
    <row r="725" ht="14.4" spans="2:11">
      <c r="B725" s="38"/>
      <c r="C725" s="38"/>
      <c r="D725" s="38"/>
      <c r="E725" s="38"/>
      <c r="F725" s="38"/>
      <c r="G725" s="38"/>
      <c r="H725" s="38"/>
      <c r="I725" s="38"/>
      <c r="J725" s="38"/>
      <c r="K725" s="38"/>
    </row>
    <row r="726" ht="14.4" spans="2:11">
      <c r="B726" s="38"/>
      <c r="C726" s="38"/>
      <c r="D726" s="38"/>
      <c r="E726" s="38"/>
      <c r="F726" s="38"/>
      <c r="G726" s="38"/>
      <c r="H726" s="38"/>
      <c r="I726" s="38"/>
      <c r="J726" s="38"/>
      <c r="K726" s="38"/>
    </row>
    <row r="727" ht="14.4" spans="2:11">
      <c r="B727" s="38"/>
      <c r="C727" s="38"/>
      <c r="D727" s="38"/>
      <c r="E727" s="38"/>
      <c r="F727" s="38"/>
      <c r="G727" s="38"/>
      <c r="H727" s="38"/>
      <c r="I727" s="38"/>
      <c r="J727" s="38"/>
      <c r="K727" s="38"/>
    </row>
    <row r="728" ht="14.4" spans="2:11">
      <c r="B728" s="38"/>
      <c r="C728" s="38"/>
      <c r="D728" s="38"/>
      <c r="E728" s="38"/>
      <c r="F728" s="38"/>
      <c r="G728" s="38"/>
      <c r="H728" s="38"/>
      <c r="I728" s="38"/>
      <c r="J728" s="38"/>
      <c r="K728" s="38"/>
    </row>
    <row r="729" ht="14.4" spans="2:11">
      <c r="B729" s="38"/>
      <c r="C729" s="38"/>
      <c r="D729" s="38"/>
      <c r="E729" s="38"/>
      <c r="F729" s="38"/>
      <c r="G729" s="38"/>
      <c r="H729" s="38"/>
      <c r="I729" s="38"/>
      <c r="J729" s="38"/>
      <c r="K729" s="38"/>
    </row>
    <row r="730" ht="14.4" spans="2:11">
      <c r="B730" s="38"/>
      <c r="C730" s="38"/>
      <c r="D730" s="38"/>
      <c r="E730" s="38"/>
      <c r="F730" s="38"/>
      <c r="G730" s="38"/>
      <c r="H730" s="38"/>
      <c r="I730" s="38"/>
      <c r="J730" s="38"/>
      <c r="K730" s="38"/>
    </row>
    <row r="731" ht="14.4" spans="2:11">
      <c r="B731" s="38"/>
      <c r="C731" s="38"/>
      <c r="D731" s="38"/>
      <c r="E731" s="38"/>
      <c r="F731" s="38"/>
      <c r="G731" s="38"/>
      <c r="H731" s="38"/>
      <c r="I731" s="38"/>
      <c r="J731" s="38"/>
      <c r="K731" s="38"/>
    </row>
    <row r="732" ht="14.4" spans="2:11">
      <c r="B732" s="38"/>
      <c r="C732" s="38"/>
      <c r="D732" s="38"/>
      <c r="E732" s="38"/>
      <c r="F732" s="38"/>
      <c r="G732" s="38"/>
      <c r="H732" s="38"/>
      <c r="I732" s="38"/>
      <c r="J732" s="38"/>
      <c r="K732" s="38"/>
    </row>
    <row r="733" ht="14.4" spans="2:11">
      <c r="B733" s="38"/>
      <c r="C733" s="38"/>
      <c r="D733" s="38"/>
      <c r="E733" s="38"/>
      <c r="F733" s="38"/>
      <c r="G733" s="38"/>
      <c r="H733" s="38"/>
      <c r="I733" s="38"/>
      <c r="J733" s="38"/>
      <c r="K733" s="38"/>
    </row>
    <row r="734" ht="14.4" spans="2:11">
      <c r="B734" s="38"/>
      <c r="C734" s="38"/>
      <c r="D734" s="38"/>
      <c r="E734" s="38"/>
      <c r="F734" s="38"/>
      <c r="G734" s="38"/>
      <c r="H734" s="38"/>
      <c r="I734" s="38"/>
      <c r="J734" s="38"/>
      <c r="K734" s="38"/>
    </row>
    <row r="735" ht="14.4" spans="2:11">
      <c r="B735" s="38"/>
      <c r="C735" s="38"/>
      <c r="D735" s="38"/>
      <c r="E735" s="38"/>
      <c r="F735" s="38"/>
      <c r="G735" s="38"/>
      <c r="H735" s="38"/>
      <c r="I735" s="38"/>
      <c r="J735" s="38"/>
      <c r="K735" s="38"/>
    </row>
    <row r="736" ht="14.4" spans="2:11">
      <c r="B736" s="38"/>
      <c r="C736" s="38"/>
      <c r="D736" s="38"/>
      <c r="E736" s="38"/>
      <c r="F736" s="38"/>
      <c r="G736" s="38"/>
      <c r="H736" s="38"/>
      <c r="I736" s="38"/>
      <c r="J736" s="38"/>
      <c r="K736" s="38"/>
    </row>
    <row r="737" ht="14.4" spans="2:11">
      <c r="B737" s="38"/>
      <c r="C737" s="38"/>
      <c r="D737" s="38"/>
      <c r="E737" s="38"/>
      <c r="F737" s="38"/>
      <c r="G737" s="38"/>
      <c r="H737" s="38"/>
      <c r="I737" s="38"/>
      <c r="J737" s="38"/>
      <c r="K737" s="38"/>
    </row>
    <row r="738" ht="14.4" spans="2:11">
      <c r="B738" s="38"/>
      <c r="C738" s="38"/>
      <c r="D738" s="38"/>
      <c r="E738" s="38"/>
      <c r="F738" s="38"/>
      <c r="G738" s="38"/>
      <c r="H738" s="38"/>
      <c r="I738" s="38"/>
      <c r="J738" s="38"/>
      <c r="K738" s="38"/>
    </row>
    <row r="739" ht="14.4" spans="2:11">
      <c r="B739" s="38"/>
      <c r="C739" s="38"/>
      <c r="D739" s="38"/>
      <c r="E739" s="38"/>
      <c r="F739" s="38"/>
      <c r="G739" s="38"/>
      <c r="H739" s="38"/>
      <c r="I739" s="38"/>
      <c r="J739" s="38"/>
      <c r="K739" s="38"/>
    </row>
    <row r="740" ht="14.4" spans="2:11">
      <c r="B740" s="38"/>
      <c r="C740" s="38"/>
      <c r="D740" s="38"/>
      <c r="E740" s="38"/>
      <c r="F740" s="38"/>
      <c r="G740" s="38"/>
      <c r="H740" s="38"/>
      <c r="I740" s="38"/>
      <c r="J740" s="38"/>
      <c r="K740" s="38"/>
    </row>
    <row r="741" ht="14.4" spans="2:11">
      <c r="B741" s="38"/>
      <c r="C741" s="38"/>
      <c r="D741" s="38"/>
      <c r="E741" s="38"/>
      <c r="F741" s="38"/>
      <c r="G741" s="38"/>
      <c r="H741" s="38"/>
      <c r="I741" s="38"/>
      <c r="J741" s="38"/>
      <c r="K741" s="38"/>
    </row>
    <row r="742" ht="14.4" spans="2:11">
      <c r="B742" s="38"/>
      <c r="C742" s="38"/>
      <c r="D742" s="38"/>
      <c r="E742" s="38"/>
      <c r="F742" s="38"/>
      <c r="G742" s="38"/>
      <c r="H742" s="38"/>
      <c r="I742" s="38"/>
      <c r="J742" s="38"/>
      <c r="K742" s="38"/>
    </row>
    <row r="743" ht="14.4" spans="2:11">
      <c r="B743" s="38"/>
      <c r="C743" s="38"/>
      <c r="D743" s="38"/>
      <c r="E743" s="38"/>
      <c r="F743" s="38"/>
      <c r="G743" s="38"/>
      <c r="H743" s="38"/>
      <c r="I743" s="38"/>
      <c r="J743" s="38"/>
      <c r="K743" s="38"/>
    </row>
    <row r="744" ht="14.4" spans="2:11">
      <c r="B744" s="38"/>
      <c r="C744" s="38"/>
      <c r="D744" s="38"/>
      <c r="E744" s="38"/>
      <c r="F744" s="38"/>
      <c r="G744" s="38"/>
      <c r="H744" s="38"/>
      <c r="I744" s="38"/>
      <c r="J744" s="38"/>
      <c r="K744" s="38"/>
    </row>
    <row r="745" ht="14.4" spans="2:11">
      <c r="B745" s="38"/>
      <c r="C745" s="38"/>
      <c r="D745" s="38"/>
      <c r="E745" s="38"/>
      <c r="F745" s="38"/>
      <c r="G745" s="38"/>
      <c r="H745" s="38"/>
      <c r="I745" s="38"/>
      <c r="J745" s="38"/>
      <c r="K745" s="38"/>
    </row>
    <row r="746" ht="14.4" spans="2:11">
      <c r="B746" s="38"/>
      <c r="C746" s="38"/>
      <c r="D746" s="38"/>
      <c r="E746" s="38"/>
      <c r="F746" s="38"/>
      <c r="G746" s="38"/>
      <c r="H746" s="38"/>
      <c r="I746" s="38"/>
      <c r="J746" s="38"/>
      <c r="K746" s="38"/>
    </row>
    <row r="747" ht="14.4" spans="2:11">
      <c r="B747" s="38"/>
      <c r="C747" s="38"/>
      <c r="D747" s="38"/>
      <c r="E747" s="38"/>
      <c r="F747" s="38"/>
      <c r="G747" s="38"/>
      <c r="H747" s="38"/>
      <c r="I747" s="38"/>
      <c r="J747" s="38"/>
      <c r="K747" s="38"/>
    </row>
    <row r="748" ht="14.4" spans="2:11">
      <c r="B748" s="38"/>
      <c r="C748" s="38"/>
      <c r="D748" s="38"/>
      <c r="E748" s="38"/>
      <c r="F748" s="38"/>
      <c r="G748" s="38"/>
      <c r="H748" s="38"/>
      <c r="I748" s="38"/>
      <c r="J748" s="38"/>
      <c r="K748" s="38"/>
    </row>
    <row r="749" ht="14.4" spans="2:11">
      <c r="B749" s="38"/>
      <c r="C749" s="38"/>
      <c r="D749" s="38"/>
      <c r="E749" s="38"/>
      <c r="F749" s="38"/>
      <c r="G749" s="38"/>
      <c r="H749" s="38"/>
      <c r="I749" s="38"/>
      <c r="J749" s="38"/>
      <c r="K749" s="38"/>
    </row>
    <row r="750" ht="14.4" spans="2:11">
      <c r="B750" s="38"/>
      <c r="C750" s="38"/>
      <c r="D750" s="38"/>
      <c r="E750" s="38"/>
      <c r="F750" s="38"/>
      <c r="G750" s="38"/>
      <c r="H750" s="38"/>
      <c r="I750" s="38"/>
      <c r="J750" s="38"/>
      <c r="K750" s="38"/>
    </row>
    <row r="751" ht="14.4" spans="2:11">
      <c r="B751" s="38"/>
      <c r="C751" s="38"/>
      <c r="D751" s="38"/>
      <c r="E751" s="38"/>
      <c r="F751" s="38"/>
      <c r="G751" s="38"/>
      <c r="H751" s="38"/>
      <c r="I751" s="38"/>
      <c r="J751" s="38"/>
      <c r="K751" s="38"/>
    </row>
    <row r="752" ht="14.4" spans="2:11">
      <c r="B752" s="38"/>
      <c r="C752" s="38"/>
      <c r="D752" s="38"/>
      <c r="E752" s="38"/>
      <c r="F752" s="38"/>
      <c r="G752" s="38"/>
      <c r="H752" s="38"/>
      <c r="I752" s="38"/>
      <c r="J752" s="38"/>
      <c r="K752" s="38"/>
    </row>
    <row r="753" ht="14.4" spans="2:11">
      <c r="B753" s="38"/>
      <c r="C753" s="38"/>
      <c r="D753" s="38"/>
      <c r="E753" s="38"/>
      <c r="F753" s="38"/>
      <c r="G753" s="38"/>
      <c r="H753" s="38"/>
      <c r="I753" s="38"/>
      <c r="J753" s="38"/>
      <c r="K753" s="38"/>
    </row>
    <row r="754" ht="14.4" spans="2:11">
      <c r="B754" s="38"/>
      <c r="C754" s="38"/>
      <c r="D754" s="38"/>
      <c r="E754" s="38"/>
      <c r="F754" s="38"/>
      <c r="G754" s="38"/>
      <c r="H754" s="38"/>
      <c r="I754" s="38"/>
      <c r="J754" s="38"/>
      <c r="K754" s="38"/>
    </row>
    <row r="755" ht="14.4" spans="2:11">
      <c r="B755" s="38"/>
      <c r="C755" s="38"/>
      <c r="D755" s="38"/>
      <c r="E755" s="38"/>
      <c r="F755" s="38"/>
      <c r="G755" s="38"/>
      <c r="H755" s="38"/>
      <c r="I755" s="38"/>
      <c r="J755" s="38"/>
      <c r="K755" s="38"/>
    </row>
    <row r="756" ht="14.4" spans="2:11">
      <c r="B756" s="38"/>
      <c r="C756" s="38"/>
      <c r="D756" s="38"/>
      <c r="E756" s="38"/>
      <c r="F756" s="38"/>
      <c r="G756" s="38"/>
      <c r="H756" s="38"/>
      <c r="I756" s="38"/>
      <c r="J756" s="38"/>
      <c r="K756" s="38"/>
    </row>
    <row r="757" ht="14.4" spans="2:11">
      <c r="B757" s="38"/>
      <c r="C757" s="38"/>
      <c r="D757" s="38"/>
      <c r="E757" s="38"/>
      <c r="F757" s="38"/>
      <c r="G757" s="38"/>
      <c r="H757" s="38"/>
      <c r="I757" s="38"/>
      <c r="J757" s="38"/>
      <c r="K757" s="38"/>
    </row>
    <row r="758" ht="14.4" spans="2:11">
      <c r="B758" s="38"/>
      <c r="C758" s="38"/>
      <c r="D758" s="38"/>
      <c r="E758" s="38"/>
      <c r="F758" s="38"/>
      <c r="G758" s="38"/>
      <c r="H758" s="38"/>
      <c r="I758" s="38"/>
      <c r="J758" s="38"/>
      <c r="K758" s="38"/>
    </row>
    <row r="759" ht="14.4" spans="2:11">
      <c r="B759" s="38"/>
      <c r="C759" s="38"/>
      <c r="D759" s="38"/>
      <c r="E759" s="38"/>
      <c r="F759" s="38"/>
      <c r="G759" s="38"/>
      <c r="H759" s="38"/>
      <c r="I759" s="38"/>
      <c r="J759" s="38"/>
      <c r="K759" s="38"/>
    </row>
    <row r="760" ht="14.4" spans="2:11">
      <c r="B760" s="38"/>
      <c r="C760" s="38"/>
      <c r="D760" s="38"/>
      <c r="E760" s="38"/>
      <c r="F760" s="38"/>
      <c r="G760" s="38"/>
      <c r="H760" s="38"/>
      <c r="I760" s="38"/>
      <c r="J760" s="38"/>
      <c r="K760" s="38"/>
    </row>
    <row r="761" ht="14.4" spans="2:11">
      <c r="B761" s="38"/>
      <c r="C761" s="38"/>
      <c r="D761" s="38"/>
      <c r="E761" s="38"/>
      <c r="F761" s="38"/>
      <c r="G761" s="38"/>
      <c r="H761" s="38"/>
      <c r="I761" s="38"/>
      <c r="J761" s="38"/>
      <c r="K761" s="38"/>
    </row>
    <row r="762" ht="14.4" spans="2:11">
      <c r="B762" s="38"/>
      <c r="C762" s="38"/>
      <c r="D762" s="38"/>
      <c r="E762" s="38"/>
      <c r="F762" s="38"/>
      <c r="G762" s="38"/>
      <c r="H762" s="38"/>
      <c r="I762" s="38"/>
      <c r="J762" s="38"/>
      <c r="K762" s="38"/>
    </row>
    <row r="763" ht="14.4" spans="2:11">
      <c r="B763" s="38"/>
      <c r="C763" s="38"/>
      <c r="D763" s="38"/>
      <c r="E763" s="38"/>
      <c r="F763" s="38"/>
      <c r="G763" s="38"/>
      <c r="H763" s="38"/>
      <c r="I763" s="38"/>
      <c r="J763" s="38"/>
      <c r="K763" s="38"/>
    </row>
    <row r="764" ht="14.4" spans="2:11">
      <c r="B764" s="38"/>
      <c r="C764" s="38"/>
      <c r="D764" s="38"/>
      <c r="E764" s="38"/>
      <c r="F764" s="38"/>
      <c r="G764" s="38"/>
      <c r="H764" s="38"/>
      <c r="I764" s="38"/>
      <c r="J764" s="38"/>
      <c r="K764" s="38"/>
    </row>
    <row r="765" ht="14.4" spans="2:11">
      <c r="B765" s="38"/>
      <c r="C765" s="38"/>
      <c r="D765" s="38"/>
      <c r="E765" s="38"/>
      <c r="F765" s="38"/>
      <c r="G765" s="38"/>
      <c r="H765" s="38"/>
      <c r="I765" s="38"/>
      <c r="J765" s="38"/>
      <c r="K765" s="38"/>
    </row>
    <row r="766" ht="14.4" spans="2:11">
      <c r="B766" s="38"/>
      <c r="C766" s="38"/>
      <c r="D766" s="38"/>
      <c r="E766" s="38"/>
      <c r="F766" s="38"/>
      <c r="G766" s="38"/>
      <c r="H766" s="38"/>
      <c r="I766" s="38"/>
      <c r="J766" s="38"/>
      <c r="K766" s="38"/>
    </row>
    <row r="767" ht="14.4" spans="2:11">
      <c r="B767" s="38"/>
      <c r="C767" s="38"/>
      <c r="D767" s="38"/>
      <c r="E767" s="38"/>
      <c r="F767" s="38"/>
      <c r="G767" s="38"/>
      <c r="H767" s="38"/>
      <c r="I767" s="38"/>
      <c r="J767" s="38"/>
      <c r="K767" s="38"/>
    </row>
    <row r="768" ht="14.4" spans="2:11">
      <c r="B768" s="38"/>
      <c r="C768" s="38"/>
      <c r="D768" s="38"/>
      <c r="E768" s="38"/>
      <c r="F768" s="38"/>
      <c r="G768" s="38"/>
      <c r="H768" s="38"/>
      <c r="I768" s="38"/>
      <c r="J768" s="38"/>
      <c r="K768" s="38"/>
    </row>
    <row r="769" ht="14.4" spans="2:11">
      <c r="B769" s="38"/>
      <c r="C769" s="38"/>
      <c r="D769" s="38"/>
      <c r="E769" s="38"/>
      <c r="F769" s="38"/>
      <c r="G769" s="38"/>
      <c r="H769" s="38"/>
      <c r="I769" s="38"/>
      <c r="J769" s="38"/>
      <c r="K769" s="38"/>
    </row>
    <row r="770" ht="14.4" spans="2:11">
      <c r="B770" s="38"/>
      <c r="C770" s="38"/>
      <c r="D770" s="38"/>
      <c r="E770" s="38"/>
      <c r="F770" s="38"/>
      <c r="G770" s="38"/>
      <c r="H770" s="38"/>
      <c r="I770" s="38"/>
      <c r="J770" s="38"/>
      <c r="K770" s="38"/>
    </row>
    <row r="771" ht="14.4" spans="2:11">
      <c r="B771" s="38"/>
      <c r="C771" s="38"/>
      <c r="D771" s="38"/>
      <c r="E771" s="38"/>
      <c r="F771" s="38"/>
      <c r="G771" s="38"/>
      <c r="H771" s="38"/>
      <c r="I771" s="38"/>
      <c r="J771" s="38"/>
      <c r="K771" s="38"/>
    </row>
    <row r="772" ht="14.4" spans="2:11">
      <c r="B772" s="38"/>
      <c r="C772" s="38"/>
      <c r="D772" s="38"/>
      <c r="E772" s="38"/>
      <c r="F772" s="38"/>
      <c r="G772" s="38"/>
      <c r="H772" s="38"/>
      <c r="I772" s="38"/>
      <c r="J772" s="38"/>
      <c r="K772" s="38"/>
    </row>
    <row r="773" ht="14.4" spans="2:11">
      <c r="B773" s="38"/>
      <c r="C773" s="38"/>
      <c r="D773" s="38"/>
      <c r="E773" s="38"/>
      <c r="F773" s="38"/>
      <c r="G773" s="38"/>
      <c r="H773" s="38"/>
      <c r="I773" s="38"/>
      <c r="J773" s="38"/>
      <c r="K773" s="38"/>
    </row>
    <row r="774" ht="14.4" spans="2:11">
      <c r="B774" s="38"/>
      <c r="C774" s="38"/>
      <c r="D774" s="38"/>
      <c r="E774" s="38"/>
      <c r="F774" s="38"/>
      <c r="G774" s="38"/>
      <c r="H774" s="38"/>
      <c r="I774" s="38"/>
      <c r="J774" s="38"/>
      <c r="K774" s="38"/>
    </row>
    <row r="775" ht="14.4" spans="2:11">
      <c r="B775" s="38"/>
      <c r="C775" s="38"/>
      <c r="D775" s="38"/>
      <c r="E775" s="38"/>
      <c r="F775" s="38"/>
      <c r="G775" s="38"/>
      <c r="H775" s="38"/>
      <c r="I775" s="38"/>
      <c r="J775" s="38"/>
      <c r="K775" s="38"/>
    </row>
    <row r="776" ht="14.4" spans="2:11">
      <c r="B776" s="38"/>
      <c r="C776" s="38"/>
      <c r="D776" s="38"/>
      <c r="E776" s="38"/>
      <c r="F776" s="38"/>
      <c r="G776" s="38"/>
      <c r="H776" s="38"/>
      <c r="I776" s="38"/>
      <c r="J776" s="38"/>
      <c r="K776" s="38"/>
    </row>
    <row r="777" ht="14.4" spans="2:11">
      <c r="B777" s="38"/>
      <c r="C777" s="38"/>
      <c r="D777" s="38"/>
      <c r="E777" s="38"/>
      <c r="F777" s="38"/>
      <c r="G777" s="38"/>
      <c r="H777" s="38"/>
      <c r="I777" s="38"/>
      <c r="J777" s="38"/>
      <c r="K777" s="38"/>
    </row>
    <row r="778" ht="14.4" spans="2:11">
      <c r="B778" s="38"/>
      <c r="C778" s="38"/>
      <c r="D778" s="38"/>
      <c r="E778" s="38"/>
      <c r="F778" s="38"/>
      <c r="G778" s="38"/>
      <c r="H778" s="38"/>
      <c r="I778" s="38"/>
      <c r="J778" s="38"/>
      <c r="K778" s="38"/>
    </row>
    <row r="779" ht="14.4" spans="2:11">
      <c r="B779" s="38"/>
      <c r="C779" s="38"/>
      <c r="D779" s="38"/>
      <c r="E779" s="38"/>
      <c r="F779" s="38"/>
      <c r="G779" s="38"/>
      <c r="H779" s="38"/>
      <c r="I779" s="38"/>
      <c r="J779" s="38"/>
      <c r="K779" s="38"/>
    </row>
    <row r="780" ht="14.4" spans="2:11">
      <c r="B780" s="38"/>
      <c r="C780" s="38"/>
      <c r="D780" s="38"/>
      <c r="E780" s="38"/>
      <c r="F780" s="38"/>
      <c r="G780" s="38"/>
      <c r="H780" s="38"/>
      <c r="I780" s="38"/>
      <c r="J780" s="38"/>
      <c r="K780" s="38"/>
    </row>
    <row r="781" ht="14.4" spans="2:11">
      <c r="B781" s="38"/>
      <c r="C781" s="38"/>
      <c r="D781" s="38"/>
      <c r="E781" s="38"/>
      <c r="F781" s="38"/>
      <c r="G781" s="38"/>
      <c r="H781" s="38"/>
      <c r="I781" s="38"/>
      <c r="J781" s="38"/>
      <c r="K781" s="38"/>
    </row>
    <row r="782" ht="14.4" spans="2:11">
      <c r="B782" s="38"/>
      <c r="C782" s="38"/>
      <c r="D782" s="38"/>
      <c r="E782" s="38"/>
      <c r="F782" s="38"/>
      <c r="G782" s="38"/>
      <c r="H782" s="38"/>
      <c r="I782" s="38"/>
      <c r="J782" s="38"/>
      <c r="K782" s="38"/>
    </row>
    <row r="783" ht="14.4" spans="2:11">
      <c r="B783" s="38"/>
      <c r="C783" s="38"/>
      <c r="D783" s="38"/>
      <c r="E783" s="38"/>
      <c r="F783" s="38"/>
      <c r="G783" s="38"/>
      <c r="H783" s="38"/>
      <c r="I783" s="38"/>
      <c r="J783" s="38"/>
      <c r="K783" s="38"/>
    </row>
    <row r="784" ht="14.4" spans="2:11">
      <c r="B784" s="38"/>
      <c r="C784" s="38"/>
      <c r="D784" s="38"/>
      <c r="E784" s="38"/>
      <c r="F784" s="38"/>
      <c r="G784" s="38"/>
      <c r="H784" s="38"/>
      <c r="I784" s="38"/>
      <c r="J784" s="38"/>
      <c r="K784" s="38"/>
    </row>
    <row r="785" ht="14.4" spans="2:11">
      <c r="B785" s="38"/>
      <c r="C785" s="38"/>
      <c r="D785" s="38"/>
      <c r="E785" s="38"/>
      <c r="F785" s="38"/>
      <c r="G785" s="38"/>
      <c r="H785" s="38"/>
      <c r="I785" s="38"/>
      <c r="J785" s="38"/>
      <c r="K785" s="38"/>
    </row>
    <row r="786" ht="14.4" spans="2:11">
      <c r="B786" s="38"/>
      <c r="C786" s="38"/>
      <c r="D786" s="38"/>
      <c r="E786" s="38"/>
      <c r="F786" s="38"/>
      <c r="G786" s="38"/>
      <c r="H786" s="38"/>
      <c r="I786" s="38"/>
      <c r="J786" s="38"/>
      <c r="K786" s="38"/>
    </row>
    <row r="787" ht="14.4" spans="2:11">
      <c r="B787" s="38"/>
      <c r="C787" s="38"/>
      <c r="D787" s="38"/>
      <c r="E787" s="38"/>
      <c r="F787" s="38"/>
      <c r="G787" s="38"/>
      <c r="H787" s="38"/>
      <c r="I787" s="38"/>
      <c r="J787" s="38"/>
      <c r="K787" s="38"/>
    </row>
    <row r="788" ht="14.4" spans="2:11">
      <c r="B788" s="38"/>
      <c r="C788" s="38"/>
      <c r="D788" s="38"/>
      <c r="E788" s="38"/>
      <c r="F788" s="38"/>
      <c r="G788" s="38"/>
      <c r="H788" s="38"/>
      <c r="I788" s="38"/>
      <c r="J788" s="38"/>
      <c r="K788" s="38"/>
    </row>
    <row r="789" ht="14.4" spans="2:11">
      <c r="B789" s="38"/>
      <c r="C789" s="38"/>
      <c r="D789" s="38"/>
      <c r="E789" s="38"/>
      <c r="F789" s="38"/>
      <c r="G789" s="38"/>
      <c r="H789" s="38"/>
      <c r="I789" s="38"/>
      <c r="J789" s="38"/>
      <c r="K789" s="38"/>
    </row>
    <row r="790" ht="14.4" spans="2:11">
      <c r="B790" s="38"/>
      <c r="C790" s="38"/>
      <c r="D790" s="38"/>
      <c r="E790" s="38"/>
      <c r="F790" s="38"/>
      <c r="G790" s="38"/>
      <c r="H790" s="38"/>
      <c r="I790" s="38"/>
      <c r="J790" s="38"/>
      <c r="K790" s="38"/>
    </row>
    <row r="791" ht="14.4" spans="2:11">
      <c r="B791" s="38"/>
      <c r="C791" s="38"/>
      <c r="D791" s="38"/>
      <c r="E791" s="38"/>
      <c r="F791" s="38"/>
      <c r="G791" s="38"/>
      <c r="H791" s="38"/>
      <c r="I791" s="38"/>
      <c r="J791" s="38"/>
      <c r="K791" s="38"/>
    </row>
    <row r="792" ht="14.4" spans="2:11">
      <c r="B792" s="38"/>
      <c r="C792" s="38"/>
      <c r="D792" s="38"/>
      <c r="E792" s="38"/>
      <c r="F792" s="38"/>
      <c r="G792" s="38"/>
      <c r="H792" s="38"/>
      <c r="I792" s="38"/>
      <c r="J792" s="38"/>
      <c r="K792" s="38"/>
    </row>
    <row r="793" ht="14.4" spans="2:11">
      <c r="B793" s="38"/>
      <c r="C793" s="38"/>
      <c r="D793" s="38"/>
      <c r="E793" s="38"/>
      <c r="F793" s="38"/>
      <c r="G793" s="38"/>
      <c r="H793" s="38"/>
      <c r="I793" s="38"/>
      <c r="J793" s="38"/>
      <c r="K793" s="38"/>
    </row>
    <row r="794" ht="14.4" spans="2:11">
      <c r="B794" s="38"/>
      <c r="C794" s="38"/>
      <c r="D794" s="38"/>
      <c r="E794" s="38"/>
      <c r="F794" s="38"/>
      <c r="G794" s="38"/>
      <c r="H794" s="38"/>
      <c r="I794" s="38"/>
      <c r="J794" s="38"/>
      <c r="K794" s="38"/>
    </row>
    <row r="795" ht="14.4" spans="2:11">
      <c r="B795" s="38"/>
      <c r="C795" s="38"/>
      <c r="D795" s="38"/>
      <c r="E795" s="38"/>
      <c r="F795" s="38"/>
      <c r="G795" s="38"/>
      <c r="H795" s="38"/>
      <c r="I795" s="38"/>
      <c r="J795" s="38"/>
      <c r="K795" s="38"/>
    </row>
    <row r="796" ht="14.4" spans="2:11">
      <c r="B796" s="38"/>
      <c r="C796" s="38"/>
      <c r="D796" s="38"/>
      <c r="E796" s="38"/>
      <c r="F796" s="38"/>
      <c r="G796" s="38"/>
      <c r="H796" s="38"/>
      <c r="I796" s="38"/>
      <c r="J796" s="38"/>
      <c r="K796" s="38"/>
    </row>
    <row r="797" ht="14.4" spans="2:11">
      <c r="B797" s="38"/>
      <c r="C797" s="38"/>
      <c r="D797" s="38"/>
      <c r="E797" s="38"/>
      <c r="F797" s="38"/>
      <c r="G797" s="38"/>
      <c r="H797" s="38"/>
      <c r="I797" s="38"/>
      <c r="J797" s="38"/>
      <c r="K797" s="38"/>
    </row>
    <row r="798" ht="14.4" spans="2:11">
      <c r="B798" s="38"/>
      <c r="C798" s="38"/>
      <c r="D798" s="38"/>
      <c r="E798" s="38"/>
      <c r="F798" s="38"/>
      <c r="G798" s="38"/>
      <c r="H798" s="38"/>
      <c r="I798" s="38"/>
      <c r="J798" s="38"/>
      <c r="K798" s="38"/>
    </row>
    <row r="799" ht="14.4" spans="2:11">
      <c r="B799" s="38"/>
      <c r="C799" s="38"/>
      <c r="D799" s="38"/>
      <c r="E799" s="38"/>
      <c r="F799" s="38"/>
      <c r="G799" s="38"/>
      <c r="H799" s="38"/>
      <c r="I799" s="38"/>
      <c r="J799" s="38"/>
      <c r="K799" s="38"/>
    </row>
    <row r="800" ht="14.4" spans="2:11">
      <c r="B800" s="38"/>
      <c r="C800" s="38"/>
      <c r="D800" s="38"/>
      <c r="E800" s="38"/>
      <c r="F800" s="38"/>
      <c r="G800" s="38"/>
      <c r="H800" s="38"/>
      <c r="I800" s="38"/>
      <c r="J800" s="38"/>
      <c r="K800" s="38"/>
    </row>
    <row r="801" ht="14.4" spans="2:11">
      <c r="B801" s="38"/>
      <c r="C801" s="38"/>
      <c r="D801" s="38"/>
      <c r="E801" s="38"/>
      <c r="F801" s="38"/>
      <c r="G801" s="38"/>
      <c r="H801" s="38"/>
      <c r="I801" s="38"/>
      <c r="J801" s="38"/>
      <c r="K801" s="38"/>
    </row>
    <row r="802" ht="14.4" spans="2:11">
      <c r="B802" s="38"/>
      <c r="C802" s="38"/>
      <c r="D802" s="38"/>
      <c r="E802" s="38"/>
      <c r="F802" s="38"/>
      <c r="G802" s="38"/>
      <c r="H802" s="38"/>
      <c r="I802" s="38"/>
      <c r="J802" s="38"/>
      <c r="K802" s="38"/>
    </row>
    <row r="803" ht="14.4" spans="2:11">
      <c r="B803" s="38"/>
      <c r="C803" s="38"/>
      <c r="D803" s="38"/>
      <c r="E803" s="38"/>
      <c r="F803" s="38"/>
      <c r="G803" s="38"/>
      <c r="H803" s="38"/>
      <c r="I803" s="38"/>
      <c r="J803" s="38"/>
      <c r="K803" s="38"/>
    </row>
    <row r="804" ht="14.4" spans="2:11">
      <c r="B804" s="38"/>
      <c r="C804" s="38"/>
      <c r="D804" s="38"/>
      <c r="E804" s="38"/>
      <c r="F804" s="38"/>
      <c r="G804" s="38"/>
      <c r="H804" s="38"/>
      <c r="I804" s="38"/>
      <c r="J804" s="38"/>
      <c r="K804" s="38"/>
    </row>
    <row r="805" ht="14.4" spans="2:11">
      <c r="B805" s="38"/>
      <c r="C805" s="38"/>
      <c r="D805" s="38"/>
      <c r="E805" s="38"/>
      <c r="F805" s="38"/>
      <c r="G805" s="38"/>
      <c r="H805" s="38"/>
      <c r="I805" s="38"/>
      <c r="J805" s="38"/>
      <c r="K805" s="38"/>
    </row>
    <row r="806" ht="14.4" spans="2:11">
      <c r="B806" s="38"/>
      <c r="C806" s="38"/>
      <c r="D806" s="38"/>
      <c r="E806" s="38"/>
      <c r="F806" s="38"/>
      <c r="G806" s="38"/>
      <c r="H806" s="38"/>
      <c r="I806" s="38"/>
      <c r="J806" s="38"/>
      <c r="K806" s="38"/>
    </row>
    <row r="807" ht="14.4" spans="2:11">
      <c r="B807" s="38"/>
      <c r="C807" s="38"/>
      <c r="D807" s="38"/>
      <c r="E807" s="38"/>
      <c r="F807" s="38"/>
      <c r="G807" s="38"/>
      <c r="H807" s="38"/>
      <c r="I807" s="38"/>
      <c r="J807" s="38"/>
      <c r="K807" s="38"/>
    </row>
    <row r="808" ht="14.4" spans="2:11">
      <c r="B808" s="38"/>
      <c r="C808" s="38"/>
      <c r="D808" s="38"/>
      <c r="E808" s="38"/>
      <c r="F808" s="38"/>
      <c r="G808" s="38"/>
      <c r="H808" s="38"/>
      <c r="I808" s="38"/>
      <c r="J808" s="38"/>
      <c r="K808" s="38"/>
    </row>
    <row r="809" ht="14.4" spans="2:11">
      <c r="B809" s="38"/>
      <c r="C809" s="38"/>
      <c r="D809" s="38"/>
      <c r="E809" s="38"/>
      <c r="F809" s="38"/>
      <c r="G809" s="38"/>
      <c r="H809" s="38"/>
      <c r="I809" s="38"/>
      <c r="J809" s="38"/>
      <c r="K809" s="38"/>
    </row>
    <row r="810" ht="14.4" spans="2:11">
      <c r="B810" s="38"/>
      <c r="C810" s="38"/>
      <c r="D810" s="38"/>
      <c r="E810" s="38"/>
      <c r="F810" s="38"/>
      <c r="G810" s="38"/>
      <c r="H810" s="38"/>
      <c r="I810" s="38"/>
      <c r="J810" s="38"/>
      <c r="K810" s="38"/>
    </row>
    <row r="811" ht="14.4" spans="2:11">
      <c r="B811" s="38"/>
      <c r="C811" s="38"/>
      <c r="D811" s="38"/>
      <c r="E811" s="38"/>
      <c r="F811" s="38"/>
      <c r="G811" s="38"/>
      <c r="H811" s="38"/>
      <c r="I811" s="38"/>
      <c r="J811" s="38"/>
      <c r="K811" s="38"/>
    </row>
    <row r="812" ht="14.4" spans="2:11">
      <c r="B812" s="38"/>
      <c r="C812" s="38"/>
      <c r="D812" s="38"/>
      <c r="E812" s="38"/>
      <c r="F812" s="38"/>
      <c r="G812" s="38"/>
      <c r="H812" s="38"/>
      <c r="I812" s="38"/>
      <c r="J812" s="38"/>
      <c r="K812" s="38"/>
    </row>
    <row r="813" ht="14.4" spans="2:11">
      <c r="B813" s="38"/>
      <c r="C813" s="38"/>
      <c r="D813" s="38"/>
      <c r="E813" s="38"/>
      <c r="F813" s="38"/>
      <c r="G813" s="38"/>
      <c r="H813" s="38"/>
      <c r="I813" s="38"/>
      <c r="J813" s="38"/>
      <c r="K813" s="38"/>
    </row>
    <row r="814" ht="14.4" spans="2:11">
      <c r="B814" s="38"/>
      <c r="C814" s="38"/>
      <c r="D814" s="38"/>
      <c r="E814" s="38"/>
      <c r="F814" s="38"/>
      <c r="G814" s="38"/>
      <c r="H814" s="38"/>
      <c r="I814" s="38"/>
      <c r="J814" s="38"/>
      <c r="K814" s="38"/>
    </row>
    <row r="815" ht="14.4" spans="2:11">
      <c r="B815" s="38"/>
      <c r="C815" s="38"/>
      <c r="D815" s="38"/>
      <c r="E815" s="38"/>
      <c r="F815" s="38"/>
      <c r="G815" s="38"/>
      <c r="H815" s="38"/>
      <c r="I815" s="38"/>
      <c r="J815" s="38"/>
      <c r="K815" s="38"/>
    </row>
    <row r="816" ht="14.4" spans="2:11">
      <c r="B816" s="38"/>
      <c r="C816" s="38"/>
      <c r="D816" s="38"/>
      <c r="E816" s="38"/>
      <c r="F816" s="38"/>
      <c r="G816" s="38"/>
      <c r="H816" s="38"/>
      <c r="I816" s="38"/>
      <c r="J816" s="38"/>
      <c r="K816" s="38"/>
    </row>
    <row r="817" ht="14.4" spans="2:11">
      <c r="B817" s="38"/>
      <c r="C817" s="38"/>
      <c r="D817" s="38"/>
      <c r="E817" s="38"/>
      <c r="F817" s="38"/>
      <c r="G817" s="38"/>
      <c r="H817" s="38"/>
      <c r="I817" s="38"/>
      <c r="J817" s="38"/>
      <c r="K817" s="38"/>
    </row>
    <row r="818" ht="14.4" spans="2:11">
      <c r="B818" s="38"/>
      <c r="C818" s="38"/>
      <c r="D818" s="38"/>
      <c r="E818" s="38"/>
      <c r="F818" s="38"/>
      <c r="G818" s="38"/>
      <c r="H818" s="38"/>
      <c r="I818" s="38"/>
      <c r="J818" s="38"/>
      <c r="K818" s="38"/>
    </row>
    <row r="819" ht="14.4" spans="2:11">
      <c r="B819" s="38"/>
      <c r="C819" s="38"/>
      <c r="D819" s="38"/>
      <c r="E819" s="38"/>
      <c r="F819" s="38"/>
      <c r="G819" s="38"/>
      <c r="H819" s="38"/>
      <c r="I819" s="38"/>
      <c r="J819" s="38"/>
      <c r="K819" s="38"/>
    </row>
    <row r="820" ht="14.4" spans="2:11">
      <c r="B820" s="38"/>
      <c r="C820" s="38"/>
      <c r="D820" s="38"/>
      <c r="E820" s="38"/>
      <c r="F820" s="38"/>
      <c r="G820" s="38"/>
      <c r="H820" s="38"/>
      <c r="I820" s="38"/>
      <c r="J820" s="38"/>
      <c r="K820" s="38"/>
    </row>
    <row r="821" ht="14.4" spans="2:11">
      <c r="B821" s="38"/>
      <c r="C821" s="38"/>
      <c r="D821" s="38"/>
      <c r="E821" s="38"/>
      <c r="F821" s="38"/>
      <c r="G821" s="38"/>
      <c r="H821" s="38"/>
      <c r="I821" s="38"/>
      <c r="J821" s="38"/>
      <c r="K821" s="38"/>
    </row>
    <row r="822" ht="14.4" spans="2:11">
      <c r="B822" s="38"/>
      <c r="C822" s="38"/>
      <c r="D822" s="38"/>
      <c r="E822" s="38"/>
      <c r="F822" s="38"/>
      <c r="G822" s="38"/>
      <c r="H822" s="38"/>
      <c r="I822" s="38"/>
      <c r="J822" s="38"/>
      <c r="K822" s="38"/>
    </row>
    <row r="823" ht="14.4" spans="2:11">
      <c r="B823" s="38"/>
      <c r="C823" s="38"/>
      <c r="D823" s="38"/>
      <c r="E823" s="38"/>
      <c r="F823" s="38"/>
      <c r="G823" s="38"/>
      <c r="H823" s="38"/>
      <c r="I823" s="38"/>
      <c r="J823" s="38"/>
      <c r="K823" s="38"/>
    </row>
    <row r="824" ht="14.4" spans="2:11">
      <c r="B824" s="38"/>
      <c r="C824" s="38"/>
      <c r="D824" s="38"/>
      <c r="E824" s="38"/>
      <c r="F824" s="38"/>
      <c r="G824" s="38"/>
      <c r="H824" s="38"/>
      <c r="I824" s="38"/>
      <c r="J824" s="38"/>
      <c r="K824" s="38"/>
    </row>
    <row r="825" ht="14.4" spans="2:11">
      <c r="B825" s="38"/>
      <c r="C825" s="38"/>
      <c r="D825" s="38"/>
      <c r="E825" s="38"/>
      <c r="F825" s="38"/>
      <c r="G825" s="38"/>
      <c r="H825" s="38"/>
      <c r="I825" s="38"/>
      <c r="J825" s="38"/>
      <c r="K825" s="38"/>
    </row>
    <row r="826" ht="14.4" spans="2:11">
      <c r="B826" s="38"/>
      <c r="C826" s="38"/>
      <c r="D826" s="38"/>
      <c r="E826" s="38"/>
      <c r="F826" s="38"/>
      <c r="G826" s="38"/>
      <c r="H826" s="38"/>
      <c r="I826" s="38"/>
      <c r="J826" s="38"/>
      <c r="K826" s="38"/>
    </row>
    <row r="827" ht="14.4" spans="2:11">
      <c r="B827" s="38"/>
      <c r="C827" s="38"/>
      <c r="D827" s="38"/>
      <c r="E827" s="38"/>
      <c r="F827" s="38"/>
      <c r="G827" s="38"/>
      <c r="H827" s="38"/>
      <c r="I827" s="38"/>
      <c r="J827" s="38"/>
      <c r="K827" s="38"/>
    </row>
    <row r="828" ht="14.4" spans="2:11">
      <c r="B828" s="38"/>
      <c r="C828" s="38"/>
      <c r="D828" s="38"/>
      <c r="E828" s="38"/>
      <c r="F828" s="38"/>
      <c r="G828" s="38"/>
      <c r="H828" s="38"/>
      <c r="I828" s="38"/>
      <c r="J828" s="38"/>
      <c r="K828" s="38"/>
    </row>
    <row r="829" ht="14.4" spans="2:11">
      <c r="B829" s="38"/>
      <c r="C829" s="38"/>
      <c r="D829" s="38"/>
      <c r="E829" s="38"/>
      <c r="F829" s="38"/>
      <c r="G829" s="38"/>
      <c r="H829" s="38"/>
      <c r="I829" s="38"/>
      <c r="J829" s="38"/>
      <c r="K829" s="38"/>
    </row>
    <row r="830" ht="14.4" spans="2:11">
      <c r="B830" s="38"/>
      <c r="C830" s="38"/>
      <c r="D830" s="38"/>
      <c r="E830" s="38"/>
      <c r="F830" s="38"/>
      <c r="G830" s="38"/>
      <c r="H830" s="38"/>
      <c r="I830" s="38"/>
      <c r="J830" s="38"/>
      <c r="K830" s="38"/>
    </row>
    <row r="831" ht="14.4" spans="2:11">
      <c r="B831" s="38"/>
      <c r="C831" s="38"/>
      <c r="D831" s="38"/>
      <c r="E831" s="38"/>
      <c r="F831" s="38"/>
      <c r="G831" s="38"/>
      <c r="H831" s="38"/>
      <c r="I831" s="38"/>
      <c r="J831" s="38"/>
      <c r="K831" s="38"/>
    </row>
    <row r="832" ht="14.4" spans="2:11">
      <c r="B832" s="38"/>
      <c r="C832" s="38"/>
      <c r="D832" s="38"/>
      <c r="E832" s="38"/>
      <c r="F832" s="38"/>
      <c r="G832" s="38"/>
      <c r="H832" s="38"/>
      <c r="I832" s="38"/>
      <c r="J832" s="38"/>
      <c r="K832" s="38"/>
    </row>
    <row r="833" ht="14.4" spans="2:11">
      <c r="B833" s="38"/>
      <c r="C833" s="38"/>
      <c r="D833" s="38"/>
      <c r="E833" s="38"/>
      <c r="F833" s="38"/>
      <c r="G833" s="38"/>
      <c r="H833" s="38"/>
      <c r="I833" s="38"/>
      <c r="J833" s="38"/>
      <c r="K833" s="38"/>
    </row>
    <row r="834" ht="14.4" spans="2:11">
      <c r="B834" s="38"/>
      <c r="C834" s="38"/>
      <c r="D834" s="38"/>
      <c r="E834" s="38"/>
      <c r="F834" s="38"/>
      <c r="G834" s="38"/>
      <c r="H834" s="38"/>
      <c r="I834" s="38"/>
      <c r="J834" s="38"/>
      <c r="K834" s="38"/>
    </row>
    <row r="835" ht="14.4" spans="2:11">
      <c r="B835" s="38"/>
      <c r="C835" s="38"/>
      <c r="D835" s="38"/>
      <c r="E835" s="38"/>
      <c r="F835" s="38"/>
      <c r="G835" s="38"/>
      <c r="H835" s="38"/>
      <c r="I835" s="38"/>
      <c r="J835" s="38"/>
      <c r="K835" s="38"/>
    </row>
    <row r="836" ht="14.4" spans="2:11">
      <c r="B836" s="38"/>
      <c r="C836" s="38"/>
      <c r="D836" s="38"/>
      <c r="E836" s="38"/>
      <c r="F836" s="38"/>
      <c r="G836" s="38"/>
      <c r="H836" s="38"/>
      <c r="I836" s="38"/>
      <c r="J836" s="38"/>
      <c r="K836" s="38"/>
    </row>
    <row r="837" ht="14.4" spans="2:11">
      <c r="B837" s="38"/>
      <c r="C837" s="38"/>
      <c r="D837" s="38"/>
      <c r="E837" s="38"/>
      <c r="F837" s="38"/>
      <c r="G837" s="38"/>
      <c r="H837" s="38"/>
      <c r="I837" s="38"/>
      <c r="J837" s="38"/>
      <c r="K837" s="38"/>
    </row>
    <row r="838" ht="14.4" spans="2:11">
      <c r="B838" s="38"/>
      <c r="C838" s="38"/>
      <c r="D838" s="38"/>
      <c r="E838" s="38"/>
      <c r="F838" s="38"/>
      <c r="G838" s="38"/>
      <c r="H838" s="38"/>
      <c r="I838" s="38"/>
      <c r="J838" s="38"/>
      <c r="K838" s="38"/>
    </row>
    <row r="839" ht="14.4" spans="2:11">
      <c r="B839" s="38"/>
      <c r="C839" s="38"/>
      <c r="D839" s="38"/>
      <c r="E839" s="38"/>
      <c r="F839" s="38"/>
      <c r="G839" s="38"/>
      <c r="H839" s="38"/>
      <c r="I839" s="38"/>
      <c r="J839" s="38"/>
      <c r="K839" s="38"/>
    </row>
    <row r="840" ht="14.4" spans="2:11">
      <c r="B840" s="38"/>
      <c r="C840" s="38"/>
      <c r="D840" s="38"/>
      <c r="E840" s="38"/>
      <c r="F840" s="38"/>
      <c r="G840" s="38"/>
      <c r="H840" s="38"/>
      <c r="I840" s="38"/>
      <c r="J840" s="38"/>
      <c r="K840" s="38"/>
    </row>
    <row r="841" ht="14.4" spans="2:11">
      <c r="B841" s="38"/>
      <c r="C841" s="38"/>
      <c r="D841" s="38"/>
      <c r="E841" s="38"/>
      <c r="F841" s="38"/>
      <c r="G841" s="38"/>
      <c r="H841" s="38"/>
      <c r="I841" s="38"/>
      <c r="J841" s="38"/>
      <c r="K841" s="38"/>
    </row>
    <row r="842" ht="14.4" spans="2:11">
      <c r="B842" s="38"/>
      <c r="C842" s="38"/>
      <c r="D842" s="38"/>
      <c r="E842" s="38"/>
      <c r="F842" s="38"/>
      <c r="G842" s="38"/>
      <c r="H842" s="38"/>
      <c r="I842" s="38"/>
      <c r="J842" s="38"/>
      <c r="K842" s="38"/>
    </row>
    <row r="843" ht="14.4" spans="2:11">
      <c r="B843" s="38"/>
      <c r="C843" s="38"/>
      <c r="D843" s="38"/>
      <c r="E843" s="38"/>
      <c r="F843" s="38"/>
      <c r="G843" s="38"/>
      <c r="H843" s="38"/>
      <c r="I843" s="38"/>
      <c r="J843" s="38"/>
      <c r="K843" s="38"/>
    </row>
    <row r="844" ht="14.4" spans="2:11">
      <c r="B844" s="38"/>
      <c r="C844" s="38"/>
      <c r="D844" s="38"/>
      <c r="E844" s="38"/>
      <c r="F844" s="38"/>
      <c r="G844" s="38"/>
      <c r="H844" s="38"/>
      <c r="I844" s="38"/>
      <c r="J844" s="38"/>
      <c r="K844" s="38"/>
    </row>
    <row r="845" ht="14.4" spans="2:11">
      <c r="B845" s="38"/>
      <c r="C845" s="38"/>
      <c r="D845" s="38"/>
      <c r="E845" s="38"/>
      <c r="F845" s="38"/>
      <c r="G845" s="38"/>
      <c r="H845" s="38"/>
      <c r="I845" s="38"/>
      <c r="J845" s="38"/>
      <c r="K845" s="38"/>
    </row>
    <row r="846" ht="14.4" spans="2:11">
      <c r="B846" s="38"/>
      <c r="C846" s="38"/>
      <c r="D846" s="38"/>
      <c r="E846" s="38"/>
      <c r="F846" s="38"/>
      <c r="G846" s="38"/>
      <c r="H846" s="38"/>
      <c r="I846" s="38"/>
      <c r="J846" s="38"/>
      <c r="K846" s="38"/>
    </row>
    <row r="847" ht="14.4" spans="2:11">
      <c r="B847" s="38"/>
      <c r="C847" s="38"/>
      <c r="D847" s="38"/>
      <c r="E847" s="38"/>
      <c r="F847" s="38"/>
      <c r="G847" s="38"/>
      <c r="H847" s="38"/>
      <c r="I847" s="38"/>
      <c r="J847" s="38"/>
      <c r="K847" s="38"/>
    </row>
    <row r="848" ht="14.4" spans="2:11">
      <c r="B848" s="38"/>
      <c r="C848" s="38"/>
      <c r="D848" s="38"/>
      <c r="E848" s="38"/>
      <c r="F848" s="38"/>
      <c r="G848" s="38"/>
      <c r="H848" s="38"/>
      <c r="I848" s="38"/>
      <c r="J848" s="38"/>
      <c r="K848" s="38"/>
    </row>
    <row r="849" ht="14.4" spans="2:11">
      <c r="B849" s="38"/>
      <c r="C849" s="38"/>
      <c r="D849" s="38"/>
      <c r="E849" s="38"/>
      <c r="F849" s="38"/>
      <c r="G849" s="38"/>
      <c r="H849" s="38"/>
      <c r="I849" s="38"/>
      <c r="J849" s="38"/>
      <c r="K849" s="38"/>
    </row>
    <row r="850" ht="14.4" spans="2:11">
      <c r="B850" s="38"/>
      <c r="C850" s="38"/>
      <c r="D850" s="38"/>
      <c r="E850" s="38"/>
      <c r="F850" s="38"/>
      <c r="G850" s="38"/>
      <c r="H850" s="38"/>
      <c r="I850" s="38"/>
      <c r="J850" s="38"/>
      <c r="K850" s="38"/>
    </row>
    <row r="851" ht="14.4" spans="2:11">
      <c r="B851" s="38"/>
      <c r="C851" s="38"/>
      <c r="D851" s="38"/>
      <c r="E851" s="38"/>
      <c r="F851" s="38"/>
      <c r="G851" s="38"/>
      <c r="H851" s="38"/>
      <c r="I851" s="38"/>
      <c r="J851" s="38"/>
      <c r="K851" s="38"/>
    </row>
    <row r="852" ht="14.4" spans="2:11">
      <c r="B852" s="38"/>
      <c r="C852" s="38"/>
      <c r="D852" s="38"/>
      <c r="E852" s="38"/>
      <c r="F852" s="38"/>
      <c r="G852" s="38"/>
      <c r="H852" s="38"/>
      <c r="I852" s="38"/>
      <c r="J852" s="38"/>
      <c r="K852" s="38"/>
    </row>
    <row r="853" ht="14.4" spans="2:11">
      <c r="B853" s="38"/>
      <c r="C853" s="38"/>
      <c r="D853" s="38"/>
      <c r="E853" s="38"/>
      <c r="F853" s="38"/>
      <c r="G853" s="38"/>
      <c r="H853" s="38"/>
      <c r="I853" s="38"/>
      <c r="J853" s="38"/>
      <c r="K853" s="38"/>
    </row>
    <row r="854" ht="14.4" spans="2:11">
      <c r="B854" s="38"/>
      <c r="C854" s="38"/>
      <c r="D854" s="38"/>
      <c r="E854" s="38"/>
      <c r="F854" s="38"/>
      <c r="G854" s="38"/>
      <c r="H854" s="38"/>
      <c r="I854" s="38"/>
      <c r="J854" s="38"/>
      <c r="K854" s="38"/>
    </row>
    <row r="855" ht="14.4" spans="2:11">
      <c r="B855" s="38"/>
      <c r="C855" s="38"/>
      <c r="D855" s="38"/>
      <c r="E855" s="38"/>
      <c r="F855" s="38"/>
      <c r="G855" s="38"/>
      <c r="H855" s="38"/>
      <c r="I855" s="38"/>
      <c r="J855" s="38"/>
      <c r="K855" s="38"/>
    </row>
    <row r="856" ht="14.4" spans="2:11">
      <c r="B856" s="38"/>
      <c r="C856" s="38"/>
      <c r="D856" s="38"/>
      <c r="E856" s="38"/>
      <c r="F856" s="38"/>
      <c r="G856" s="38"/>
      <c r="H856" s="38"/>
      <c r="I856" s="38"/>
      <c r="J856" s="38"/>
      <c r="K856" s="38"/>
    </row>
    <row r="857" ht="14.4" spans="2:11">
      <c r="B857" s="38"/>
      <c r="C857" s="38"/>
      <c r="D857" s="38"/>
      <c r="E857" s="38"/>
      <c r="F857" s="38"/>
      <c r="G857" s="38"/>
      <c r="H857" s="38"/>
      <c r="I857" s="38"/>
      <c r="J857" s="38"/>
      <c r="K857" s="38"/>
    </row>
    <row r="858" ht="14.4" spans="2:11">
      <c r="B858" s="38"/>
      <c r="C858" s="38"/>
      <c r="D858" s="38"/>
      <c r="E858" s="38"/>
      <c r="F858" s="38"/>
      <c r="G858" s="38"/>
      <c r="H858" s="38"/>
      <c r="I858" s="38"/>
      <c r="J858" s="38"/>
      <c r="K858" s="38"/>
    </row>
    <row r="859" ht="14.4" spans="2:11">
      <c r="B859" s="38"/>
      <c r="C859" s="38"/>
      <c r="D859" s="38"/>
      <c r="E859" s="38"/>
      <c r="F859" s="38"/>
      <c r="G859" s="38"/>
      <c r="H859" s="38"/>
      <c r="I859" s="38"/>
      <c r="J859" s="38"/>
      <c r="K859" s="38"/>
    </row>
    <row r="860" ht="14.4" spans="2:11">
      <c r="B860" s="38"/>
      <c r="C860" s="38"/>
      <c r="D860" s="38"/>
      <c r="E860" s="38"/>
      <c r="F860" s="38"/>
      <c r="G860" s="38"/>
      <c r="H860" s="38"/>
      <c r="I860" s="38"/>
      <c r="J860" s="38"/>
      <c r="K860" s="38"/>
    </row>
    <row r="861" ht="14.4" spans="2:11">
      <c r="B861" s="38"/>
      <c r="C861" s="38"/>
      <c r="D861" s="38"/>
      <c r="E861" s="38"/>
      <c r="F861" s="38"/>
      <c r="G861" s="38"/>
      <c r="H861" s="38"/>
      <c r="I861" s="38"/>
      <c r="J861" s="38"/>
      <c r="K861" s="38"/>
    </row>
    <row r="862" ht="14.4" spans="2:11">
      <c r="B862" s="38"/>
      <c r="C862" s="38"/>
      <c r="D862" s="38"/>
      <c r="E862" s="38"/>
      <c r="F862" s="38"/>
      <c r="G862" s="38"/>
      <c r="H862" s="38"/>
      <c r="I862" s="38"/>
      <c r="J862" s="38"/>
      <c r="K862" s="38"/>
    </row>
    <row r="863" ht="14.4" spans="2:11">
      <c r="B863" s="38"/>
      <c r="C863" s="38"/>
      <c r="D863" s="38"/>
      <c r="E863" s="38"/>
      <c r="F863" s="38"/>
      <c r="G863" s="38"/>
      <c r="H863" s="38"/>
      <c r="I863" s="38"/>
      <c r="J863" s="38"/>
      <c r="K863" s="38"/>
    </row>
    <row r="864" ht="14.4" spans="2:11">
      <c r="B864" s="38"/>
      <c r="C864" s="38"/>
      <c r="D864" s="38"/>
      <c r="E864" s="38"/>
      <c r="F864" s="38"/>
      <c r="G864" s="38"/>
      <c r="H864" s="38"/>
      <c r="I864" s="38"/>
      <c r="J864" s="38"/>
      <c r="K864" s="38"/>
    </row>
    <row r="865" ht="14.4" spans="2:11">
      <c r="B865" s="38"/>
      <c r="C865" s="38"/>
      <c r="D865" s="38"/>
      <c r="E865" s="38"/>
      <c r="F865" s="38"/>
      <c r="G865" s="38"/>
      <c r="H865" s="38"/>
      <c r="I865" s="38"/>
      <c r="J865" s="38"/>
      <c r="K865" s="38"/>
    </row>
    <row r="866" ht="14.4" spans="2:11">
      <c r="B866" s="38"/>
      <c r="C866" s="38"/>
      <c r="D866" s="38"/>
      <c r="E866" s="38"/>
      <c r="F866" s="38"/>
      <c r="G866" s="38"/>
      <c r="H866" s="38"/>
      <c r="I866" s="38"/>
      <c r="J866" s="38"/>
      <c r="K866" s="38"/>
    </row>
    <row r="867" ht="14.4" spans="2:11">
      <c r="B867" s="38"/>
      <c r="C867" s="38"/>
      <c r="D867" s="38"/>
      <c r="E867" s="38"/>
      <c r="F867" s="38"/>
      <c r="G867" s="38"/>
      <c r="H867" s="38"/>
      <c r="I867" s="38"/>
      <c r="J867" s="38"/>
      <c r="K867" s="38"/>
    </row>
    <row r="868" ht="14.4" spans="2:11">
      <c r="B868" s="38"/>
      <c r="C868" s="38"/>
      <c r="D868" s="38"/>
      <c r="E868" s="38"/>
      <c r="F868" s="38"/>
      <c r="G868" s="38"/>
      <c r="H868" s="38"/>
      <c r="I868" s="38"/>
      <c r="J868" s="38"/>
      <c r="K868" s="38"/>
    </row>
    <row r="869" ht="14.4" spans="2:11">
      <c r="B869" s="38"/>
      <c r="C869" s="38"/>
      <c r="D869" s="38"/>
      <c r="E869" s="38"/>
      <c r="F869" s="38"/>
      <c r="G869" s="38"/>
      <c r="H869" s="38"/>
      <c r="I869" s="38"/>
      <c r="J869" s="38"/>
      <c r="K869" s="38"/>
    </row>
    <row r="870" ht="14.4" spans="2:11">
      <c r="B870" s="38"/>
      <c r="C870" s="38"/>
      <c r="D870" s="38"/>
      <c r="E870" s="38"/>
      <c r="F870" s="38"/>
      <c r="G870" s="38"/>
      <c r="H870" s="38"/>
      <c r="I870" s="38"/>
      <c r="J870" s="38"/>
      <c r="K870" s="38"/>
    </row>
    <row r="871" ht="14.4" spans="2:11">
      <c r="B871" s="38"/>
      <c r="C871" s="38"/>
      <c r="D871" s="38"/>
      <c r="E871" s="38"/>
      <c r="F871" s="38"/>
      <c r="G871" s="38"/>
      <c r="H871" s="38"/>
      <c r="I871" s="38"/>
      <c r="J871" s="38"/>
      <c r="K871" s="38"/>
    </row>
    <row r="872" ht="14.4" spans="2:11">
      <c r="B872" s="38"/>
      <c r="C872" s="38"/>
      <c r="D872" s="38"/>
      <c r="E872" s="38"/>
      <c r="F872" s="38"/>
      <c r="G872" s="38"/>
      <c r="H872" s="38"/>
      <c r="I872" s="38"/>
      <c r="J872" s="38"/>
      <c r="K872" s="38"/>
    </row>
    <row r="873" ht="14.4" spans="2:11">
      <c r="B873" s="38"/>
      <c r="C873" s="38"/>
      <c r="D873" s="38"/>
      <c r="E873" s="38"/>
      <c r="F873" s="38"/>
      <c r="G873" s="38"/>
      <c r="H873" s="38"/>
      <c r="I873" s="38"/>
      <c r="J873" s="38"/>
      <c r="K873" s="38"/>
    </row>
    <row r="874" ht="14.4" spans="2:11">
      <c r="B874" s="38"/>
      <c r="C874" s="38"/>
      <c r="D874" s="38"/>
      <c r="E874" s="38"/>
      <c r="F874" s="38"/>
      <c r="G874" s="38"/>
      <c r="H874" s="38"/>
      <c r="I874" s="38"/>
      <c r="J874" s="38"/>
      <c r="K874" s="38"/>
    </row>
    <row r="875" ht="14.4" spans="2:11">
      <c r="B875" s="38"/>
      <c r="C875" s="38"/>
      <c r="D875" s="38"/>
      <c r="E875" s="38"/>
      <c r="F875" s="38"/>
      <c r="G875" s="38"/>
      <c r="H875" s="38"/>
      <c r="I875" s="38"/>
      <c r="J875" s="38"/>
      <c r="K875" s="38"/>
    </row>
    <row r="876" ht="14.4" spans="2:11">
      <c r="B876" s="38"/>
      <c r="C876" s="38"/>
      <c r="D876" s="38"/>
      <c r="E876" s="38"/>
      <c r="F876" s="38"/>
      <c r="G876" s="38"/>
      <c r="H876" s="38"/>
      <c r="I876" s="38"/>
      <c r="J876" s="38"/>
      <c r="K876" s="38"/>
    </row>
    <row r="877" ht="14.4" spans="2:11">
      <c r="B877" s="38"/>
      <c r="C877" s="38"/>
      <c r="D877" s="38"/>
      <c r="E877" s="38"/>
      <c r="F877" s="38"/>
      <c r="G877" s="38"/>
      <c r="H877" s="38"/>
      <c r="I877" s="38"/>
      <c r="J877" s="38"/>
      <c r="K877" s="38"/>
    </row>
    <row r="878" ht="14.4" spans="2:11">
      <c r="B878" s="38"/>
      <c r="C878" s="38"/>
      <c r="D878" s="38"/>
      <c r="E878" s="38"/>
      <c r="F878" s="38"/>
      <c r="G878" s="38"/>
      <c r="H878" s="38"/>
      <c r="I878" s="38"/>
      <c r="J878" s="38"/>
      <c r="K878" s="38"/>
    </row>
    <row r="879" ht="14.4" spans="2:11">
      <c r="B879" s="38"/>
      <c r="C879" s="38"/>
      <c r="D879" s="38"/>
      <c r="E879" s="38"/>
      <c r="F879" s="38"/>
      <c r="G879" s="38"/>
      <c r="H879" s="38"/>
      <c r="I879" s="38"/>
      <c r="J879" s="38"/>
      <c r="K879" s="38"/>
    </row>
    <row r="880" ht="14.4" spans="2:11">
      <c r="B880" s="38"/>
      <c r="C880" s="38"/>
      <c r="D880" s="38"/>
      <c r="E880" s="38"/>
      <c r="F880" s="38"/>
      <c r="G880" s="38"/>
      <c r="H880" s="38"/>
      <c r="I880" s="38"/>
      <c r="J880" s="38"/>
      <c r="K880" s="38"/>
    </row>
    <row r="881" ht="14.4" spans="2:11">
      <c r="B881" s="38"/>
      <c r="C881" s="38"/>
      <c r="D881" s="38"/>
      <c r="E881" s="38"/>
      <c r="F881" s="38"/>
      <c r="G881" s="38"/>
      <c r="H881" s="38"/>
      <c r="I881" s="38"/>
      <c r="J881" s="38"/>
      <c r="K881" s="38"/>
    </row>
    <row r="882" ht="14.4" spans="2:11">
      <c r="B882" s="38"/>
      <c r="C882" s="38"/>
      <c r="D882" s="38"/>
      <c r="E882" s="38"/>
      <c r="F882" s="38"/>
      <c r="G882" s="38"/>
      <c r="H882" s="38"/>
      <c r="I882" s="38"/>
      <c r="J882" s="38"/>
      <c r="K882" s="38"/>
    </row>
    <row r="883" ht="14.4" spans="2:11">
      <c r="B883" s="38"/>
      <c r="C883" s="38"/>
      <c r="D883" s="38"/>
      <c r="E883" s="38"/>
      <c r="F883" s="38"/>
      <c r="G883" s="38"/>
      <c r="H883" s="38"/>
      <c r="I883" s="38"/>
      <c r="J883" s="38"/>
      <c r="K883" s="38"/>
    </row>
    <row r="884" ht="14.4" spans="2:11">
      <c r="B884" s="38"/>
      <c r="C884" s="38"/>
      <c r="D884" s="38"/>
      <c r="E884" s="38"/>
      <c r="F884" s="38"/>
      <c r="G884" s="38"/>
      <c r="H884" s="38"/>
      <c r="I884" s="38"/>
      <c r="J884" s="38"/>
      <c r="K884" s="38"/>
    </row>
    <row r="885" ht="14.4" spans="2:11">
      <c r="B885" s="38"/>
      <c r="C885" s="38"/>
      <c r="D885" s="38"/>
      <c r="E885" s="38"/>
      <c r="F885" s="38"/>
      <c r="G885" s="38"/>
      <c r="H885" s="38"/>
      <c r="I885" s="38"/>
      <c r="J885" s="38"/>
      <c r="K885" s="38"/>
    </row>
    <row r="886" ht="14.4" spans="2:11">
      <c r="B886" s="38"/>
      <c r="C886" s="38"/>
      <c r="D886" s="38"/>
      <c r="E886" s="38"/>
      <c r="F886" s="38"/>
      <c r="G886" s="38"/>
      <c r="H886" s="38"/>
      <c r="I886" s="38"/>
      <c r="J886" s="38"/>
      <c r="K886" s="38"/>
    </row>
    <row r="887" ht="14.4" spans="2:11">
      <c r="B887" s="38"/>
      <c r="C887" s="38"/>
      <c r="D887" s="38"/>
      <c r="E887" s="38"/>
      <c r="F887" s="38"/>
      <c r="G887" s="38"/>
      <c r="H887" s="38"/>
      <c r="I887" s="38"/>
      <c r="J887" s="38"/>
      <c r="K887" s="38"/>
    </row>
    <row r="888" ht="14.4" spans="2:11">
      <c r="B888" s="38"/>
      <c r="C888" s="38"/>
      <c r="D888" s="38"/>
      <c r="E888" s="38"/>
      <c r="F888" s="38"/>
      <c r="G888" s="38"/>
      <c r="H888" s="38"/>
      <c r="I888" s="38"/>
      <c r="J888" s="38"/>
      <c r="K888" s="38"/>
    </row>
    <row r="889" ht="14.4" spans="2:11">
      <c r="B889" s="38"/>
      <c r="C889" s="38"/>
      <c r="D889" s="38"/>
      <c r="E889" s="38"/>
      <c r="F889" s="38"/>
      <c r="G889" s="38"/>
      <c r="H889" s="38"/>
      <c r="I889" s="38"/>
      <c r="J889" s="38"/>
      <c r="K889" s="38"/>
    </row>
    <row r="890" ht="14.4" spans="2:11">
      <c r="B890" s="38"/>
      <c r="C890" s="38"/>
      <c r="D890" s="38"/>
      <c r="E890" s="38"/>
      <c r="F890" s="38"/>
      <c r="G890" s="38"/>
      <c r="H890" s="38"/>
      <c r="I890" s="38"/>
      <c r="J890" s="38"/>
      <c r="K890" s="38"/>
    </row>
    <row r="891" ht="14.4" spans="2:11">
      <c r="B891" s="38"/>
      <c r="C891" s="38"/>
      <c r="D891" s="38"/>
      <c r="E891" s="38"/>
      <c r="F891" s="38"/>
      <c r="G891" s="38"/>
      <c r="H891" s="38"/>
      <c r="I891" s="38"/>
      <c r="J891" s="38"/>
      <c r="K891" s="38"/>
    </row>
    <row r="892" ht="14.4" spans="2:11">
      <c r="B892" s="38"/>
      <c r="C892" s="38"/>
      <c r="D892" s="38"/>
      <c r="E892" s="38"/>
      <c r="F892" s="38"/>
      <c r="G892" s="38"/>
      <c r="H892" s="38"/>
      <c r="I892" s="38"/>
      <c r="J892" s="38"/>
      <c r="K892" s="38"/>
    </row>
    <row r="893" ht="14.4" spans="2:11">
      <c r="B893" s="38"/>
      <c r="C893" s="38"/>
      <c r="D893" s="38"/>
      <c r="E893" s="38"/>
      <c r="F893" s="38"/>
      <c r="G893" s="38"/>
      <c r="H893" s="38"/>
      <c r="I893" s="38"/>
      <c r="J893" s="38"/>
      <c r="K893" s="38"/>
    </row>
    <row r="894" ht="14.4" spans="2:11">
      <c r="B894" s="38"/>
      <c r="C894" s="38"/>
      <c r="D894" s="38"/>
      <c r="E894" s="38"/>
      <c r="F894" s="38"/>
      <c r="G894" s="38"/>
      <c r="H894" s="38"/>
      <c r="I894" s="38"/>
      <c r="J894" s="38"/>
      <c r="K894" s="38"/>
    </row>
    <row r="895" ht="14.4" spans="2:11">
      <c r="B895" s="38"/>
      <c r="C895" s="38"/>
      <c r="D895" s="38"/>
      <c r="E895" s="38"/>
      <c r="F895" s="38"/>
      <c r="G895" s="38"/>
      <c r="H895" s="38"/>
      <c r="I895" s="38"/>
      <c r="J895" s="38"/>
      <c r="K895" s="38"/>
    </row>
    <row r="896" ht="14.4" spans="2:11">
      <c r="B896" s="38"/>
      <c r="C896" s="38"/>
      <c r="D896" s="38"/>
      <c r="E896" s="38"/>
      <c r="F896" s="38"/>
      <c r="G896" s="38"/>
      <c r="H896" s="38"/>
      <c r="I896" s="38"/>
      <c r="J896" s="38"/>
      <c r="K896" s="38"/>
    </row>
    <row r="897" ht="14.4" spans="2:11">
      <c r="B897" s="38"/>
      <c r="C897" s="38"/>
      <c r="D897" s="38"/>
      <c r="E897" s="38"/>
      <c r="F897" s="38"/>
      <c r="G897" s="38"/>
      <c r="H897" s="38"/>
      <c r="I897" s="38"/>
      <c r="J897" s="38"/>
      <c r="K897" s="38"/>
    </row>
    <row r="898" ht="14.4" spans="2:11">
      <c r="B898" s="38"/>
      <c r="C898" s="38"/>
      <c r="D898" s="38"/>
      <c r="E898" s="38"/>
      <c r="F898" s="38"/>
      <c r="G898" s="38"/>
      <c r="H898" s="38"/>
      <c r="I898" s="38"/>
      <c r="J898" s="38"/>
      <c r="K898" s="38"/>
    </row>
    <row r="899" ht="14.4" spans="2:11">
      <c r="B899" s="38"/>
      <c r="C899" s="38"/>
      <c r="D899" s="38"/>
      <c r="E899" s="38"/>
      <c r="F899" s="38"/>
      <c r="G899" s="38"/>
      <c r="H899" s="38"/>
      <c r="I899" s="38"/>
      <c r="J899" s="38"/>
      <c r="K899" s="38"/>
    </row>
    <row r="900" ht="14.4" spans="2:11">
      <c r="B900" s="38"/>
      <c r="C900" s="38"/>
      <c r="D900" s="38"/>
      <c r="E900" s="38"/>
      <c r="F900" s="38"/>
      <c r="G900" s="38"/>
      <c r="H900" s="38"/>
      <c r="I900" s="38"/>
      <c r="J900" s="38"/>
      <c r="K900" s="38"/>
    </row>
    <row r="901" ht="14.4" spans="2:11">
      <c r="B901" s="38"/>
      <c r="C901" s="38"/>
      <c r="D901" s="38"/>
      <c r="E901" s="38"/>
      <c r="F901" s="38"/>
      <c r="G901" s="38"/>
      <c r="H901" s="38"/>
      <c r="I901" s="38"/>
      <c r="J901" s="38"/>
      <c r="K901" s="38"/>
    </row>
    <row r="902" ht="14.4" spans="2:11">
      <c r="B902" s="38"/>
      <c r="C902" s="38"/>
      <c r="D902" s="38"/>
      <c r="E902" s="38"/>
      <c r="F902" s="38"/>
      <c r="G902" s="38"/>
      <c r="H902" s="38"/>
      <c r="I902" s="38"/>
      <c r="J902" s="38"/>
      <c r="K902" s="38"/>
    </row>
    <row r="903" ht="14.4" spans="2:11">
      <c r="B903" s="38"/>
      <c r="C903" s="38"/>
      <c r="D903" s="38"/>
      <c r="E903" s="38"/>
      <c r="F903" s="38"/>
      <c r="G903" s="38"/>
      <c r="H903" s="38"/>
      <c r="I903" s="38"/>
      <c r="J903" s="38"/>
      <c r="K903" s="38"/>
    </row>
    <row r="904" ht="14.4" spans="2:11">
      <c r="B904" s="38"/>
      <c r="C904" s="38"/>
      <c r="D904" s="38"/>
      <c r="E904" s="38"/>
      <c r="F904" s="38"/>
      <c r="G904" s="38"/>
      <c r="H904" s="38"/>
      <c r="I904" s="38"/>
      <c r="J904" s="38"/>
      <c r="K904" s="38"/>
    </row>
    <row r="905" ht="14.4" spans="2:11">
      <c r="B905" s="38"/>
      <c r="C905" s="38"/>
      <c r="D905" s="38"/>
      <c r="E905" s="38"/>
      <c r="F905" s="38"/>
      <c r="G905" s="38"/>
      <c r="H905" s="38"/>
      <c r="I905" s="38"/>
      <c r="J905" s="38"/>
      <c r="K905" s="38"/>
    </row>
    <row r="906" ht="14.4" spans="2:11">
      <c r="B906" s="38"/>
      <c r="C906" s="38"/>
      <c r="D906" s="38"/>
      <c r="E906" s="38"/>
      <c r="F906" s="38"/>
      <c r="G906" s="38"/>
      <c r="H906" s="38"/>
      <c r="I906" s="38"/>
      <c r="J906" s="38"/>
      <c r="K906" s="38"/>
    </row>
    <row r="907" ht="14.4" spans="2:11">
      <c r="B907" s="38"/>
      <c r="C907" s="38"/>
      <c r="D907" s="38"/>
      <c r="E907" s="38"/>
      <c r="F907" s="38"/>
      <c r="G907" s="38"/>
      <c r="H907" s="38"/>
      <c r="I907" s="38"/>
      <c r="J907" s="38"/>
      <c r="K907" s="38"/>
    </row>
    <row r="908" ht="14.4" spans="2:11">
      <c r="B908" s="38"/>
      <c r="C908" s="38"/>
      <c r="D908" s="38"/>
      <c r="E908" s="38"/>
      <c r="F908" s="38"/>
      <c r="G908" s="38"/>
      <c r="H908" s="38"/>
      <c r="I908" s="38"/>
      <c r="J908" s="38"/>
      <c r="K908" s="38"/>
    </row>
    <row r="909" ht="14.4" spans="2:11">
      <c r="B909" s="38"/>
      <c r="C909" s="38"/>
      <c r="D909" s="38"/>
      <c r="E909" s="38"/>
      <c r="F909" s="38"/>
      <c r="G909" s="38"/>
      <c r="H909" s="38"/>
      <c r="I909" s="38"/>
      <c r="J909" s="38"/>
      <c r="K909" s="38"/>
    </row>
    <row r="910" ht="14.4" spans="2:11">
      <c r="B910" s="38"/>
      <c r="C910" s="38"/>
      <c r="D910" s="38"/>
      <c r="E910" s="38"/>
      <c r="F910" s="38"/>
      <c r="G910" s="38"/>
      <c r="H910" s="38"/>
      <c r="I910" s="38"/>
      <c r="J910" s="38"/>
      <c r="K910" s="38"/>
    </row>
    <row r="911" ht="14.4" spans="2:11">
      <c r="B911" s="38"/>
      <c r="C911" s="38"/>
      <c r="D911" s="38"/>
      <c r="E911" s="38"/>
      <c r="F911" s="38"/>
      <c r="G911" s="38"/>
      <c r="H911" s="38"/>
      <c r="I911" s="38"/>
      <c r="J911" s="38"/>
      <c r="K911" s="38"/>
    </row>
    <row r="912" ht="14.4" spans="2:11">
      <c r="B912" s="38"/>
      <c r="C912" s="38"/>
      <c r="D912" s="38"/>
      <c r="E912" s="38"/>
      <c r="F912" s="38"/>
      <c r="G912" s="38"/>
      <c r="H912" s="38"/>
      <c r="I912" s="38"/>
      <c r="J912" s="38"/>
      <c r="K912" s="38"/>
    </row>
    <row r="913" ht="14.4" spans="2:11">
      <c r="B913" s="38"/>
      <c r="C913" s="38"/>
      <c r="D913" s="38"/>
      <c r="E913" s="38"/>
      <c r="F913" s="38"/>
      <c r="G913" s="38"/>
      <c r="H913" s="38"/>
      <c r="I913" s="38"/>
      <c r="J913" s="38"/>
      <c r="K913" s="38"/>
    </row>
    <row r="914" ht="14.4" spans="2:11">
      <c r="B914" s="38"/>
      <c r="C914" s="38"/>
      <c r="D914" s="38"/>
      <c r="E914" s="38"/>
      <c r="F914" s="38"/>
      <c r="G914" s="38"/>
      <c r="H914" s="38"/>
      <c r="I914" s="38"/>
      <c r="J914" s="38"/>
      <c r="K914" s="38"/>
    </row>
    <row r="915" ht="14.4" spans="2:11">
      <c r="B915" s="38"/>
      <c r="C915" s="38"/>
      <c r="D915" s="38"/>
      <c r="E915" s="38"/>
      <c r="F915" s="38"/>
      <c r="G915" s="38"/>
      <c r="H915" s="38"/>
      <c r="I915" s="38"/>
      <c r="J915" s="38"/>
      <c r="K915" s="38"/>
    </row>
    <row r="916" ht="14.4" spans="2:11">
      <c r="B916" s="38"/>
      <c r="C916" s="38"/>
      <c r="D916" s="38"/>
      <c r="E916" s="38"/>
      <c r="F916" s="38"/>
      <c r="G916" s="38"/>
      <c r="H916" s="38"/>
      <c r="I916" s="38"/>
      <c r="J916" s="38"/>
      <c r="K916" s="38"/>
    </row>
    <row r="917" ht="14.4" spans="2:11">
      <c r="B917" s="38"/>
      <c r="C917" s="38"/>
      <c r="D917" s="38"/>
      <c r="E917" s="38"/>
      <c r="F917" s="38"/>
      <c r="G917" s="38"/>
      <c r="H917" s="38"/>
      <c r="I917" s="38"/>
      <c r="J917" s="38"/>
      <c r="K917" s="38"/>
    </row>
    <row r="918" ht="14.4" spans="2:11">
      <c r="B918" s="38"/>
      <c r="C918" s="38"/>
      <c r="D918" s="38"/>
      <c r="E918" s="38"/>
      <c r="F918" s="38"/>
      <c r="G918" s="38"/>
      <c r="H918" s="38"/>
      <c r="I918" s="38"/>
      <c r="J918" s="38"/>
      <c r="K918" s="38"/>
    </row>
    <row r="919" ht="14.4" spans="2:11">
      <c r="B919" s="38"/>
      <c r="C919" s="38"/>
      <c r="D919" s="38"/>
      <c r="E919" s="38"/>
      <c r="F919" s="38"/>
      <c r="G919" s="38"/>
      <c r="H919" s="38"/>
      <c r="I919" s="38"/>
      <c r="J919" s="38"/>
      <c r="K919" s="38"/>
    </row>
    <row r="920" ht="14.4" spans="2:11">
      <c r="B920" s="38"/>
      <c r="C920" s="38"/>
      <c r="D920" s="38"/>
      <c r="E920" s="38"/>
      <c r="F920" s="38"/>
      <c r="G920" s="38"/>
      <c r="H920" s="38"/>
      <c r="I920" s="38"/>
      <c r="J920" s="38"/>
      <c r="K920" s="38"/>
    </row>
    <row r="921" ht="14.4" spans="2:11">
      <c r="B921" s="38"/>
      <c r="C921" s="38"/>
      <c r="D921" s="38"/>
      <c r="E921" s="38"/>
      <c r="F921" s="38"/>
      <c r="G921" s="38"/>
      <c r="H921" s="38"/>
      <c r="I921" s="38"/>
      <c r="J921" s="38"/>
      <c r="K921" s="38"/>
    </row>
    <row r="922" ht="14.4" spans="2:11">
      <c r="B922" s="38"/>
      <c r="C922" s="38"/>
      <c r="D922" s="38"/>
      <c r="E922" s="38"/>
      <c r="F922" s="38"/>
      <c r="G922" s="38"/>
      <c r="H922" s="38"/>
      <c r="I922" s="38"/>
      <c r="J922" s="38"/>
      <c r="K922" s="38"/>
    </row>
    <row r="923" ht="14.4" spans="2:11">
      <c r="B923" s="38"/>
      <c r="C923" s="38"/>
      <c r="D923" s="38"/>
      <c r="E923" s="38"/>
      <c r="F923" s="38"/>
      <c r="G923" s="38"/>
      <c r="H923" s="38"/>
      <c r="I923" s="38"/>
      <c r="J923" s="38"/>
      <c r="K923" s="38"/>
    </row>
    <row r="924" ht="14.4" spans="2:11">
      <c r="B924" s="38"/>
      <c r="C924" s="38"/>
      <c r="D924" s="38"/>
      <c r="E924" s="38"/>
      <c r="F924" s="38"/>
      <c r="G924" s="38"/>
      <c r="H924" s="38"/>
      <c r="I924" s="38"/>
      <c r="J924" s="38"/>
      <c r="K924" s="38"/>
    </row>
    <row r="925" ht="14.4" spans="2:11">
      <c r="B925" s="38"/>
      <c r="C925" s="38"/>
      <c r="D925" s="38"/>
      <c r="E925" s="38"/>
      <c r="F925" s="38"/>
      <c r="G925" s="38"/>
      <c r="H925" s="38"/>
      <c r="I925" s="38"/>
      <c r="J925" s="38"/>
      <c r="K925" s="38"/>
    </row>
    <row r="926" ht="14.4" spans="2:11">
      <c r="B926" s="38"/>
      <c r="C926" s="38"/>
      <c r="D926" s="38"/>
      <c r="E926" s="38"/>
      <c r="F926" s="38"/>
      <c r="G926" s="38"/>
      <c r="H926" s="38"/>
      <c r="I926" s="38"/>
      <c r="J926" s="38"/>
      <c r="K926" s="38"/>
    </row>
    <row r="927" ht="14.4" spans="2:11">
      <c r="B927" s="38"/>
      <c r="C927" s="38"/>
      <c r="D927" s="38"/>
      <c r="E927" s="38"/>
      <c r="F927" s="38"/>
      <c r="G927" s="38"/>
      <c r="H927" s="38"/>
      <c r="I927" s="38"/>
      <c r="J927" s="38"/>
      <c r="K927" s="38"/>
    </row>
    <row r="928" ht="14.4" spans="2:11">
      <c r="B928" s="38"/>
      <c r="C928" s="38"/>
      <c r="D928" s="38"/>
      <c r="E928" s="38"/>
      <c r="F928" s="38"/>
      <c r="G928" s="38"/>
      <c r="H928" s="38"/>
      <c r="I928" s="38"/>
      <c r="J928" s="38"/>
      <c r="K928" s="38"/>
    </row>
    <row r="929" ht="14.4" spans="2:11">
      <c r="B929" s="38"/>
      <c r="C929" s="38"/>
      <c r="D929" s="38"/>
      <c r="E929" s="38"/>
      <c r="F929" s="38"/>
      <c r="G929" s="38"/>
      <c r="H929" s="38"/>
      <c r="I929" s="38"/>
      <c r="J929" s="38"/>
      <c r="K929" s="38"/>
    </row>
    <row r="930" ht="14.4" spans="2:11">
      <c r="B930" s="38"/>
      <c r="C930" s="38"/>
      <c r="D930" s="38"/>
      <c r="E930" s="38"/>
      <c r="F930" s="38"/>
      <c r="G930" s="38"/>
      <c r="H930" s="38"/>
      <c r="I930" s="38"/>
      <c r="J930" s="38"/>
      <c r="K930" s="38"/>
    </row>
    <row r="931" ht="14.4" spans="2:11">
      <c r="B931" s="38"/>
      <c r="C931" s="38"/>
      <c r="D931" s="38"/>
      <c r="E931" s="38"/>
      <c r="F931" s="38"/>
      <c r="G931" s="38"/>
      <c r="H931" s="38"/>
      <c r="I931" s="38"/>
      <c r="J931" s="38"/>
      <c r="K931" s="38"/>
    </row>
    <row r="932" ht="14.4" spans="2:11">
      <c r="B932" s="38"/>
      <c r="C932" s="38"/>
      <c r="D932" s="38"/>
      <c r="E932" s="38"/>
      <c r="F932" s="38"/>
      <c r="G932" s="38"/>
      <c r="H932" s="38"/>
      <c r="I932" s="38"/>
      <c r="J932" s="38"/>
      <c r="K932" s="38"/>
    </row>
    <row r="933" ht="14.4" spans="2:11">
      <c r="B933" s="38"/>
      <c r="C933" s="38"/>
      <c r="D933" s="38"/>
      <c r="E933" s="38"/>
      <c r="F933" s="38"/>
      <c r="G933" s="38"/>
      <c r="H933" s="38"/>
      <c r="I933" s="38"/>
      <c r="J933" s="38"/>
      <c r="K933" s="38"/>
    </row>
    <row r="934" ht="14.4" spans="2:11">
      <c r="B934" s="38"/>
      <c r="C934" s="38"/>
      <c r="D934" s="38"/>
      <c r="E934" s="38"/>
      <c r="F934" s="38"/>
      <c r="G934" s="38"/>
      <c r="H934" s="38"/>
      <c r="I934" s="38"/>
      <c r="J934" s="38"/>
      <c r="K934" s="38"/>
    </row>
    <row r="935" ht="14.4" spans="2:11">
      <c r="B935" s="38"/>
      <c r="C935" s="38"/>
      <c r="D935" s="38"/>
      <c r="E935" s="38"/>
      <c r="F935" s="38"/>
      <c r="G935" s="38"/>
      <c r="H935" s="38"/>
      <c r="I935" s="38"/>
      <c r="J935" s="38"/>
      <c r="K935" s="38"/>
    </row>
    <row r="936" ht="14.4" spans="2:11">
      <c r="B936" s="38"/>
      <c r="C936" s="38"/>
      <c r="D936" s="38"/>
      <c r="E936" s="38"/>
      <c r="F936" s="38"/>
      <c r="G936" s="38"/>
      <c r="H936" s="38"/>
      <c r="I936" s="38"/>
      <c r="J936" s="38"/>
      <c r="K936" s="38"/>
    </row>
    <row r="937" ht="14.4" spans="2:11">
      <c r="B937" s="38"/>
      <c r="C937" s="38"/>
      <c r="D937" s="38"/>
      <c r="E937" s="38"/>
      <c r="F937" s="38"/>
      <c r="G937" s="38"/>
      <c r="H937" s="38"/>
      <c r="I937" s="38"/>
      <c r="J937" s="38"/>
      <c r="K937" s="38"/>
    </row>
    <row r="938" ht="14.4" spans="2:11">
      <c r="B938" s="38"/>
      <c r="C938" s="38"/>
      <c r="D938" s="38"/>
      <c r="E938" s="38"/>
      <c r="F938" s="38"/>
      <c r="G938" s="38"/>
      <c r="H938" s="38"/>
      <c r="I938" s="38"/>
      <c r="J938" s="38"/>
      <c r="K938" s="38"/>
    </row>
    <row r="939" ht="14.4" spans="2:11">
      <c r="B939" s="38"/>
      <c r="C939" s="38"/>
      <c r="D939" s="38"/>
      <c r="E939" s="38"/>
      <c r="F939" s="38"/>
      <c r="G939" s="38"/>
      <c r="H939" s="38"/>
      <c r="I939" s="38"/>
      <c r="J939" s="38"/>
      <c r="K939" s="38"/>
    </row>
    <row r="940" ht="14.4" spans="2:11">
      <c r="B940" s="38"/>
      <c r="C940" s="38"/>
      <c r="D940" s="38"/>
      <c r="E940" s="38"/>
      <c r="F940" s="38"/>
      <c r="G940" s="38"/>
      <c r="H940" s="38"/>
      <c r="I940" s="38"/>
      <c r="J940" s="38"/>
      <c r="K940" s="38"/>
    </row>
    <row r="941" ht="14.4" spans="2:11">
      <c r="B941" s="38"/>
      <c r="C941" s="38"/>
      <c r="D941" s="38"/>
      <c r="E941" s="38"/>
      <c r="F941" s="38"/>
      <c r="G941" s="38"/>
      <c r="H941" s="38"/>
      <c r="I941" s="38"/>
      <c r="J941" s="38"/>
      <c r="K941" s="38"/>
    </row>
    <row r="942" ht="14.4" spans="2:11">
      <c r="B942" s="38"/>
      <c r="C942" s="38"/>
      <c r="D942" s="38"/>
      <c r="E942" s="38"/>
      <c r="F942" s="38"/>
      <c r="G942" s="38"/>
      <c r="H942" s="38"/>
      <c r="I942" s="38"/>
      <c r="J942" s="38"/>
      <c r="K942" s="38"/>
    </row>
    <row r="943" ht="14.4" spans="2:11">
      <c r="B943" s="38"/>
      <c r="C943" s="38"/>
      <c r="D943" s="38"/>
      <c r="E943" s="38"/>
      <c r="F943" s="38"/>
      <c r="G943" s="38"/>
      <c r="H943" s="38"/>
      <c r="I943" s="38"/>
      <c r="J943" s="38"/>
      <c r="K943" s="38"/>
    </row>
    <row r="944" ht="14.4" spans="2:11">
      <c r="B944" s="38"/>
      <c r="C944" s="38"/>
      <c r="D944" s="38"/>
      <c r="E944" s="38"/>
      <c r="F944" s="38"/>
      <c r="G944" s="38"/>
      <c r="H944" s="38"/>
      <c r="I944" s="38"/>
      <c r="J944" s="38"/>
      <c r="K944" s="38"/>
    </row>
    <row r="945" ht="14.4" spans="2:11">
      <c r="B945" s="38"/>
      <c r="C945" s="38"/>
      <c r="D945" s="38"/>
      <c r="E945" s="38"/>
      <c r="F945" s="38"/>
      <c r="G945" s="38"/>
      <c r="H945" s="38"/>
      <c r="I945" s="38"/>
      <c r="J945" s="38"/>
      <c r="K945" s="38"/>
    </row>
    <row r="946" ht="14.4" spans="2:11">
      <c r="B946" s="38"/>
      <c r="C946" s="38"/>
      <c r="D946" s="38"/>
      <c r="E946" s="38"/>
      <c r="F946" s="38"/>
      <c r="G946" s="38"/>
      <c r="H946" s="38"/>
      <c r="I946" s="38"/>
      <c r="J946" s="38"/>
      <c r="K946" s="38"/>
    </row>
    <row r="947" ht="14.4" spans="2:11">
      <c r="B947" s="38"/>
      <c r="C947" s="38"/>
      <c r="D947" s="38"/>
      <c r="E947" s="38"/>
      <c r="F947" s="38"/>
      <c r="G947" s="38"/>
      <c r="H947" s="38"/>
      <c r="I947" s="38"/>
      <c r="J947" s="38"/>
      <c r="K947" s="38"/>
    </row>
    <row r="948" ht="14.4" spans="2:11">
      <c r="B948" s="38"/>
      <c r="C948" s="38"/>
      <c r="D948" s="38"/>
      <c r="E948" s="38"/>
      <c r="F948" s="38"/>
      <c r="G948" s="38"/>
      <c r="H948" s="38"/>
      <c r="I948" s="38"/>
      <c r="J948" s="38"/>
      <c r="K948" s="38"/>
    </row>
    <row r="949" ht="14.4" spans="2:11">
      <c r="B949" s="38"/>
      <c r="C949" s="38"/>
      <c r="D949" s="38"/>
      <c r="E949" s="38"/>
      <c r="F949" s="38"/>
      <c r="G949" s="38"/>
      <c r="H949" s="38"/>
      <c r="I949" s="38"/>
      <c r="J949" s="38"/>
      <c r="K949" s="38"/>
    </row>
    <row r="950" ht="14.4" spans="2:11">
      <c r="B950" s="38"/>
      <c r="C950" s="38"/>
      <c r="D950" s="38"/>
      <c r="E950" s="38"/>
      <c r="F950" s="38"/>
      <c r="G950" s="38"/>
      <c r="H950" s="38"/>
      <c r="I950" s="38"/>
      <c r="J950" s="38"/>
      <c r="K950" s="38"/>
    </row>
    <row r="951" ht="14.4" spans="2:11">
      <c r="B951" s="38"/>
      <c r="C951" s="38"/>
      <c r="D951" s="38"/>
      <c r="E951" s="38"/>
      <c r="F951" s="38"/>
      <c r="G951" s="38"/>
      <c r="H951" s="38"/>
      <c r="I951" s="38"/>
      <c r="J951" s="38"/>
      <c r="K951" s="38"/>
    </row>
    <row r="952" ht="14.4" spans="2:11">
      <c r="B952" s="38"/>
      <c r="C952" s="38"/>
      <c r="D952" s="38"/>
      <c r="E952" s="38"/>
      <c r="F952" s="38"/>
      <c r="G952" s="38"/>
      <c r="H952" s="38"/>
      <c r="I952" s="38"/>
      <c r="J952" s="38"/>
      <c r="K952" s="38"/>
    </row>
    <row r="953" ht="14.4" spans="2:11">
      <c r="B953" s="38"/>
      <c r="C953" s="38"/>
      <c r="D953" s="38"/>
      <c r="E953" s="38"/>
      <c r="F953" s="38"/>
      <c r="G953" s="38"/>
      <c r="H953" s="38"/>
      <c r="I953" s="38"/>
      <c r="J953" s="38"/>
      <c r="K953" s="38"/>
    </row>
    <row r="954" ht="14.4" spans="2:11">
      <c r="B954" s="38"/>
      <c r="C954" s="38"/>
      <c r="D954" s="38"/>
      <c r="E954" s="38"/>
      <c r="F954" s="38"/>
      <c r="G954" s="38"/>
      <c r="H954" s="38"/>
      <c r="I954" s="38"/>
      <c r="J954" s="38"/>
      <c r="K954" s="38"/>
    </row>
    <row r="955" ht="14.4" spans="2:11">
      <c r="B955" s="38"/>
      <c r="C955" s="38"/>
      <c r="D955" s="38"/>
      <c r="E955" s="38"/>
      <c r="F955" s="38"/>
      <c r="G955" s="38"/>
      <c r="H955" s="38"/>
      <c r="I955" s="38"/>
      <c r="J955" s="38"/>
      <c r="K955" s="38"/>
    </row>
    <row r="956" ht="14.4" spans="2:11">
      <c r="B956" s="38"/>
      <c r="C956" s="38"/>
      <c r="D956" s="38"/>
      <c r="E956" s="38"/>
      <c r="F956" s="38"/>
      <c r="G956" s="38"/>
      <c r="H956" s="38"/>
      <c r="I956" s="38"/>
      <c r="J956" s="38"/>
      <c r="K956" s="38"/>
    </row>
    <row r="957" ht="14.4" spans="2:11">
      <c r="B957" s="38"/>
      <c r="C957" s="38"/>
      <c r="D957" s="38"/>
      <c r="E957" s="38"/>
      <c r="F957" s="38"/>
      <c r="G957" s="38"/>
      <c r="H957" s="38"/>
      <c r="I957" s="38"/>
      <c r="J957" s="38"/>
      <c r="K957" s="38"/>
    </row>
    <row r="958" ht="14.4" spans="2:11">
      <c r="B958" s="38"/>
      <c r="C958" s="38"/>
      <c r="D958" s="38"/>
      <c r="E958" s="38"/>
      <c r="F958" s="38"/>
      <c r="G958" s="38"/>
      <c r="H958" s="38"/>
      <c r="I958" s="38"/>
      <c r="J958" s="38"/>
      <c r="K958" s="38"/>
    </row>
    <row r="959" ht="14.4" spans="2:11">
      <c r="B959" s="38"/>
      <c r="C959" s="38"/>
      <c r="D959" s="38"/>
      <c r="E959" s="38"/>
      <c r="F959" s="38"/>
      <c r="G959" s="38"/>
      <c r="H959" s="38"/>
      <c r="I959" s="38"/>
      <c r="J959" s="38"/>
      <c r="K959" s="38"/>
    </row>
    <row r="960" ht="14.4" spans="2:11">
      <c r="B960" s="38"/>
      <c r="C960" s="38"/>
      <c r="D960" s="38"/>
      <c r="E960" s="38"/>
      <c r="F960" s="38"/>
      <c r="G960" s="38"/>
      <c r="H960" s="38"/>
      <c r="I960" s="38"/>
      <c r="J960" s="38"/>
      <c r="K960" s="38"/>
    </row>
    <row r="961" ht="14.4" spans="2:11">
      <c r="B961" s="38"/>
      <c r="C961" s="38"/>
      <c r="D961" s="38"/>
      <c r="E961" s="38"/>
      <c r="F961" s="38"/>
      <c r="G961" s="38"/>
      <c r="H961" s="38"/>
      <c r="I961" s="38"/>
      <c r="J961" s="38"/>
      <c r="K961" s="38"/>
    </row>
    <row r="962" ht="14.4" spans="2:11">
      <c r="B962" s="38"/>
      <c r="C962" s="38"/>
      <c r="D962" s="38"/>
      <c r="E962" s="38"/>
      <c r="F962" s="38"/>
      <c r="G962" s="38"/>
      <c r="H962" s="38"/>
      <c r="I962" s="38"/>
      <c r="J962" s="38"/>
      <c r="K962" s="38"/>
    </row>
    <row r="963" ht="14.4" spans="2:11">
      <c r="B963" s="38"/>
      <c r="C963" s="38"/>
      <c r="D963" s="38"/>
      <c r="E963" s="38"/>
      <c r="F963" s="38"/>
      <c r="G963" s="38"/>
      <c r="H963" s="38"/>
      <c r="I963" s="38"/>
      <c r="J963" s="38"/>
      <c r="K963" s="38"/>
    </row>
    <row r="964" ht="14.4" spans="2:11">
      <c r="B964" s="38"/>
      <c r="C964" s="38"/>
      <c r="D964" s="38"/>
      <c r="E964" s="38"/>
      <c r="F964" s="38"/>
      <c r="G964" s="38"/>
      <c r="H964" s="38"/>
      <c r="I964" s="38"/>
      <c r="J964" s="38"/>
      <c r="K964" s="38"/>
    </row>
    <row r="965" ht="14.4" spans="2:11">
      <c r="B965" s="38"/>
      <c r="C965" s="38"/>
      <c r="D965" s="38"/>
      <c r="E965" s="38"/>
      <c r="F965" s="38"/>
      <c r="G965" s="38"/>
      <c r="H965" s="38"/>
      <c r="I965" s="38"/>
      <c r="J965" s="38"/>
      <c r="K965" s="38"/>
    </row>
    <row r="966" ht="14.4" spans="2:11">
      <c r="B966" s="38"/>
      <c r="C966" s="38"/>
      <c r="D966" s="38"/>
      <c r="E966" s="38"/>
      <c r="F966" s="38"/>
      <c r="G966" s="38"/>
      <c r="H966" s="38"/>
      <c r="I966" s="38"/>
      <c r="J966" s="38"/>
      <c r="K966" s="38"/>
    </row>
    <row r="967" ht="14.4" spans="2:11">
      <c r="B967" s="38"/>
      <c r="C967" s="38"/>
      <c r="D967" s="38"/>
      <c r="E967" s="38"/>
      <c r="F967" s="38"/>
      <c r="G967" s="38"/>
      <c r="H967" s="38"/>
      <c r="I967" s="38"/>
      <c r="J967" s="38"/>
      <c r="K967" s="38"/>
    </row>
    <row r="968" ht="14.4" spans="2:11">
      <c r="B968" s="38"/>
      <c r="C968" s="38"/>
      <c r="D968" s="38"/>
      <c r="E968" s="38"/>
      <c r="F968" s="38"/>
      <c r="G968" s="38"/>
      <c r="H968" s="38"/>
      <c r="I968" s="38"/>
      <c r="J968" s="38"/>
      <c r="K968" s="38"/>
    </row>
    <row r="969" ht="14.4" spans="2:11">
      <c r="B969" s="38"/>
      <c r="C969" s="38"/>
      <c r="D969" s="38"/>
      <c r="E969" s="38"/>
      <c r="F969" s="38"/>
      <c r="G969" s="38"/>
      <c r="H969" s="38"/>
      <c r="I969" s="38"/>
      <c r="J969" s="38"/>
      <c r="K969" s="38"/>
    </row>
    <row r="970" ht="14.4" spans="2:11">
      <c r="B970" s="38"/>
      <c r="C970" s="38"/>
      <c r="D970" s="38"/>
      <c r="E970" s="38"/>
      <c r="F970" s="38"/>
      <c r="G970" s="38"/>
      <c r="H970" s="38"/>
      <c r="I970" s="38"/>
      <c r="J970" s="38"/>
      <c r="K970" s="38"/>
    </row>
    <row r="971" ht="14.4" spans="2:11">
      <c r="B971" s="38"/>
      <c r="C971" s="38"/>
      <c r="D971" s="38"/>
      <c r="E971" s="38"/>
      <c r="F971" s="38"/>
      <c r="G971" s="38"/>
      <c r="H971" s="38"/>
      <c r="I971" s="38"/>
      <c r="J971" s="38"/>
      <c r="K971" s="38"/>
    </row>
    <row r="972" ht="14.4" spans="2:11">
      <c r="B972" s="38"/>
      <c r="C972" s="38"/>
      <c r="D972" s="38"/>
      <c r="E972" s="38"/>
      <c r="F972" s="38"/>
      <c r="G972" s="38"/>
      <c r="H972" s="38"/>
      <c r="I972" s="38"/>
      <c r="J972" s="38"/>
      <c r="K972" s="38"/>
    </row>
    <row r="973" ht="14.4" spans="2:11">
      <c r="B973" s="38"/>
      <c r="C973" s="38"/>
      <c r="D973" s="38"/>
      <c r="E973" s="38"/>
      <c r="F973" s="38"/>
      <c r="G973" s="38"/>
      <c r="H973" s="38"/>
      <c r="I973" s="38"/>
      <c r="J973" s="38"/>
      <c r="K973" s="38"/>
    </row>
    <row r="974" ht="14.4" spans="2:11">
      <c r="B974" s="38"/>
      <c r="C974" s="38"/>
      <c r="D974" s="38"/>
      <c r="E974" s="38"/>
      <c r="F974" s="38"/>
      <c r="G974" s="38"/>
      <c r="H974" s="38"/>
      <c r="I974" s="38"/>
      <c r="J974" s="38"/>
      <c r="K974" s="38"/>
    </row>
    <row r="975" ht="14.4" spans="2:11">
      <c r="B975" s="38"/>
      <c r="C975" s="38"/>
      <c r="D975" s="38"/>
      <c r="E975" s="38"/>
      <c r="F975" s="38"/>
      <c r="G975" s="38"/>
      <c r="H975" s="38"/>
      <c r="I975" s="38"/>
      <c r="J975" s="38"/>
      <c r="K975" s="38"/>
    </row>
    <row r="976" ht="14.4" spans="2:11">
      <c r="B976" s="38"/>
      <c r="C976" s="38"/>
      <c r="D976" s="38"/>
      <c r="E976" s="38"/>
      <c r="F976" s="38"/>
      <c r="G976" s="38"/>
      <c r="H976" s="38"/>
      <c r="I976" s="38"/>
      <c r="J976" s="38"/>
      <c r="K976" s="38"/>
    </row>
    <row r="977" ht="14.4" spans="2:11">
      <c r="B977" s="38"/>
      <c r="C977" s="38"/>
      <c r="D977" s="38"/>
      <c r="E977" s="38"/>
      <c r="F977" s="38"/>
      <c r="G977" s="38"/>
      <c r="H977" s="38"/>
      <c r="I977" s="38"/>
      <c r="J977" s="38"/>
      <c r="K977" s="38"/>
    </row>
    <row r="978" ht="14.4" spans="2:11">
      <c r="B978" s="38"/>
      <c r="C978" s="38"/>
      <c r="D978" s="38"/>
      <c r="E978" s="38"/>
      <c r="F978" s="38"/>
      <c r="G978" s="38"/>
      <c r="H978" s="38"/>
      <c r="I978" s="38"/>
      <c r="J978" s="38"/>
      <c r="K978" s="38"/>
    </row>
    <row r="979" ht="14.4" spans="2:11">
      <c r="B979" s="38"/>
      <c r="C979" s="38"/>
      <c r="D979" s="38"/>
      <c r="E979" s="38"/>
      <c r="F979" s="38"/>
      <c r="G979" s="38"/>
      <c r="H979" s="38"/>
      <c r="I979" s="38"/>
      <c r="J979" s="38"/>
      <c r="K979" s="38"/>
    </row>
    <row r="980" ht="14.4" spans="2:11">
      <c r="B980" s="38"/>
      <c r="C980" s="38"/>
      <c r="D980" s="38"/>
      <c r="E980" s="38"/>
      <c r="F980" s="38"/>
      <c r="G980" s="38"/>
      <c r="H980" s="38"/>
      <c r="I980" s="38"/>
      <c r="J980" s="38"/>
      <c r="K980" s="38"/>
    </row>
    <row r="981" ht="14.4" spans="2:11">
      <c r="B981" s="38"/>
      <c r="C981" s="38"/>
      <c r="D981" s="38"/>
      <c r="E981" s="38"/>
      <c r="F981" s="38"/>
      <c r="G981" s="38"/>
      <c r="H981" s="38"/>
      <c r="I981" s="38"/>
      <c r="J981" s="38"/>
      <c r="K981" s="38"/>
    </row>
    <row r="982" ht="14.4" spans="2:11">
      <c r="B982" s="38"/>
      <c r="C982" s="38"/>
      <c r="D982" s="38"/>
      <c r="E982" s="38"/>
      <c r="F982" s="38"/>
      <c r="G982" s="38"/>
      <c r="H982" s="38"/>
      <c r="I982" s="38"/>
      <c r="J982" s="38"/>
      <c r="K982" s="38"/>
    </row>
    <row r="983" ht="14.4" spans="2:11">
      <c r="B983" s="38"/>
      <c r="C983" s="38"/>
      <c r="D983" s="38"/>
      <c r="E983" s="38"/>
      <c r="F983" s="38"/>
      <c r="G983" s="38"/>
      <c r="H983" s="38"/>
      <c r="I983" s="38"/>
      <c r="J983" s="38"/>
      <c r="K983" s="38"/>
    </row>
    <row r="984" ht="14.4" spans="2:11">
      <c r="B984" s="38"/>
      <c r="C984" s="38"/>
      <c r="D984" s="38"/>
      <c r="E984" s="38"/>
      <c r="F984" s="38"/>
      <c r="G984" s="38"/>
      <c r="H984" s="38"/>
      <c r="I984" s="38"/>
      <c r="J984" s="38"/>
      <c r="K984" s="38"/>
    </row>
    <row r="985" ht="14.4" spans="2:11">
      <c r="B985" s="38"/>
      <c r="C985" s="38"/>
      <c r="D985" s="38"/>
      <c r="E985" s="38"/>
      <c r="F985" s="38"/>
      <c r="G985" s="38"/>
      <c r="H985" s="38"/>
      <c r="I985" s="38"/>
      <c r="J985" s="38"/>
      <c r="K985" s="38"/>
    </row>
    <row r="986" ht="14.4" spans="2:11">
      <c r="B986" s="38"/>
      <c r="C986" s="38"/>
      <c r="D986" s="38"/>
      <c r="E986" s="38"/>
      <c r="F986" s="38"/>
      <c r="G986" s="38"/>
      <c r="H986" s="38"/>
      <c r="I986" s="38"/>
      <c r="J986" s="38"/>
      <c r="K986" s="38"/>
    </row>
    <row r="987" ht="14.4" spans="2:11">
      <c r="B987" s="38"/>
      <c r="C987" s="38"/>
      <c r="D987" s="38"/>
      <c r="E987" s="38"/>
      <c r="F987" s="38"/>
      <c r="G987" s="38"/>
      <c r="H987" s="38"/>
      <c r="I987" s="38"/>
      <c r="J987" s="38"/>
      <c r="K987" s="38"/>
    </row>
    <row r="988" ht="14.4" spans="2:11">
      <c r="B988" s="38"/>
      <c r="C988" s="38"/>
      <c r="D988" s="38"/>
      <c r="E988" s="38"/>
      <c r="F988" s="38"/>
      <c r="G988" s="38"/>
      <c r="H988" s="38"/>
      <c r="I988" s="38"/>
      <c r="J988" s="38"/>
      <c r="K988" s="38"/>
    </row>
    <row r="989" ht="14.4" spans="2:11">
      <c r="B989" s="38"/>
      <c r="C989" s="38"/>
      <c r="D989" s="38"/>
      <c r="E989" s="38"/>
      <c r="F989" s="38"/>
      <c r="G989" s="38"/>
      <c r="H989" s="38"/>
      <c r="I989" s="38"/>
      <c r="J989" s="38"/>
      <c r="K989" s="38"/>
    </row>
    <row r="990" ht="14.4" spans="2:11">
      <c r="B990" s="38"/>
      <c r="C990" s="38"/>
      <c r="D990" s="38"/>
      <c r="E990" s="38"/>
      <c r="F990" s="38"/>
      <c r="G990" s="38"/>
      <c r="H990" s="38"/>
      <c r="I990" s="38"/>
      <c r="J990" s="38"/>
      <c r="K990" s="38"/>
    </row>
    <row r="991" ht="14.4" spans="2:11">
      <c r="B991" s="38"/>
      <c r="C991" s="38"/>
      <c r="D991" s="38"/>
      <c r="E991" s="38"/>
      <c r="F991" s="38"/>
      <c r="G991" s="38"/>
      <c r="H991" s="38"/>
      <c r="I991" s="38"/>
      <c r="J991" s="38"/>
      <c r="K991" s="38"/>
    </row>
    <row r="992" ht="14.4" spans="2:11">
      <c r="B992" s="38"/>
      <c r="C992" s="38"/>
      <c r="D992" s="38"/>
      <c r="E992" s="38"/>
      <c r="F992" s="38"/>
      <c r="G992" s="38"/>
      <c r="H992" s="38"/>
      <c r="I992" s="38"/>
      <c r="J992" s="38"/>
      <c r="K992" s="38"/>
    </row>
    <row r="993" ht="14.4" spans="2:11">
      <c r="B993" s="38"/>
      <c r="C993" s="38"/>
      <c r="D993" s="38"/>
      <c r="E993" s="38"/>
      <c r="F993" s="38"/>
      <c r="G993" s="38"/>
      <c r="H993" s="38"/>
      <c r="I993" s="38"/>
      <c r="J993" s="38"/>
      <c r="K993" s="38"/>
    </row>
    <row r="994" ht="14.4" spans="2:11">
      <c r="B994" s="38"/>
      <c r="C994" s="38"/>
      <c r="D994" s="38"/>
      <c r="E994" s="38"/>
      <c r="F994" s="38"/>
      <c r="G994" s="38"/>
      <c r="H994" s="38"/>
      <c r="I994" s="38"/>
      <c r="J994" s="38"/>
      <c r="K994" s="38"/>
    </row>
    <row r="995" ht="14.4" spans="2:11">
      <c r="B995" s="38"/>
      <c r="C995" s="38"/>
      <c r="D995" s="38"/>
      <c r="E995" s="38"/>
      <c r="F995" s="38"/>
      <c r="G995" s="38"/>
      <c r="H995" s="38"/>
      <c r="I995" s="38"/>
      <c r="J995" s="38"/>
      <c r="K995" s="38"/>
    </row>
    <row r="996" ht="14.4" spans="2:11">
      <c r="B996" s="38"/>
      <c r="C996" s="38"/>
      <c r="D996" s="38"/>
      <c r="E996" s="38"/>
      <c r="F996" s="38"/>
      <c r="G996" s="38"/>
      <c r="H996" s="38"/>
      <c r="I996" s="38"/>
      <c r="J996" s="38"/>
      <c r="K996" s="38"/>
    </row>
    <row r="997" ht="14.4" spans="2:11">
      <c r="B997" s="38"/>
      <c r="C997" s="38"/>
      <c r="D997" s="38"/>
      <c r="E997" s="38"/>
      <c r="F997" s="38"/>
      <c r="G997" s="38"/>
      <c r="H997" s="38"/>
      <c r="I997" s="38"/>
      <c r="J997" s="38"/>
      <c r="K997" s="38"/>
    </row>
    <row r="998" ht="14.4" spans="2:11">
      <c r="B998" s="38"/>
      <c r="C998" s="38"/>
      <c r="D998" s="38"/>
      <c r="E998" s="38"/>
      <c r="F998" s="38"/>
      <c r="G998" s="38"/>
      <c r="H998" s="38"/>
      <c r="I998" s="38"/>
      <c r="J998" s="38"/>
      <c r="K998" s="38"/>
    </row>
    <row r="999" ht="14.4" spans="2:11">
      <c r="B999" s="38"/>
      <c r="C999" s="38"/>
      <c r="D999" s="38"/>
      <c r="E999" s="38"/>
      <c r="F999" s="38"/>
      <c r="G999" s="38"/>
      <c r="H999" s="38"/>
      <c r="I999" s="38"/>
      <c r="J999" s="38"/>
      <c r="K999" s="38"/>
    </row>
    <row r="1000" ht="14.4" spans="2:11"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</row>
    <row r="1001" ht="14.4" spans="2:11"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</row>
    <row r="1002" ht="14.4" spans="2:11"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</row>
    <row r="1003" ht="14.4" spans="2:11"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</row>
    <row r="1004" ht="14.4" spans="2:11"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</row>
    <row r="1005" ht="14.4" spans="2:11"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</row>
    <row r="1006" ht="14.4" spans="2:11"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</row>
    <row r="1007" ht="14.4" spans="2:11"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</row>
    <row r="1008" ht="14.4" spans="2:11"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</row>
    <row r="1009" ht="14.4" spans="2:11"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</row>
    <row r="1010" ht="14.4" spans="2:11"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</row>
    <row r="1011" ht="14.4" spans="2:11"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</row>
    <row r="1012" ht="14.4" spans="2:11"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</row>
    <row r="1013" ht="14.4" spans="2:11"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</row>
    <row r="1014" ht="14.4" spans="2:11"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</row>
    <row r="1015" ht="14.4" spans="2:11"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</row>
    <row r="1016" ht="14.4" spans="2:11"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</row>
    <row r="1017" ht="14.4" spans="2:11"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</row>
    <row r="1018" ht="14.4" spans="2:11"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</row>
    <row r="1019" ht="14.4" spans="2:11"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</row>
    <row r="1020" ht="14.4" spans="2:11"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</row>
    <row r="1021" ht="14.4" spans="2:11"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</row>
    <row r="1022" ht="14.4" spans="2:11"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</row>
    <row r="1023" ht="14.4" spans="2:11"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</row>
    <row r="1024" ht="14.4" spans="2:11"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</row>
    <row r="1025" ht="14.4" spans="2:11"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</row>
    <row r="1026" ht="14.4" spans="2:11"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</row>
    <row r="1027" ht="14.4" spans="2:11"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</row>
    <row r="1028" ht="14.4" spans="2:11"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</row>
    <row r="1029" ht="14.4" spans="2:11"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</row>
    <row r="1030" ht="14.4" spans="2:11"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</row>
    <row r="1031" ht="14.4" spans="2:11"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</row>
    <row r="1032" ht="14.4" spans="2:11"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</row>
    <row r="1033" ht="14.4" spans="2:11"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</row>
    <row r="1034" ht="14.4" spans="2:11"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</row>
    <row r="1035" ht="14.4" spans="2:11"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</row>
    <row r="1036" ht="14.4" spans="2:11"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</row>
    <row r="1037" ht="14.4" spans="2:11"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</row>
    <row r="1038" ht="14.4" spans="2:11"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</row>
    <row r="1039" ht="14.4" spans="2:11"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</row>
    <row r="1040" ht="14.4" spans="2:11"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</row>
    <row r="1041" ht="14.4" spans="2:11"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</row>
    <row r="1042" ht="14.4" spans="2:11"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</row>
    <row r="1043" ht="14.4" spans="2:11"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</row>
    <row r="1044" ht="14.4" spans="2:11"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</row>
    <row r="1045" ht="14.4" spans="2:11"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</row>
    <row r="1046" ht="14.4" spans="2:11"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</row>
    <row r="1047" ht="14.4" spans="2:11"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</row>
    <row r="1048" ht="14.4" spans="2:11"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</row>
    <row r="1049" ht="14.4" spans="2:11"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</row>
    <row r="1050" ht="14.4" spans="2:11"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</row>
    <row r="1051" ht="14.4" spans="2:11"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</row>
    <row r="1052" ht="14.4" spans="2:11"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</row>
    <row r="1053" ht="14.4" spans="2:11"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</row>
    <row r="1054" ht="14.4" spans="2:11"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</row>
    <row r="1055" ht="14.4" spans="2:11"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</row>
    <row r="1056" ht="14.4" spans="2:11"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</row>
    <row r="1057" ht="14.4" spans="2:11"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</row>
    <row r="1058" ht="14.4" spans="2:11"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</row>
    <row r="1059" ht="14.4" spans="2:11"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</row>
    <row r="1060" ht="14.4" spans="2:11"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</row>
    <row r="1061" ht="14.4" spans="2:11"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</row>
    <row r="1062" ht="14.4" spans="2:11"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</row>
    <row r="1063" ht="14.4" spans="2:11"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</row>
    <row r="1064" ht="14.4" spans="2:11"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</row>
    <row r="1065" ht="14.4" spans="2:11"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</row>
    <row r="1066" ht="14.4" spans="2:11"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</row>
    <row r="1067" ht="14.4" spans="2:11"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</row>
    <row r="1068" ht="14.4" spans="2:11"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</row>
    <row r="1069" ht="14.4" spans="2:11"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</row>
    <row r="1070" ht="14.4" spans="2:11"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</row>
    <row r="1071" ht="14.4" spans="2:11"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</row>
    <row r="1072" ht="14.4" spans="2:11"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</row>
    <row r="1073" ht="14.4" spans="2:11"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</row>
    <row r="1074" ht="14.4" spans="2:11"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</row>
    <row r="1075" ht="14.4" spans="2:11"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</row>
    <row r="1076" ht="14.4" spans="2:11"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</row>
    <row r="1077" ht="14.4" spans="2:11"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</row>
    <row r="1078" ht="14.4" spans="2:11"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</row>
    <row r="1079" ht="14.4" spans="2:11"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</row>
    <row r="1080" ht="14.4" spans="2:11"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</row>
    <row r="1081" ht="14.4" spans="2:11"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</row>
    <row r="1082" ht="14.4" spans="2:11"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</row>
    <row r="1083" ht="14.4" spans="2:11"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</row>
    <row r="1084" ht="14.4" spans="2:11"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</row>
    <row r="1085" ht="14.4" spans="2:11"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</row>
    <row r="1086" ht="14.4" spans="2:11"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</row>
    <row r="1087" ht="14.4" spans="2:11"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</row>
    <row r="1088" ht="14.4" spans="2:11"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</row>
    <row r="1089" ht="14.4" spans="2:11"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</row>
    <row r="1090" ht="14.4" spans="2:11"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</row>
    <row r="1091" ht="14.4" spans="2:11"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</row>
    <row r="1092" ht="14.4" spans="2:11"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</row>
    <row r="1093" ht="14.4" spans="2:11"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</row>
    <row r="1094" ht="14.4" spans="2:11"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</row>
    <row r="1095" ht="14.4" spans="2:11"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</row>
    <row r="1096" ht="14.4" spans="2:11"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</row>
    <row r="1097" ht="14.4" spans="2:11"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</row>
    <row r="1098" ht="14.4" spans="2:11"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</row>
    <row r="1099" ht="14.4" spans="2:11"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</row>
    <row r="1100" ht="14.4" spans="2:11"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</row>
    <row r="1101" ht="14.4" spans="2:11"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</row>
    <row r="1102" ht="14.4" spans="2:11"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</row>
    <row r="1103" ht="14.4" spans="2:11"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</row>
    <row r="1104" ht="14.4" spans="2:11"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</row>
    <row r="1105" ht="14.4" spans="2:11"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</row>
    <row r="1106" ht="14.4" spans="2:11"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</row>
    <row r="1107" ht="14.4" spans="2:11"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</row>
    <row r="1108" ht="14.4" spans="2:11"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</row>
    <row r="1109" ht="14.4" spans="2:11"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</row>
    <row r="1110" ht="14.4" spans="2:11"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</row>
    <row r="1111" ht="14.4" spans="2:11"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</row>
    <row r="1112" ht="14.4" spans="2:11"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</row>
    <row r="1113" ht="14.4" spans="2:11"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</row>
    <row r="1114" ht="14.4" spans="2:11"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</row>
    <row r="1115" ht="14.4" spans="2:11"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</row>
    <row r="1116" ht="14.4" spans="2:11"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</row>
    <row r="1117" ht="14.4" spans="2:11"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</row>
    <row r="1118" ht="14.4" spans="2:11"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</row>
    <row r="1119" ht="14.4" spans="2:11"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</row>
    <row r="1120" ht="14.4" spans="2:11"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</row>
    <row r="1121" ht="14.4" spans="2:11"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</row>
    <row r="1122" ht="14.4" spans="2:11"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</row>
    <row r="1123" ht="14.4" spans="2:11"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</row>
    <row r="1124" ht="14.4" spans="2:11"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</row>
    <row r="1125" ht="14.4" spans="2:11"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</row>
    <row r="1126" ht="14.4" spans="2:11"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</row>
    <row r="1127" ht="14.4" spans="2:11"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</row>
    <row r="1128" ht="14.4" spans="2:11"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</row>
    <row r="1129" ht="14.4" spans="2:11"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</row>
    <row r="1130" ht="14.4" spans="2:11"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</row>
    <row r="1131" ht="14.4" spans="2:11"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</row>
    <row r="1132" ht="14.4" spans="2:11"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</row>
    <row r="1133" ht="14.4" spans="2:11"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</row>
    <row r="1134" ht="14.4" spans="2:11"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</row>
    <row r="1135" ht="14.4" spans="2:11"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</row>
    <row r="1136" ht="14.4" spans="2:11">
      <c r="B1136" s="38"/>
      <c r="C1136" s="38"/>
      <c r="D1136" s="38"/>
      <c r="E1136" s="38"/>
      <c r="F1136" s="38"/>
      <c r="G1136" s="38"/>
      <c r="H1136" s="38"/>
      <c r="I1136" s="38"/>
      <c r="J1136" s="38"/>
      <c r="K1136" s="38"/>
    </row>
    <row r="1137" ht="14.4" spans="2:11"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</row>
    <row r="1138" ht="14.4" spans="2:11">
      <c r="B1138" s="38"/>
      <c r="C1138" s="38"/>
      <c r="D1138" s="38"/>
      <c r="E1138" s="38"/>
      <c r="F1138" s="38"/>
      <c r="G1138" s="38"/>
      <c r="H1138" s="38"/>
      <c r="I1138" s="38"/>
      <c r="J1138" s="38"/>
      <c r="K1138" s="38"/>
    </row>
    <row r="1139" ht="14.4" spans="2:11">
      <c r="B1139" s="38"/>
      <c r="C1139" s="38"/>
      <c r="D1139" s="38"/>
      <c r="E1139" s="38"/>
      <c r="F1139" s="38"/>
      <c r="G1139" s="38"/>
      <c r="H1139" s="38"/>
      <c r="I1139" s="38"/>
      <c r="J1139" s="38"/>
      <c r="K1139" s="38"/>
    </row>
    <row r="1140" ht="14.4" spans="2:11">
      <c r="B1140" s="38"/>
      <c r="C1140" s="38"/>
      <c r="D1140" s="38"/>
      <c r="E1140" s="38"/>
      <c r="F1140" s="38"/>
      <c r="G1140" s="38"/>
      <c r="H1140" s="38"/>
      <c r="I1140" s="38"/>
      <c r="J1140" s="38"/>
      <c r="K1140" s="38"/>
    </row>
    <row r="1141" ht="14.4" spans="2:11">
      <c r="B1141" s="38"/>
      <c r="C1141" s="38"/>
      <c r="D1141" s="38"/>
      <c r="E1141" s="38"/>
      <c r="F1141" s="38"/>
      <c r="G1141" s="38"/>
      <c r="H1141" s="38"/>
      <c r="I1141" s="38"/>
      <c r="J1141" s="38"/>
      <c r="K1141" s="38"/>
    </row>
    <row r="1142" ht="14.4" spans="2:11">
      <c r="B1142" s="38"/>
      <c r="C1142" s="38"/>
      <c r="D1142" s="38"/>
      <c r="E1142" s="38"/>
      <c r="F1142" s="38"/>
      <c r="G1142" s="38"/>
      <c r="H1142" s="38"/>
      <c r="I1142" s="38"/>
      <c r="J1142" s="38"/>
      <c r="K1142" s="38"/>
    </row>
    <row r="1143" ht="14.4" spans="2:11">
      <c r="B1143" s="38"/>
      <c r="C1143" s="38"/>
      <c r="D1143" s="38"/>
      <c r="E1143" s="38"/>
      <c r="F1143" s="38"/>
      <c r="G1143" s="38"/>
      <c r="H1143" s="38"/>
      <c r="I1143" s="38"/>
      <c r="J1143" s="38"/>
      <c r="K1143" s="38"/>
    </row>
    <row r="1144" ht="14.4" spans="2:11"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</row>
    <row r="1145" ht="14.4" spans="2:11">
      <c r="B1145" s="38"/>
      <c r="C1145" s="38"/>
      <c r="D1145" s="38"/>
      <c r="E1145" s="38"/>
      <c r="F1145" s="38"/>
      <c r="G1145" s="38"/>
      <c r="H1145" s="38"/>
      <c r="I1145" s="38"/>
      <c r="J1145" s="38"/>
      <c r="K1145" s="38"/>
    </row>
    <row r="1146" ht="14.4" spans="2:11">
      <c r="B1146" s="38"/>
      <c r="C1146" s="38"/>
      <c r="D1146" s="38"/>
      <c r="E1146" s="38"/>
      <c r="F1146" s="38"/>
      <c r="G1146" s="38"/>
      <c r="H1146" s="38"/>
      <c r="I1146" s="38"/>
      <c r="J1146" s="38"/>
      <c r="K1146" s="38"/>
    </row>
    <row r="1147" ht="14.4" spans="2:11">
      <c r="B1147" s="38"/>
      <c r="C1147" s="38"/>
      <c r="D1147" s="38"/>
      <c r="E1147" s="38"/>
      <c r="F1147" s="38"/>
      <c r="G1147" s="38"/>
      <c r="H1147" s="38"/>
      <c r="I1147" s="38"/>
      <c r="J1147" s="38"/>
      <c r="K1147" s="38"/>
    </row>
    <row r="1148" ht="14.4" spans="2:11">
      <c r="B1148" s="38"/>
      <c r="C1148" s="38"/>
      <c r="D1148" s="38"/>
      <c r="E1148" s="38"/>
      <c r="F1148" s="38"/>
      <c r="G1148" s="38"/>
      <c r="H1148" s="38"/>
      <c r="I1148" s="38"/>
      <c r="J1148" s="38"/>
      <c r="K1148" s="38"/>
    </row>
    <row r="1149" ht="14.4" spans="2:11">
      <c r="B1149" s="38"/>
      <c r="C1149" s="38"/>
      <c r="D1149" s="38"/>
      <c r="E1149" s="38"/>
      <c r="F1149" s="38"/>
      <c r="G1149" s="38"/>
      <c r="H1149" s="38"/>
      <c r="I1149" s="38"/>
      <c r="J1149" s="38"/>
      <c r="K1149" s="38"/>
    </row>
    <row r="1150" ht="14.4" spans="2:11">
      <c r="B1150" s="38"/>
      <c r="C1150" s="38"/>
      <c r="D1150" s="38"/>
      <c r="E1150" s="38"/>
      <c r="F1150" s="38"/>
      <c r="G1150" s="38"/>
      <c r="H1150" s="38"/>
      <c r="I1150" s="38"/>
      <c r="J1150" s="38"/>
      <c r="K1150" s="38"/>
    </row>
    <row r="1151" ht="14.4" spans="2:11"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</row>
    <row r="1152" ht="14.4" spans="2:11"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</row>
    <row r="1153" ht="14.4" spans="2:11">
      <c r="B1153" s="38"/>
      <c r="C1153" s="38"/>
      <c r="D1153" s="38"/>
      <c r="E1153" s="38"/>
      <c r="F1153" s="38"/>
      <c r="G1153" s="38"/>
      <c r="H1153" s="38"/>
      <c r="I1153" s="38"/>
      <c r="J1153" s="38"/>
      <c r="K1153" s="38"/>
    </row>
    <row r="1154" ht="14.4" spans="2:11">
      <c r="B1154" s="38"/>
      <c r="C1154" s="38"/>
      <c r="D1154" s="38"/>
      <c r="E1154" s="38"/>
      <c r="F1154" s="38"/>
      <c r="G1154" s="38"/>
      <c r="H1154" s="38"/>
      <c r="I1154" s="38"/>
      <c r="J1154" s="38"/>
      <c r="K1154" s="38"/>
    </row>
    <row r="1155" ht="14.4" spans="2:11">
      <c r="B1155" s="38"/>
      <c r="C1155" s="38"/>
      <c r="D1155" s="38"/>
      <c r="E1155" s="38"/>
      <c r="F1155" s="38"/>
      <c r="G1155" s="38"/>
      <c r="H1155" s="38"/>
      <c r="I1155" s="38"/>
      <c r="J1155" s="38"/>
      <c r="K1155" s="38"/>
    </row>
    <row r="1156" ht="14.4" spans="2:11">
      <c r="B1156" s="38"/>
      <c r="C1156" s="38"/>
      <c r="D1156" s="38"/>
      <c r="E1156" s="38"/>
      <c r="F1156" s="38"/>
      <c r="G1156" s="38"/>
      <c r="H1156" s="38"/>
      <c r="I1156" s="38"/>
      <c r="J1156" s="38"/>
      <c r="K1156" s="38"/>
    </row>
    <row r="1157" ht="14.4" spans="2:11">
      <c r="B1157" s="38"/>
      <c r="C1157" s="38"/>
      <c r="D1157" s="38"/>
      <c r="E1157" s="38"/>
      <c r="F1157" s="38"/>
      <c r="G1157" s="38"/>
      <c r="H1157" s="38"/>
      <c r="I1157" s="38"/>
      <c r="J1157" s="38"/>
      <c r="K1157" s="38"/>
    </row>
    <row r="1158" ht="14.4" spans="2:11">
      <c r="B1158" s="38"/>
      <c r="C1158" s="38"/>
      <c r="D1158" s="38"/>
      <c r="E1158" s="38"/>
      <c r="F1158" s="38"/>
      <c r="G1158" s="38"/>
      <c r="H1158" s="38"/>
      <c r="I1158" s="38"/>
      <c r="J1158" s="38"/>
      <c r="K1158" s="38"/>
    </row>
    <row r="1159" ht="14.4" spans="2:11">
      <c r="B1159" s="38"/>
      <c r="C1159" s="38"/>
      <c r="D1159" s="38"/>
      <c r="E1159" s="38"/>
      <c r="F1159" s="38"/>
      <c r="G1159" s="38"/>
      <c r="H1159" s="38"/>
      <c r="I1159" s="38"/>
      <c r="J1159" s="38"/>
      <c r="K1159" s="38"/>
    </row>
    <row r="1160" ht="14.4" spans="2:11">
      <c r="B1160" s="38"/>
      <c r="C1160" s="38"/>
      <c r="D1160" s="38"/>
      <c r="E1160" s="38"/>
      <c r="F1160" s="38"/>
      <c r="G1160" s="38"/>
      <c r="H1160" s="38"/>
      <c r="I1160" s="38"/>
      <c r="J1160" s="38"/>
      <c r="K1160" s="38"/>
    </row>
    <row r="1161" ht="14.4" spans="2:11">
      <c r="B1161" s="38"/>
      <c r="C1161" s="38"/>
      <c r="D1161" s="38"/>
      <c r="E1161" s="38"/>
      <c r="F1161" s="38"/>
      <c r="G1161" s="38"/>
      <c r="H1161" s="38"/>
      <c r="I1161" s="38"/>
      <c r="J1161" s="38"/>
      <c r="K1161" s="38"/>
    </row>
    <row r="1162" ht="14.4" spans="2:11"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</row>
    <row r="1163" ht="14.4" spans="2:11">
      <c r="B1163" s="38"/>
      <c r="C1163" s="38"/>
      <c r="D1163" s="38"/>
      <c r="E1163" s="38"/>
      <c r="F1163" s="38"/>
      <c r="G1163" s="38"/>
      <c r="H1163" s="38"/>
      <c r="I1163" s="38"/>
      <c r="J1163" s="38"/>
      <c r="K1163" s="38"/>
    </row>
    <row r="1164" ht="14.4" spans="2:11"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</row>
    <row r="1165" ht="14.4" spans="2:11">
      <c r="B1165" s="38"/>
      <c r="C1165" s="38"/>
      <c r="D1165" s="38"/>
      <c r="E1165" s="38"/>
      <c r="F1165" s="38"/>
      <c r="G1165" s="38"/>
      <c r="H1165" s="38"/>
      <c r="I1165" s="38"/>
      <c r="J1165" s="38"/>
      <c r="K1165" s="38"/>
    </row>
    <row r="1166" ht="14.4" spans="2:11">
      <c r="B1166" s="38"/>
      <c r="C1166" s="38"/>
      <c r="D1166" s="38"/>
      <c r="E1166" s="38"/>
      <c r="F1166" s="38"/>
      <c r="G1166" s="38"/>
      <c r="H1166" s="38"/>
      <c r="I1166" s="38"/>
      <c r="J1166" s="38"/>
      <c r="K1166" s="38"/>
    </row>
    <row r="1167" ht="14.4" spans="2:11">
      <c r="B1167" s="38"/>
      <c r="C1167" s="38"/>
      <c r="D1167" s="38"/>
      <c r="E1167" s="38"/>
      <c r="F1167" s="38"/>
      <c r="G1167" s="38"/>
      <c r="H1167" s="38"/>
      <c r="I1167" s="38"/>
      <c r="J1167" s="38"/>
      <c r="K1167" s="38"/>
    </row>
    <row r="1168" ht="14.4" spans="2:11">
      <c r="B1168" s="38"/>
      <c r="C1168" s="38"/>
      <c r="D1168" s="38"/>
      <c r="E1168" s="38"/>
      <c r="F1168" s="38"/>
      <c r="G1168" s="38"/>
      <c r="H1168" s="38"/>
      <c r="I1168" s="38"/>
      <c r="J1168" s="38"/>
      <c r="K1168" s="38"/>
    </row>
    <row r="1169" ht="14.4" spans="2:11">
      <c r="B1169" s="38"/>
      <c r="C1169" s="38"/>
      <c r="D1169" s="38"/>
      <c r="E1169" s="38"/>
      <c r="F1169" s="38"/>
      <c r="G1169" s="38"/>
      <c r="H1169" s="38"/>
      <c r="I1169" s="38"/>
      <c r="J1169" s="38"/>
      <c r="K1169" s="38"/>
    </row>
    <row r="1170" ht="14.4" spans="2:11"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</row>
    <row r="1171" ht="14.4" spans="2:11">
      <c r="B1171" s="38"/>
      <c r="C1171" s="38"/>
      <c r="D1171" s="38"/>
      <c r="E1171" s="38"/>
      <c r="F1171" s="38"/>
      <c r="G1171" s="38"/>
      <c r="H1171" s="38"/>
      <c r="I1171" s="38"/>
      <c r="J1171" s="38"/>
      <c r="K1171" s="38"/>
    </row>
    <row r="1172" ht="14.4" spans="2:11">
      <c r="B1172" s="38"/>
      <c r="C1172" s="38"/>
      <c r="D1172" s="38"/>
      <c r="E1172" s="38"/>
      <c r="F1172" s="38"/>
      <c r="G1172" s="38"/>
      <c r="H1172" s="38"/>
      <c r="I1172" s="38"/>
      <c r="J1172" s="38"/>
      <c r="K1172" s="38"/>
    </row>
    <row r="1173" ht="14.4" spans="2:11">
      <c r="B1173" s="38"/>
      <c r="C1173" s="38"/>
      <c r="D1173" s="38"/>
      <c r="E1173" s="38"/>
      <c r="F1173" s="38"/>
      <c r="G1173" s="38"/>
      <c r="H1173" s="38"/>
      <c r="I1173" s="38"/>
      <c r="J1173" s="38"/>
      <c r="K1173" s="38"/>
    </row>
    <row r="1174" ht="14.4" spans="2:11">
      <c r="B1174" s="38"/>
      <c r="C1174" s="38"/>
      <c r="D1174" s="38"/>
      <c r="E1174" s="38"/>
      <c r="F1174" s="38"/>
      <c r="G1174" s="38"/>
      <c r="H1174" s="38"/>
      <c r="I1174" s="38"/>
      <c r="J1174" s="38"/>
      <c r="K1174" s="38"/>
    </row>
    <row r="1175" ht="14.4" spans="2:11">
      <c r="B1175" s="38"/>
      <c r="C1175" s="38"/>
      <c r="D1175" s="38"/>
      <c r="E1175" s="38"/>
      <c r="F1175" s="38"/>
      <c r="G1175" s="38"/>
      <c r="H1175" s="38"/>
      <c r="I1175" s="38"/>
      <c r="J1175" s="38"/>
      <c r="K1175" s="38"/>
    </row>
    <row r="1176" ht="14.4" spans="2:11"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</row>
    <row r="1177" ht="14.4" spans="2:11">
      <c r="B1177" s="38"/>
      <c r="C1177" s="38"/>
      <c r="D1177" s="38"/>
      <c r="E1177" s="38"/>
      <c r="F1177" s="38"/>
      <c r="G1177" s="38"/>
      <c r="H1177" s="38"/>
      <c r="I1177" s="38"/>
      <c r="J1177" s="38"/>
      <c r="K1177" s="38"/>
    </row>
    <row r="1178" ht="14.4" spans="2:11">
      <c r="B1178" s="38"/>
      <c r="C1178" s="38"/>
      <c r="D1178" s="38"/>
      <c r="E1178" s="38"/>
      <c r="F1178" s="38"/>
      <c r="G1178" s="38"/>
      <c r="H1178" s="38"/>
      <c r="I1178" s="38"/>
      <c r="J1178" s="38"/>
      <c r="K1178" s="38"/>
    </row>
    <row r="1179" ht="14.4" spans="2:11">
      <c r="B1179" s="38"/>
      <c r="C1179" s="38"/>
      <c r="D1179" s="38"/>
      <c r="E1179" s="38"/>
      <c r="F1179" s="38"/>
      <c r="G1179" s="38"/>
      <c r="H1179" s="38"/>
      <c r="I1179" s="38"/>
      <c r="J1179" s="38"/>
      <c r="K1179" s="38"/>
    </row>
    <row r="1180" ht="14.4" spans="2:11"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</row>
    <row r="1181" ht="14.4" spans="2:11">
      <c r="B1181" s="38"/>
      <c r="C1181" s="38"/>
      <c r="D1181" s="38"/>
      <c r="E1181" s="38"/>
      <c r="F1181" s="38"/>
      <c r="G1181" s="38"/>
      <c r="H1181" s="38"/>
      <c r="I1181" s="38"/>
      <c r="J1181" s="38"/>
      <c r="K1181" s="38"/>
    </row>
    <row r="1182" ht="14.4" spans="2:11">
      <c r="B1182" s="38"/>
      <c r="C1182" s="38"/>
      <c r="D1182" s="38"/>
      <c r="E1182" s="38"/>
      <c r="F1182" s="38"/>
      <c r="G1182" s="38"/>
      <c r="H1182" s="38"/>
      <c r="I1182" s="38"/>
      <c r="J1182" s="38"/>
      <c r="K1182" s="38"/>
    </row>
    <row r="1183" ht="14.4" spans="2:11"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</row>
    <row r="1184" ht="14.4" spans="2:11">
      <c r="B1184" s="38"/>
      <c r="C1184" s="38"/>
      <c r="D1184" s="38"/>
      <c r="E1184" s="38"/>
      <c r="F1184" s="38"/>
      <c r="G1184" s="38"/>
      <c r="H1184" s="38"/>
      <c r="I1184" s="38"/>
      <c r="J1184" s="38"/>
      <c r="K1184" s="38"/>
    </row>
    <row r="1185" ht="14.4" spans="2:11">
      <c r="B1185" s="38"/>
      <c r="C1185" s="38"/>
      <c r="D1185" s="38"/>
      <c r="E1185" s="38"/>
      <c r="F1185" s="38"/>
      <c r="G1185" s="38"/>
      <c r="H1185" s="38"/>
      <c r="I1185" s="38"/>
      <c r="J1185" s="38"/>
      <c r="K1185" s="38"/>
    </row>
    <row r="1186" ht="14.4" spans="2:11">
      <c r="B1186" s="38"/>
      <c r="C1186" s="38"/>
      <c r="D1186" s="38"/>
      <c r="E1186" s="38"/>
      <c r="F1186" s="38"/>
      <c r="G1186" s="38"/>
      <c r="H1186" s="38"/>
      <c r="I1186" s="38"/>
      <c r="J1186" s="38"/>
      <c r="K1186" s="38"/>
    </row>
    <row r="1187" ht="14.4" spans="2:11"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</row>
    <row r="1188" ht="14.4" spans="2:11">
      <c r="B1188" s="38"/>
      <c r="C1188" s="38"/>
      <c r="D1188" s="38"/>
      <c r="E1188" s="38"/>
      <c r="F1188" s="38"/>
      <c r="G1188" s="38"/>
      <c r="H1188" s="38"/>
      <c r="I1188" s="38"/>
      <c r="J1188" s="38"/>
      <c r="K1188" s="38"/>
    </row>
    <row r="1189" ht="14.4" spans="2:11">
      <c r="B1189" s="38"/>
      <c r="C1189" s="38"/>
      <c r="D1189" s="38"/>
      <c r="E1189" s="38"/>
      <c r="F1189" s="38"/>
      <c r="G1189" s="38"/>
      <c r="H1189" s="38"/>
      <c r="I1189" s="38"/>
      <c r="J1189" s="38"/>
      <c r="K1189" s="38"/>
    </row>
    <row r="1190" ht="14.4" spans="2:11">
      <c r="B1190" s="38"/>
      <c r="C1190" s="38"/>
      <c r="D1190" s="38"/>
      <c r="E1190" s="38"/>
      <c r="F1190" s="38"/>
      <c r="G1190" s="38"/>
      <c r="H1190" s="38"/>
      <c r="I1190" s="38"/>
      <c r="J1190" s="38"/>
      <c r="K1190" s="38"/>
    </row>
    <row r="1191" ht="14.4" spans="2:11">
      <c r="B1191" s="38"/>
      <c r="C1191" s="38"/>
      <c r="D1191" s="38"/>
      <c r="E1191" s="38"/>
      <c r="F1191" s="38"/>
      <c r="G1191" s="38"/>
      <c r="H1191" s="38"/>
      <c r="I1191" s="38"/>
      <c r="J1191" s="38"/>
      <c r="K1191" s="38"/>
    </row>
    <row r="1192" ht="14.4" spans="2:11">
      <c r="B1192" s="38"/>
      <c r="C1192" s="38"/>
      <c r="D1192" s="38"/>
      <c r="E1192" s="38"/>
      <c r="F1192" s="38"/>
      <c r="G1192" s="38"/>
      <c r="H1192" s="38"/>
      <c r="I1192" s="38"/>
      <c r="J1192" s="38"/>
      <c r="K1192" s="38"/>
    </row>
    <row r="1193" ht="14.4" spans="2:11">
      <c r="B1193" s="38"/>
      <c r="C1193" s="38"/>
      <c r="D1193" s="38"/>
      <c r="E1193" s="38"/>
      <c r="F1193" s="38"/>
      <c r="G1193" s="38"/>
      <c r="H1193" s="38"/>
      <c r="I1193" s="38"/>
      <c r="J1193" s="38"/>
      <c r="K1193" s="38"/>
    </row>
    <row r="1194" ht="14.4" spans="2:11"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</row>
    <row r="1195" ht="14.4" spans="2:11">
      <c r="B1195" s="38"/>
      <c r="C1195" s="38"/>
      <c r="D1195" s="38"/>
      <c r="E1195" s="38"/>
      <c r="F1195" s="38"/>
      <c r="G1195" s="38"/>
      <c r="H1195" s="38"/>
      <c r="I1195" s="38"/>
      <c r="J1195" s="38"/>
      <c r="K1195" s="38"/>
    </row>
    <row r="1196" ht="14.4" spans="2:11"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</row>
    <row r="1197" ht="14.4" spans="2:11">
      <c r="B1197" s="38"/>
      <c r="C1197" s="38"/>
      <c r="D1197" s="38"/>
      <c r="E1197" s="38"/>
      <c r="F1197" s="38"/>
      <c r="G1197" s="38"/>
      <c r="H1197" s="38"/>
      <c r="I1197" s="38"/>
      <c r="J1197" s="38"/>
      <c r="K1197" s="38"/>
    </row>
    <row r="1198" ht="14.4" spans="2:11">
      <c r="B1198" s="38"/>
      <c r="C1198" s="38"/>
      <c r="D1198" s="38"/>
      <c r="E1198" s="38"/>
      <c r="F1198" s="38"/>
      <c r="G1198" s="38"/>
      <c r="H1198" s="38"/>
      <c r="I1198" s="38"/>
      <c r="J1198" s="38"/>
      <c r="K1198" s="38"/>
    </row>
    <row r="1199" ht="14.4" spans="2:11">
      <c r="B1199" s="38"/>
      <c r="C1199" s="38"/>
      <c r="D1199" s="38"/>
      <c r="E1199" s="38"/>
      <c r="F1199" s="38"/>
      <c r="G1199" s="38"/>
      <c r="H1199" s="38"/>
      <c r="I1199" s="38"/>
      <c r="J1199" s="38"/>
      <c r="K1199" s="38"/>
    </row>
    <row r="1200" ht="14.4" spans="2:11">
      <c r="B1200" s="38"/>
      <c r="C1200" s="38"/>
      <c r="D1200" s="38"/>
      <c r="E1200" s="38"/>
      <c r="F1200" s="38"/>
      <c r="G1200" s="38"/>
      <c r="H1200" s="38"/>
      <c r="I1200" s="38"/>
      <c r="J1200" s="38"/>
      <c r="K1200" s="38"/>
    </row>
    <row r="1201" ht="14.4" spans="2:11">
      <c r="B1201" s="38"/>
      <c r="C1201" s="38"/>
      <c r="D1201" s="38"/>
      <c r="E1201" s="38"/>
      <c r="F1201" s="38"/>
      <c r="G1201" s="38"/>
      <c r="H1201" s="38"/>
      <c r="I1201" s="38"/>
      <c r="J1201" s="38"/>
      <c r="K1201" s="38"/>
    </row>
    <row r="1202" ht="14.4" spans="2:11">
      <c r="B1202" s="38"/>
      <c r="C1202" s="38"/>
      <c r="D1202" s="38"/>
      <c r="E1202" s="38"/>
      <c r="F1202" s="38"/>
      <c r="G1202" s="38"/>
      <c r="H1202" s="38"/>
      <c r="I1202" s="38"/>
      <c r="J1202" s="38"/>
      <c r="K1202" s="38"/>
    </row>
    <row r="1203" ht="14.4" spans="2:11">
      <c r="B1203" s="38"/>
      <c r="C1203" s="38"/>
      <c r="D1203" s="38"/>
      <c r="E1203" s="38"/>
      <c r="F1203" s="38"/>
      <c r="G1203" s="38"/>
      <c r="H1203" s="38"/>
      <c r="I1203" s="38"/>
      <c r="J1203" s="38"/>
      <c r="K1203" s="38"/>
    </row>
    <row r="1204" ht="14.4" spans="2:11">
      <c r="B1204" s="38"/>
      <c r="C1204" s="38"/>
      <c r="D1204" s="38"/>
      <c r="E1204" s="38"/>
      <c r="F1204" s="38"/>
      <c r="G1204" s="38"/>
      <c r="H1204" s="38"/>
      <c r="I1204" s="38"/>
      <c r="J1204" s="38"/>
      <c r="K1204" s="38"/>
    </row>
    <row r="1205" ht="14.4" spans="2:11">
      <c r="B1205" s="38"/>
      <c r="C1205" s="38"/>
      <c r="D1205" s="38"/>
      <c r="E1205" s="38"/>
      <c r="F1205" s="38"/>
      <c r="G1205" s="38"/>
      <c r="H1205" s="38"/>
      <c r="I1205" s="38"/>
      <c r="J1205" s="38"/>
      <c r="K1205" s="38"/>
    </row>
    <row r="1206" ht="14.4" spans="2:11">
      <c r="B1206" s="38"/>
      <c r="C1206" s="38"/>
      <c r="D1206" s="38"/>
      <c r="E1206" s="38"/>
      <c r="F1206" s="38"/>
      <c r="G1206" s="38"/>
      <c r="H1206" s="38"/>
      <c r="I1206" s="38"/>
      <c r="J1206" s="38"/>
      <c r="K1206" s="38"/>
    </row>
    <row r="1207" ht="14.4" spans="2:11">
      <c r="B1207" s="38"/>
      <c r="C1207" s="38"/>
      <c r="D1207" s="38"/>
      <c r="E1207" s="38"/>
      <c r="F1207" s="38"/>
      <c r="G1207" s="38"/>
      <c r="H1207" s="38"/>
      <c r="I1207" s="38"/>
      <c r="J1207" s="38"/>
      <c r="K1207" s="38"/>
    </row>
    <row r="1208" ht="14.4" spans="2:11">
      <c r="B1208" s="38"/>
      <c r="C1208" s="38"/>
      <c r="D1208" s="38"/>
      <c r="E1208" s="38"/>
      <c r="F1208" s="38"/>
      <c r="G1208" s="38"/>
      <c r="H1208" s="38"/>
      <c r="I1208" s="38"/>
      <c r="J1208" s="38"/>
      <c r="K1208" s="38"/>
    </row>
    <row r="1209" ht="14.4" spans="2:11">
      <c r="B1209" s="38"/>
      <c r="C1209" s="38"/>
      <c r="D1209" s="38"/>
      <c r="E1209" s="38"/>
      <c r="F1209" s="38"/>
      <c r="G1209" s="38"/>
      <c r="H1209" s="38"/>
      <c r="I1209" s="38"/>
      <c r="J1209" s="38"/>
      <c r="K1209" s="38"/>
    </row>
    <row r="1210" ht="14.4" spans="2:11">
      <c r="B1210" s="38"/>
      <c r="C1210" s="38"/>
      <c r="D1210" s="38"/>
      <c r="E1210" s="38"/>
      <c r="F1210" s="38"/>
      <c r="G1210" s="38"/>
      <c r="H1210" s="38"/>
      <c r="I1210" s="38"/>
      <c r="J1210" s="38"/>
      <c r="K1210" s="38"/>
    </row>
    <row r="1211" ht="14.4" spans="2:11">
      <c r="B1211" s="38"/>
      <c r="C1211" s="38"/>
      <c r="D1211" s="38"/>
      <c r="E1211" s="38"/>
      <c r="F1211" s="38"/>
      <c r="G1211" s="38"/>
      <c r="H1211" s="38"/>
      <c r="I1211" s="38"/>
      <c r="J1211" s="38"/>
      <c r="K1211" s="38"/>
    </row>
    <row r="1212" ht="14.4" spans="2:11">
      <c r="B1212" s="38"/>
      <c r="C1212" s="38"/>
      <c r="D1212" s="38"/>
      <c r="E1212" s="38"/>
      <c r="F1212" s="38"/>
      <c r="G1212" s="38"/>
      <c r="H1212" s="38"/>
      <c r="I1212" s="38"/>
      <c r="J1212" s="38"/>
      <c r="K1212" s="38"/>
    </row>
    <row r="1213" ht="14.4" spans="2:11">
      <c r="B1213" s="38"/>
      <c r="C1213" s="38"/>
      <c r="D1213" s="38"/>
      <c r="E1213" s="38"/>
      <c r="F1213" s="38"/>
      <c r="G1213" s="38"/>
      <c r="H1213" s="38"/>
      <c r="I1213" s="38"/>
      <c r="J1213" s="38"/>
      <c r="K1213" s="38"/>
    </row>
    <row r="1214" ht="14.4" spans="2:11">
      <c r="B1214" s="38"/>
      <c r="C1214" s="38"/>
      <c r="D1214" s="38"/>
      <c r="E1214" s="38"/>
      <c r="F1214" s="38"/>
      <c r="G1214" s="38"/>
      <c r="H1214" s="38"/>
      <c r="I1214" s="38"/>
      <c r="J1214" s="38"/>
      <c r="K1214" s="38"/>
    </row>
    <row r="1215" ht="14.4" spans="2:11">
      <c r="B1215" s="38"/>
      <c r="C1215" s="38"/>
      <c r="D1215" s="38"/>
      <c r="E1215" s="38"/>
      <c r="F1215" s="38"/>
      <c r="G1215" s="38"/>
      <c r="H1215" s="38"/>
      <c r="I1215" s="38"/>
      <c r="J1215" s="38"/>
      <c r="K1215" s="38"/>
    </row>
    <row r="1216" ht="14.4" spans="2:11">
      <c r="B1216" s="38"/>
      <c r="C1216" s="38"/>
      <c r="D1216" s="38"/>
      <c r="E1216" s="38"/>
      <c r="F1216" s="38"/>
      <c r="G1216" s="38"/>
      <c r="H1216" s="38"/>
      <c r="I1216" s="38"/>
      <c r="J1216" s="38"/>
      <c r="K1216" s="38"/>
    </row>
    <row r="1217" ht="14.4" spans="2:11">
      <c r="B1217" s="38"/>
      <c r="C1217" s="38"/>
      <c r="D1217" s="38"/>
      <c r="E1217" s="38"/>
      <c r="F1217" s="38"/>
      <c r="G1217" s="38"/>
      <c r="H1217" s="38"/>
      <c r="I1217" s="38"/>
      <c r="J1217" s="38"/>
      <c r="K1217" s="38"/>
    </row>
    <row r="1218" ht="14.4" spans="2:11">
      <c r="B1218" s="38"/>
      <c r="C1218" s="38"/>
      <c r="D1218" s="38"/>
      <c r="E1218" s="38"/>
      <c r="F1218" s="38"/>
      <c r="G1218" s="38"/>
      <c r="H1218" s="38"/>
      <c r="I1218" s="38"/>
      <c r="J1218" s="38"/>
      <c r="K1218" s="38"/>
    </row>
    <row r="1219" ht="14.4" spans="2:11">
      <c r="B1219" s="38"/>
      <c r="C1219" s="38"/>
      <c r="D1219" s="38"/>
      <c r="E1219" s="38"/>
      <c r="F1219" s="38"/>
      <c r="G1219" s="38"/>
      <c r="H1219" s="38"/>
      <c r="I1219" s="38"/>
      <c r="J1219" s="38"/>
      <c r="K1219" s="38"/>
    </row>
    <row r="1220" ht="14.4" spans="2:11">
      <c r="B1220" s="38"/>
      <c r="C1220" s="38"/>
      <c r="D1220" s="38"/>
      <c r="E1220" s="38"/>
      <c r="F1220" s="38"/>
      <c r="G1220" s="38"/>
      <c r="H1220" s="38"/>
      <c r="I1220" s="38"/>
      <c r="J1220" s="38"/>
      <c r="K1220" s="38"/>
    </row>
    <row r="1221" ht="14.4" spans="2:11">
      <c r="B1221" s="38"/>
      <c r="C1221" s="38"/>
      <c r="D1221" s="38"/>
      <c r="E1221" s="38"/>
      <c r="F1221" s="38"/>
      <c r="G1221" s="38"/>
      <c r="H1221" s="38"/>
      <c r="I1221" s="38"/>
      <c r="J1221" s="38"/>
      <c r="K1221" s="38"/>
    </row>
    <row r="1222" ht="14.4" spans="2:11">
      <c r="B1222" s="38"/>
      <c r="C1222" s="38"/>
      <c r="D1222" s="38"/>
      <c r="E1222" s="38"/>
      <c r="F1222" s="38"/>
      <c r="G1222" s="38"/>
      <c r="H1222" s="38"/>
      <c r="I1222" s="38"/>
      <c r="J1222" s="38"/>
      <c r="K1222" s="38"/>
    </row>
    <row r="1223" ht="14.4" spans="2:11"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</row>
    <row r="1224" ht="14.4" spans="2:11">
      <c r="B1224" s="38"/>
      <c r="C1224" s="38"/>
      <c r="D1224" s="38"/>
      <c r="E1224" s="38"/>
      <c r="F1224" s="38"/>
      <c r="G1224" s="38"/>
      <c r="H1224" s="38"/>
      <c r="I1224" s="38"/>
      <c r="J1224" s="38"/>
      <c r="K1224" s="38"/>
    </row>
    <row r="1225" ht="14.4" spans="2:11">
      <c r="B1225" s="38"/>
      <c r="C1225" s="38"/>
      <c r="D1225" s="38"/>
      <c r="E1225" s="38"/>
      <c r="F1225" s="38"/>
      <c r="G1225" s="38"/>
      <c r="H1225" s="38"/>
      <c r="I1225" s="38"/>
      <c r="J1225" s="38"/>
      <c r="K1225" s="38"/>
    </row>
    <row r="1226" ht="14.4" spans="2:11"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</row>
    <row r="1227" ht="14.4" spans="2:11">
      <c r="B1227" s="38"/>
      <c r="C1227" s="38"/>
      <c r="D1227" s="38"/>
      <c r="E1227" s="38"/>
      <c r="F1227" s="38"/>
      <c r="G1227" s="38"/>
      <c r="H1227" s="38"/>
      <c r="I1227" s="38"/>
      <c r="J1227" s="38"/>
      <c r="K1227" s="38"/>
    </row>
    <row r="1228" ht="14.4" spans="2:11">
      <c r="B1228" s="38"/>
      <c r="C1228" s="38"/>
      <c r="D1228" s="38"/>
      <c r="E1228" s="38"/>
      <c r="F1228" s="38"/>
      <c r="G1228" s="38"/>
      <c r="H1228" s="38"/>
      <c r="I1228" s="38"/>
      <c r="J1228" s="38"/>
      <c r="K1228" s="38"/>
    </row>
    <row r="1229" ht="14.4" spans="2:11">
      <c r="B1229" s="38"/>
      <c r="C1229" s="38"/>
      <c r="D1229" s="38"/>
      <c r="E1229" s="38"/>
      <c r="F1229" s="38"/>
      <c r="G1229" s="38"/>
      <c r="H1229" s="38"/>
      <c r="I1229" s="38"/>
      <c r="J1229" s="38"/>
      <c r="K1229" s="38"/>
    </row>
    <row r="1230" ht="14.4" spans="2:11">
      <c r="B1230" s="38"/>
      <c r="C1230" s="38"/>
      <c r="D1230" s="38"/>
      <c r="E1230" s="38"/>
      <c r="F1230" s="38"/>
      <c r="G1230" s="38"/>
      <c r="H1230" s="38"/>
      <c r="I1230" s="38"/>
      <c r="J1230" s="38"/>
      <c r="K1230" s="38"/>
    </row>
    <row r="1231" ht="14.4" spans="2:11">
      <c r="B1231" s="38"/>
      <c r="C1231" s="38"/>
      <c r="D1231" s="38"/>
      <c r="E1231" s="38"/>
      <c r="F1231" s="38"/>
      <c r="G1231" s="38"/>
      <c r="H1231" s="38"/>
      <c r="I1231" s="38"/>
      <c r="J1231" s="38"/>
      <c r="K1231" s="38"/>
    </row>
    <row r="1232" ht="14.4" spans="2:11">
      <c r="B1232" s="38"/>
      <c r="C1232" s="38"/>
      <c r="D1232" s="38"/>
      <c r="E1232" s="38"/>
      <c r="F1232" s="38"/>
      <c r="G1232" s="38"/>
      <c r="H1232" s="38"/>
      <c r="I1232" s="38"/>
      <c r="J1232" s="38"/>
      <c r="K1232" s="38"/>
    </row>
    <row r="1233" ht="14.4" spans="2:11">
      <c r="B1233" s="38"/>
      <c r="C1233" s="38"/>
      <c r="D1233" s="38"/>
      <c r="E1233" s="38"/>
      <c r="F1233" s="38"/>
      <c r="G1233" s="38"/>
      <c r="H1233" s="38"/>
      <c r="I1233" s="38"/>
      <c r="J1233" s="38"/>
      <c r="K1233" s="38"/>
    </row>
    <row r="1234" ht="14.4" spans="2:11">
      <c r="B1234" s="38"/>
      <c r="C1234" s="38"/>
      <c r="D1234" s="38"/>
      <c r="E1234" s="38"/>
      <c r="F1234" s="38"/>
      <c r="G1234" s="38"/>
      <c r="H1234" s="38"/>
      <c r="I1234" s="38"/>
      <c r="J1234" s="38"/>
      <c r="K1234" s="38"/>
    </row>
    <row r="1235" ht="14.4" spans="2:11">
      <c r="B1235" s="38"/>
      <c r="C1235" s="38"/>
      <c r="D1235" s="38"/>
      <c r="E1235" s="38"/>
      <c r="F1235" s="38"/>
      <c r="G1235" s="38"/>
      <c r="H1235" s="38"/>
      <c r="I1235" s="38"/>
      <c r="J1235" s="38"/>
      <c r="K1235" s="38"/>
    </row>
    <row r="1236" ht="14.4" spans="2:11"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</row>
    <row r="1237" ht="14.4" spans="2:11">
      <c r="B1237" s="38"/>
      <c r="C1237" s="38"/>
      <c r="D1237" s="38"/>
      <c r="E1237" s="38"/>
      <c r="F1237" s="38"/>
      <c r="G1237" s="38"/>
      <c r="H1237" s="38"/>
      <c r="I1237" s="38"/>
      <c r="J1237" s="38"/>
      <c r="K1237" s="38"/>
    </row>
    <row r="1238" ht="14.4" spans="2:11">
      <c r="B1238" s="38"/>
      <c r="C1238" s="38"/>
      <c r="D1238" s="38"/>
      <c r="E1238" s="38"/>
      <c r="F1238" s="38"/>
      <c r="G1238" s="38"/>
      <c r="H1238" s="38"/>
      <c r="I1238" s="38"/>
      <c r="J1238" s="38"/>
      <c r="K1238" s="38"/>
    </row>
    <row r="1239" ht="14.4" spans="2:11">
      <c r="B1239" s="38"/>
      <c r="C1239" s="38"/>
      <c r="D1239" s="38"/>
      <c r="E1239" s="38"/>
      <c r="F1239" s="38"/>
      <c r="G1239" s="38"/>
      <c r="H1239" s="38"/>
      <c r="I1239" s="38"/>
      <c r="J1239" s="38"/>
      <c r="K1239" s="38"/>
    </row>
    <row r="1240" ht="14.4" spans="2:11">
      <c r="B1240" s="38"/>
      <c r="C1240" s="38"/>
      <c r="D1240" s="38"/>
      <c r="E1240" s="38"/>
      <c r="F1240" s="38"/>
      <c r="G1240" s="38"/>
      <c r="H1240" s="38"/>
      <c r="I1240" s="38"/>
      <c r="J1240" s="38"/>
      <c r="K1240" s="38"/>
    </row>
    <row r="1241" ht="14.4" spans="2:11">
      <c r="B1241" s="38"/>
      <c r="C1241" s="38"/>
      <c r="D1241" s="38"/>
      <c r="E1241" s="38"/>
      <c r="F1241" s="38"/>
      <c r="G1241" s="38"/>
      <c r="H1241" s="38"/>
      <c r="I1241" s="38"/>
      <c r="J1241" s="38"/>
      <c r="K1241" s="38"/>
    </row>
    <row r="1242" ht="14.4" spans="2:11">
      <c r="B1242" s="38"/>
      <c r="C1242" s="38"/>
      <c r="D1242" s="38"/>
      <c r="E1242" s="38"/>
      <c r="F1242" s="38"/>
      <c r="G1242" s="38"/>
      <c r="H1242" s="38"/>
      <c r="I1242" s="38"/>
      <c r="J1242" s="38"/>
      <c r="K1242" s="38"/>
    </row>
    <row r="1243" ht="14.4" spans="2:11">
      <c r="B1243" s="38"/>
      <c r="C1243" s="38"/>
      <c r="D1243" s="38"/>
      <c r="E1243" s="38"/>
      <c r="F1243" s="38"/>
      <c r="G1243" s="38"/>
      <c r="H1243" s="38"/>
      <c r="I1243" s="38"/>
      <c r="J1243" s="38"/>
      <c r="K1243" s="38"/>
    </row>
    <row r="1244" ht="14.4" spans="2:11">
      <c r="B1244" s="38"/>
      <c r="C1244" s="38"/>
      <c r="D1244" s="38"/>
      <c r="E1244" s="38"/>
      <c r="F1244" s="38"/>
      <c r="G1244" s="38"/>
      <c r="H1244" s="38"/>
      <c r="I1244" s="38"/>
      <c r="J1244" s="38"/>
      <c r="K1244" s="38"/>
    </row>
    <row r="1245" ht="14.4" spans="2:11">
      <c r="B1245" s="38"/>
      <c r="C1245" s="38"/>
      <c r="D1245" s="38"/>
      <c r="E1245" s="38"/>
      <c r="F1245" s="38"/>
      <c r="G1245" s="38"/>
      <c r="H1245" s="38"/>
      <c r="I1245" s="38"/>
      <c r="J1245" s="38"/>
      <c r="K1245" s="38"/>
    </row>
    <row r="1246" ht="14.4" spans="2:11"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</row>
    <row r="1247" ht="14.4" spans="2:11">
      <c r="B1247" s="38"/>
      <c r="C1247" s="38"/>
      <c r="D1247" s="38"/>
      <c r="E1247" s="38"/>
      <c r="F1247" s="38"/>
      <c r="G1247" s="38"/>
      <c r="H1247" s="38"/>
      <c r="I1247" s="38"/>
      <c r="J1247" s="38"/>
      <c r="K1247" s="38"/>
    </row>
    <row r="1248" ht="14.4" spans="2:11">
      <c r="B1248" s="38"/>
      <c r="C1248" s="38"/>
      <c r="D1248" s="38"/>
      <c r="E1248" s="38"/>
      <c r="F1248" s="38"/>
      <c r="G1248" s="38"/>
      <c r="H1248" s="38"/>
      <c r="I1248" s="38"/>
      <c r="J1248" s="38"/>
      <c r="K1248" s="38"/>
    </row>
    <row r="1249" ht="14.4" spans="2:11">
      <c r="B1249" s="38"/>
      <c r="C1249" s="38"/>
      <c r="D1249" s="38"/>
      <c r="E1249" s="38"/>
      <c r="F1249" s="38"/>
      <c r="G1249" s="38"/>
      <c r="H1249" s="38"/>
      <c r="I1249" s="38"/>
      <c r="J1249" s="38"/>
      <c r="K1249" s="38"/>
    </row>
    <row r="1250" ht="14.4" spans="2:11">
      <c r="B1250" s="38"/>
      <c r="C1250" s="38"/>
      <c r="D1250" s="38"/>
      <c r="E1250" s="38"/>
      <c r="F1250" s="38"/>
      <c r="G1250" s="38"/>
      <c r="H1250" s="38"/>
      <c r="I1250" s="38"/>
      <c r="J1250" s="38"/>
      <c r="K1250" s="38"/>
    </row>
    <row r="1251" ht="14.4" spans="2:11">
      <c r="B1251" s="38"/>
      <c r="C1251" s="38"/>
      <c r="D1251" s="38"/>
      <c r="E1251" s="38"/>
      <c r="F1251" s="38"/>
      <c r="G1251" s="38"/>
      <c r="H1251" s="38"/>
      <c r="I1251" s="38"/>
      <c r="J1251" s="38"/>
      <c r="K1251" s="38"/>
    </row>
    <row r="1252" ht="14.4" spans="2:11">
      <c r="B1252" s="38"/>
      <c r="C1252" s="38"/>
      <c r="D1252" s="38"/>
      <c r="E1252" s="38"/>
      <c r="F1252" s="38"/>
      <c r="G1252" s="38"/>
      <c r="H1252" s="38"/>
      <c r="I1252" s="38"/>
      <c r="J1252" s="38"/>
      <c r="K1252" s="38"/>
    </row>
    <row r="1253" ht="14.4" spans="2:11">
      <c r="B1253" s="38"/>
      <c r="C1253" s="38"/>
      <c r="D1253" s="38"/>
      <c r="E1253" s="38"/>
      <c r="F1253" s="38"/>
      <c r="G1253" s="38"/>
      <c r="H1253" s="38"/>
      <c r="I1253" s="38"/>
      <c r="J1253" s="38"/>
      <c r="K1253" s="38"/>
    </row>
    <row r="1254" ht="14.4" spans="2:11">
      <c r="B1254" s="38"/>
      <c r="C1254" s="38"/>
      <c r="D1254" s="38"/>
      <c r="E1254" s="38"/>
      <c r="F1254" s="38"/>
      <c r="G1254" s="38"/>
      <c r="H1254" s="38"/>
      <c r="I1254" s="38"/>
      <c r="J1254" s="38"/>
      <c r="K1254" s="38"/>
    </row>
    <row r="1255" ht="14.4" spans="2:11">
      <c r="B1255" s="38"/>
      <c r="C1255" s="38"/>
      <c r="D1255" s="38"/>
      <c r="E1255" s="38"/>
      <c r="F1255" s="38"/>
      <c r="G1255" s="38"/>
      <c r="H1255" s="38"/>
      <c r="I1255" s="38"/>
      <c r="J1255" s="38"/>
      <c r="K1255" s="38"/>
    </row>
    <row r="1256" ht="14.4" spans="2:11">
      <c r="B1256" s="38"/>
      <c r="C1256" s="38"/>
      <c r="D1256" s="38"/>
      <c r="E1256" s="38"/>
      <c r="F1256" s="38"/>
      <c r="G1256" s="38"/>
      <c r="H1256" s="38"/>
      <c r="I1256" s="38"/>
      <c r="J1256" s="38"/>
      <c r="K1256" s="38"/>
    </row>
    <row r="1257" ht="14.4" spans="2:11">
      <c r="B1257" s="38"/>
      <c r="C1257" s="38"/>
      <c r="D1257" s="38"/>
      <c r="E1257" s="38"/>
      <c r="F1257" s="38"/>
      <c r="G1257" s="38"/>
      <c r="H1257" s="38"/>
      <c r="I1257" s="38"/>
      <c r="J1257" s="38"/>
      <c r="K1257" s="38"/>
    </row>
    <row r="1258" ht="14.4" spans="2:11">
      <c r="B1258" s="38"/>
      <c r="C1258" s="38"/>
      <c r="D1258" s="38"/>
      <c r="E1258" s="38"/>
      <c r="F1258" s="38"/>
      <c r="G1258" s="38"/>
      <c r="H1258" s="38"/>
      <c r="I1258" s="38"/>
      <c r="J1258" s="38"/>
      <c r="K1258" s="38"/>
    </row>
    <row r="1259" ht="14.4" spans="2:11">
      <c r="B1259" s="38"/>
      <c r="C1259" s="38"/>
      <c r="D1259" s="38"/>
      <c r="E1259" s="38"/>
      <c r="F1259" s="38"/>
      <c r="G1259" s="38"/>
      <c r="H1259" s="38"/>
      <c r="I1259" s="38"/>
      <c r="J1259" s="38"/>
      <c r="K1259" s="38"/>
    </row>
    <row r="1260" ht="14.4" spans="2:11">
      <c r="B1260" s="38"/>
      <c r="C1260" s="38"/>
      <c r="D1260" s="38"/>
      <c r="E1260" s="38"/>
      <c r="F1260" s="38"/>
      <c r="G1260" s="38"/>
      <c r="H1260" s="38"/>
      <c r="I1260" s="38"/>
      <c r="J1260" s="38"/>
      <c r="K1260" s="38"/>
    </row>
    <row r="1261" ht="14.4" spans="2:11">
      <c r="B1261" s="38"/>
      <c r="C1261" s="38"/>
      <c r="D1261" s="38"/>
      <c r="E1261" s="38"/>
      <c r="F1261" s="38"/>
      <c r="G1261" s="38"/>
      <c r="H1261" s="38"/>
      <c r="I1261" s="38"/>
      <c r="J1261" s="38"/>
      <c r="K1261" s="38"/>
    </row>
    <row r="1262" ht="14.4" spans="2:11">
      <c r="B1262" s="38"/>
      <c r="C1262" s="38"/>
      <c r="D1262" s="38"/>
      <c r="E1262" s="38"/>
      <c r="F1262" s="38"/>
      <c r="G1262" s="38"/>
      <c r="H1262" s="38"/>
      <c r="I1262" s="38"/>
      <c r="J1262" s="38"/>
      <c r="K1262" s="38"/>
    </row>
    <row r="1263" ht="14.4" spans="2:11">
      <c r="B1263" s="38"/>
      <c r="C1263" s="38"/>
      <c r="D1263" s="38"/>
      <c r="E1263" s="38"/>
      <c r="F1263" s="38"/>
      <c r="G1263" s="38"/>
      <c r="H1263" s="38"/>
      <c r="I1263" s="38"/>
      <c r="J1263" s="38"/>
      <c r="K1263" s="38"/>
    </row>
    <row r="1264" ht="14.4" spans="2:11">
      <c r="B1264" s="38"/>
      <c r="C1264" s="38"/>
      <c r="D1264" s="38"/>
      <c r="E1264" s="38"/>
      <c r="F1264" s="38"/>
      <c r="G1264" s="38"/>
      <c r="H1264" s="38"/>
      <c r="I1264" s="38"/>
      <c r="J1264" s="38"/>
      <c r="K1264" s="38"/>
    </row>
    <row r="1265" ht="14.4" spans="2:11">
      <c r="B1265" s="38"/>
      <c r="C1265" s="38"/>
      <c r="D1265" s="38"/>
      <c r="E1265" s="38"/>
      <c r="F1265" s="38"/>
      <c r="G1265" s="38"/>
      <c r="H1265" s="38"/>
      <c r="I1265" s="38"/>
      <c r="J1265" s="38"/>
      <c r="K1265" s="38"/>
    </row>
    <row r="1266" ht="14.4" spans="2:11">
      <c r="B1266" s="38"/>
      <c r="C1266" s="38"/>
      <c r="D1266" s="38"/>
      <c r="E1266" s="38"/>
      <c r="F1266" s="38"/>
      <c r="G1266" s="38"/>
      <c r="H1266" s="38"/>
      <c r="I1266" s="38"/>
      <c r="J1266" s="38"/>
      <c r="K1266" s="38"/>
    </row>
    <row r="1267" ht="14.4" spans="2:11">
      <c r="B1267" s="38"/>
      <c r="C1267" s="38"/>
      <c r="D1267" s="38"/>
      <c r="E1267" s="38"/>
      <c r="F1267" s="38"/>
      <c r="G1267" s="38"/>
      <c r="H1267" s="38"/>
      <c r="I1267" s="38"/>
      <c r="J1267" s="38"/>
      <c r="K1267" s="38"/>
    </row>
    <row r="1268" ht="14.4" spans="2:11">
      <c r="B1268" s="38"/>
      <c r="C1268" s="38"/>
      <c r="D1268" s="38"/>
      <c r="E1268" s="38"/>
      <c r="F1268" s="38"/>
      <c r="G1268" s="38"/>
      <c r="H1268" s="38"/>
      <c r="I1268" s="38"/>
      <c r="J1268" s="38"/>
      <c r="K1268" s="38"/>
    </row>
    <row r="1269" ht="14.4" spans="2:11">
      <c r="B1269" s="38"/>
      <c r="C1269" s="38"/>
      <c r="D1269" s="38"/>
      <c r="E1269" s="38"/>
      <c r="F1269" s="38"/>
      <c r="G1269" s="38"/>
      <c r="H1269" s="38"/>
      <c r="I1269" s="38"/>
      <c r="J1269" s="38"/>
      <c r="K1269" s="38"/>
    </row>
    <row r="1270" ht="14.4" spans="2:11"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</row>
    <row r="1271" ht="14.4" spans="2:11">
      <c r="B1271" s="38"/>
      <c r="C1271" s="38"/>
      <c r="D1271" s="38"/>
      <c r="E1271" s="38"/>
      <c r="F1271" s="38"/>
      <c r="G1271" s="38"/>
      <c r="H1271" s="38"/>
      <c r="I1271" s="38"/>
      <c r="J1271" s="38"/>
      <c r="K1271" s="38"/>
    </row>
    <row r="1272" ht="14.4" spans="2:11">
      <c r="B1272" s="38"/>
      <c r="C1272" s="38"/>
      <c r="D1272" s="38"/>
      <c r="E1272" s="38"/>
      <c r="F1272" s="38"/>
      <c r="G1272" s="38"/>
      <c r="H1272" s="38"/>
      <c r="I1272" s="38"/>
      <c r="J1272" s="38"/>
      <c r="K1272" s="38"/>
    </row>
    <row r="1273" ht="14.4" spans="2:11">
      <c r="B1273" s="38"/>
      <c r="C1273" s="38"/>
      <c r="D1273" s="38"/>
      <c r="E1273" s="38"/>
      <c r="F1273" s="38"/>
      <c r="G1273" s="38"/>
      <c r="H1273" s="38"/>
      <c r="I1273" s="38"/>
      <c r="J1273" s="38"/>
      <c r="K1273" s="38"/>
    </row>
    <row r="1274" ht="14.4" spans="2:11">
      <c r="B1274" s="38"/>
      <c r="C1274" s="38"/>
      <c r="D1274" s="38"/>
      <c r="E1274" s="38"/>
      <c r="F1274" s="38"/>
      <c r="G1274" s="38"/>
      <c r="H1274" s="38"/>
      <c r="I1274" s="38"/>
      <c r="J1274" s="38"/>
      <c r="K1274" s="38"/>
    </row>
    <row r="1275" ht="14.4" spans="2:11">
      <c r="B1275" s="38"/>
      <c r="C1275" s="38"/>
      <c r="D1275" s="38"/>
      <c r="E1275" s="38"/>
      <c r="F1275" s="38"/>
      <c r="G1275" s="38"/>
      <c r="H1275" s="38"/>
      <c r="I1275" s="38"/>
      <c r="J1275" s="38"/>
      <c r="K1275" s="38"/>
    </row>
    <row r="1276" ht="14.4" spans="2:11">
      <c r="B1276" s="38"/>
      <c r="C1276" s="38"/>
      <c r="D1276" s="38"/>
      <c r="E1276" s="38"/>
      <c r="F1276" s="38"/>
      <c r="G1276" s="38"/>
      <c r="H1276" s="38"/>
      <c r="I1276" s="38"/>
      <c r="J1276" s="38"/>
      <c r="K1276" s="38"/>
    </row>
    <row r="1277" ht="14.4" spans="2:11">
      <c r="B1277" s="38"/>
      <c r="C1277" s="38"/>
      <c r="D1277" s="38"/>
      <c r="E1277" s="38"/>
      <c r="F1277" s="38"/>
      <c r="G1277" s="38"/>
      <c r="H1277" s="38"/>
      <c r="I1277" s="38"/>
      <c r="J1277" s="38"/>
      <c r="K1277" s="38"/>
    </row>
    <row r="1278" ht="14.4" spans="2:11">
      <c r="B1278" s="38"/>
      <c r="C1278" s="38"/>
      <c r="D1278" s="38"/>
      <c r="E1278" s="38"/>
      <c r="F1278" s="38"/>
      <c r="G1278" s="38"/>
      <c r="H1278" s="38"/>
      <c r="I1278" s="38"/>
      <c r="J1278" s="38"/>
      <c r="K1278" s="38"/>
    </row>
    <row r="1279" ht="14.4" spans="2:11">
      <c r="B1279" s="38"/>
      <c r="C1279" s="38"/>
      <c r="D1279" s="38"/>
      <c r="E1279" s="38"/>
      <c r="F1279" s="38"/>
      <c r="G1279" s="38"/>
      <c r="H1279" s="38"/>
      <c r="I1279" s="38"/>
      <c r="J1279" s="38"/>
      <c r="K1279" s="38"/>
    </row>
    <row r="1280" ht="14.4" spans="2:11">
      <c r="B1280" s="38"/>
      <c r="C1280" s="38"/>
      <c r="D1280" s="38"/>
      <c r="E1280" s="38"/>
      <c r="F1280" s="38"/>
      <c r="G1280" s="38"/>
      <c r="H1280" s="38"/>
      <c r="I1280" s="38"/>
      <c r="J1280" s="38"/>
      <c r="K1280" s="38"/>
    </row>
    <row r="1281" ht="14.4" spans="2:11">
      <c r="B1281" s="38"/>
      <c r="C1281" s="38"/>
      <c r="D1281" s="38"/>
      <c r="E1281" s="38"/>
      <c r="F1281" s="38"/>
      <c r="G1281" s="38"/>
      <c r="H1281" s="38"/>
      <c r="I1281" s="38"/>
      <c r="J1281" s="38"/>
      <c r="K1281" s="38"/>
    </row>
    <row r="1282" ht="14.4" spans="2:11">
      <c r="B1282" s="38"/>
      <c r="C1282" s="38"/>
      <c r="D1282" s="38"/>
      <c r="E1282" s="38"/>
      <c r="F1282" s="38"/>
      <c r="G1282" s="38"/>
      <c r="H1282" s="38"/>
      <c r="I1282" s="38"/>
      <c r="J1282" s="38"/>
      <c r="K1282" s="38"/>
    </row>
    <row r="1283" ht="14.4" spans="2:11">
      <c r="B1283" s="38"/>
      <c r="C1283" s="38"/>
      <c r="D1283" s="38"/>
      <c r="E1283" s="38"/>
      <c r="F1283" s="38"/>
      <c r="G1283" s="38"/>
      <c r="H1283" s="38"/>
      <c r="I1283" s="38"/>
      <c r="J1283" s="38"/>
      <c r="K1283" s="38"/>
    </row>
    <row r="1284" ht="14.4" spans="2:11">
      <c r="B1284" s="38"/>
      <c r="C1284" s="38"/>
      <c r="D1284" s="38"/>
      <c r="E1284" s="38"/>
      <c r="F1284" s="38"/>
      <c r="G1284" s="38"/>
      <c r="H1284" s="38"/>
      <c r="I1284" s="38"/>
      <c r="J1284" s="38"/>
      <c r="K1284" s="38"/>
    </row>
    <row r="1285" ht="14.4" spans="2:11">
      <c r="B1285" s="38"/>
      <c r="C1285" s="38"/>
      <c r="D1285" s="38"/>
      <c r="E1285" s="38"/>
      <c r="F1285" s="38"/>
      <c r="G1285" s="38"/>
      <c r="H1285" s="38"/>
      <c r="I1285" s="38"/>
      <c r="J1285" s="38"/>
      <c r="K1285" s="38"/>
    </row>
    <row r="1286" ht="14.4" spans="2:11">
      <c r="B1286" s="38"/>
      <c r="C1286" s="38"/>
      <c r="D1286" s="38"/>
      <c r="E1286" s="38"/>
      <c r="F1286" s="38"/>
      <c r="G1286" s="38"/>
      <c r="H1286" s="38"/>
      <c r="I1286" s="38"/>
      <c r="J1286" s="38"/>
      <c r="K1286" s="38"/>
    </row>
    <row r="1287" ht="14.4" spans="2:11">
      <c r="B1287" s="38"/>
      <c r="C1287" s="38"/>
      <c r="D1287" s="38"/>
      <c r="E1287" s="38"/>
      <c r="F1287" s="38"/>
      <c r="G1287" s="38"/>
      <c r="H1287" s="38"/>
      <c r="I1287" s="38"/>
      <c r="J1287" s="38"/>
      <c r="K1287" s="38"/>
    </row>
    <row r="1288" ht="14.4" spans="2:11">
      <c r="B1288" s="38"/>
      <c r="C1288" s="38"/>
      <c r="D1288" s="38"/>
      <c r="E1288" s="38"/>
      <c r="F1288" s="38"/>
      <c r="G1288" s="38"/>
      <c r="H1288" s="38"/>
      <c r="I1288" s="38"/>
      <c r="J1288" s="38"/>
      <c r="K1288" s="38"/>
    </row>
    <row r="1289" ht="14.4" spans="2:11">
      <c r="B1289" s="38"/>
      <c r="C1289" s="38"/>
      <c r="D1289" s="38"/>
      <c r="E1289" s="38"/>
      <c r="F1289" s="38"/>
      <c r="G1289" s="38"/>
      <c r="H1289" s="38"/>
      <c r="I1289" s="38"/>
      <c r="J1289" s="38"/>
      <c r="K1289" s="38"/>
    </row>
    <row r="1290" ht="14.4" spans="2:11"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</row>
    <row r="1291" ht="14.4" spans="2:11">
      <c r="B1291" s="38"/>
      <c r="C1291" s="38"/>
      <c r="D1291" s="38"/>
      <c r="E1291" s="38"/>
      <c r="F1291" s="38"/>
      <c r="G1291" s="38"/>
      <c r="H1291" s="38"/>
      <c r="I1291" s="38"/>
      <c r="J1291" s="38"/>
      <c r="K1291" s="38"/>
    </row>
    <row r="1292" ht="14.4" spans="2:11">
      <c r="B1292" s="38"/>
      <c r="C1292" s="38"/>
      <c r="D1292" s="38"/>
      <c r="E1292" s="38"/>
      <c r="F1292" s="38"/>
      <c r="G1292" s="38"/>
      <c r="H1292" s="38"/>
      <c r="I1292" s="38"/>
      <c r="J1292" s="38"/>
      <c r="K1292" s="38"/>
    </row>
    <row r="1293" ht="14.4" spans="2:11">
      <c r="B1293" s="38"/>
      <c r="C1293" s="38"/>
      <c r="D1293" s="38"/>
      <c r="E1293" s="38"/>
      <c r="F1293" s="38"/>
      <c r="G1293" s="38"/>
      <c r="H1293" s="38"/>
      <c r="I1293" s="38"/>
      <c r="J1293" s="38"/>
      <c r="K1293" s="38"/>
    </row>
    <row r="1294" ht="14.4" spans="2:11">
      <c r="B1294" s="38"/>
      <c r="C1294" s="38"/>
      <c r="D1294" s="38"/>
      <c r="E1294" s="38"/>
      <c r="F1294" s="38"/>
      <c r="G1294" s="38"/>
      <c r="H1294" s="38"/>
      <c r="I1294" s="38"/>
      <c r="J1294" s="38"/>
      <c r="K1294" s="38"/>
    </row>
    <row r="1295" ht="14.4" spans="2:11">
      <c r="B1295" s="38"/>
      <c r="C1295" s="38"/>
      <c r="D1295" s="38"/>
      <c r="E1295" s="38"/>
      <c r="F1295" s="38"/>
      <c r="G1295" s="38"/>
      <c r="H1295" s="38"/>
      <c r="I1295" s="38"/>
      <c r="J1295" s="38"/>
      <c r="K1295" s="38"/>
    </row>
    <row r="1296" ht="14.4" spans="2:11">
      <c r="B1296" s="38"/>
      <c r="C1296" s="38"/>
      <c r="D1296" s="38"/>
      <c r="E1296" s="38"/>
      <c r="F1296" s="38"/>
      <c r="G1296" s="38"/>
      <c r="H1296" s="38"/>
      <c r="I1296" s="38"/>
      <c r="J1296" s="38"/>
      <c r="K1296" s="38"/>
    </row>
    <row r="1297" ht="14.4" spans="2:11">
      <c r="B1297" s="38"/>
      <c r="C1297" s="38"/>
      <c r="D1297" s="38"/>
      <c r="E1297" s="38"/>
      <c r="F1297" s="38"/>
      <c r="G1297" s="38"/>
      <c r="H1297" s="38"/>
      <c r="I1297" s="38"/>
      <c r="J1297" s="38"/>
      <c r="K1297" s="38"/>
    </row>
    <row r="1298" ht="14.4" spans="2:11">
      <c r="B1298" s="38"/>
      <c r="C1298" s="38"/>
      <c r="D1298" s="38"/>
      <c r="E1298" s="38"/>
      <c r="F1298" s="38"/>
      <c r="G1298" s="38"/>
      <c r="H1298" s="38"/>
      <c r="I1298" s="38"/>
      <c r="J1298" s="38"/>
      <c r="K1298" s="38"/>
    </row>
    <row r="1299" ht="14.4" spans="2:11">
      <c r="B1299" s="38"/>
      <c r="C1299" s="38"/>
      <c r="D1299" s="38"/>
      <c r="E1299" s="38"/>
      <c r="F1299" s="38"/>
      <c r="G1299" s="38"/>
      <c r="H1299" s="38"/>
      <c r="I1299" s="38"/>
      <c r="J1299" s="38"/>
      <c r="K1299" s="38"/>
    </row>
    <row r="1300" ht="14.4" spans="2:11"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</row>
    <row r="1301" ht="14.4" spans="2:11">
      <c r="B1301" s="38"/>
      <c r="C1301" s="38"/>
      <c r="D1301" s="38"/>
      <c r="E1301" s="38"/>
      <c r="F1301" s="38"/>
      <c r="G1301" s="38"/>
      <c r="H1301" s="38"/>
      <c r="I1301" s="38"/>
      <c r="J1301" s="38"/>
      <c r="K1301" s="38"/>
    </row>
    <row r="1302" ht="14.4" spans="2:11">
      <c r="B1302" s="38"/>
      <c r="C1302" s="38"/>
      <c r="D1302" s="38"/>
      <c r="E1302" s="38"/>
      <c r="F1302" s="38"/>
      <c r="G1302" s="38"/>
      <c r="H1302" s="38"/>
      <c r="I1302" s="38"/>
      <c r="J1302" s="38"/>
      <c r="K1302" s="38"/>
    </row>
    <row r="1303" ht="14.4" spans="2:11">
      <c r="B1303" s="38"/>
      <c r="C1303" s="38"/>
      <c r="D1303" s="38"/>
      <c r="E1303" s="38"/>
      <c r="F1303" s="38"/>
      <c r="G1303" s="38"/>
      <c r="H1303" s="38"/>
      <c r="I1303" s="38"/>
      <c r="J1303" s="38"/>
      <c r="K1303" s="38"/>
    </row>
    <row r="1304" ht="14.4" spans="2:11">
      <c r="B1304" s="38"/>
      <c r="C1304" s="38"/>
      <c r="D1304" s="38"/>
      <c r="E1304" s="38"/>
      <c r="F1304" s="38"/>
      <c r="G1304" s="38"/>
      <c r="H1304" s="38"/>
      <c r="I1304" s="38"/>
      <c r="J1304" s="38"/>
      <c r="K1304" s="38"/>
    </row>
    <row r="1305" ht="14.4" spans="2:11">
      <c r="B1305" s="38"/>
      <c r="C1305" s="38"/>
      <c r="D1305" s="38"/>
      <c r="E1305" s="38"/>
      <c r="F1305" s="38"/>
      <c r="G1305" s="38"/>
      <c r="H1305" s="38"/>
      <c r="I1305" s="38"/>
      <c r="J1305" s="38"/>
      <c r="K1305" s="38"/>
    </row>
    <row r="1306" ht="14.4" spans="2:11">
      <c r="B1306" s="38"/>
      <c r="C1306" s="38"/>
      <c r="D1306" s="38"/>
      <c r="E1306" s="38"/>
      <c r="F1306" s="38"/>
      <c r="G1306" s="38"/>
      <c r="H1306" s="38"/>
      <c r="I1306" s="38"/>
      <c r="J1306" s="38"/>
      <c r="K1306" s="38"/>
    </row>
    <row r="1307" ht="14.4" spans="2:11">
      <c r="B1307" s="38"/>
      <c r="C1307" s="38"/>
      <c r="D1307" s="38"/>
      <c r="E1307" s="38"/>
      <c r="F1307" s="38"/>
      <c r="G1307" s="38"/>
      <c r="H1307" s="38"/>
      <c r="I1307" s="38"/>
      <c r="J1307" s="38"/>
      <c r="K1307" s="38"/>
    </row>
    <row r="1308" ht="14.4" spans="2:11">
      <c r="B1308" s="38"/>
      <c r="C1308" s="38"/>
      <c r="D1308" s="38"/>
      <c r="E1308" s="38"/>
      <c r="F1308" s="38"/>
      <c r="G1308" s="38"/>
      <c r="H1308" s="38"/>
      <c r="I1308" s="38"/>
      <c r="J1308" s="38"/>
      <c r="K1308" s="38"/>
    </row>
    <row r="1309" ht="14.4" spans="2:11">
      <c r="B1309" s="38"/>
      <c r="C1309" s="38"/>
      <c r="D1309" s="38"/>
      <c r="E1309" s="38"/>
      <c r="F1309" s="38"/>
      <c r="G1309" s="38"/>
      <c r="H1309" s="38"/>
      <c r="I1309" s="38"/>
      <c r="J1309" s="38"/>
      <c r="K1309" s="38"/>
    </row>
    <row r="1310" ht="14.4" spans="2:11">
      <c r="B1310" s="38"/>
      <c r="C1310" s="38"/>
      <c r="D1310" s="38"/>
      <c r="E1310" s="38"/>
      <c r="F1310" s="38"/>
      <c r="G1310" s="38"/>
      <c r="H1310" s="38"/>
      <c r="I1310" s="38"/>
      <c r="J1310" s="38"/>
      <c r="K1310" s="38"/>
    </row>
    <row r="1311" ht="14.4" spans="2:11">
      <c r="B1311" s="38"/>
      <c r="C1311" s="38"/>
      <c r="D1311" s="38"/>
      <c r="E1311" s="38"/>
      <c r="F1311" s="38"/>
      <c r="G1311" s="38"/>
      <c r="H1311" s="38"/>
      <c r="I1311" s="38"/>
      <c r="J1311" s="38"/>
      <c r="K1311" s="38"/>
    </row>
    <row r="1312" ht="14.4" spans="2:11">
      <c r="B1312" s="38"/>
      <c r="C1312" s="38"/>
      <c r="D1312" s="38"/>
      <c r="E1312" s="38"/>
      <c r="F1312" s="38"/>
      <c r="G1312" s="38"/>
      <c r="H1312" s="38"/>
      <c r="I1312" s="38"/>
      <c r="J1312" s="38"/>
      <c r="K1312" s="38"/>
    </row>
    <row r="1313" ht="14.4" spans="2:11">
      <c r="B1313" s="38"/>
      <c r="C1313" s="38"/>
      <c r="D1313" s="38"/>
      <c r="E1313" s="38"/>
      <c r="F1313" s="38"/>
      <c r="G1313" s="38"/>
      <c r="H1313" s="38"/>
      <c r="I1313" s="38"/>
      <c r="J1313" s="38"/>
      <c r="K1313" s="38"/>
    </row>
    <row r="1314" ht="14.4" spans="2:11">
      <c r="B1314" s="38"/>
      <c r="C1314" s="38"/>
      <c r="D1314" s="38"/>
      <c r="E1314" s="38"/>
      <c r="F1314" s="38"/>
      <c r="G1314" s="38"/>
      <c r="H1314" s="38"/>
      <c r="I1314" s="38"/>
      <c r="J1314" s="38"/>
      <c r="K1314" s="38"/>
    </row>
    <row r="1315" ht="14.4" spans="2:11">
      <c r="B1315" s="38"/>
      <c r="C1315" s="38"/>
      <c r="D1315" s="38"/>
      <c r="E1315" s="38"/>
      <c r="F1315" s="38"/>
      <c r="G1315" s="38"/>
      <c r="H1315" s="38"/>
      <c r="I1315" s="38"/>
      <c r="J1315" s="38"/>
      <c r="K1315" s="38"/>
    </row>
    <row r="1316" ht="14.4" spans="2:11">
      <c r="B1316" s="38"/>
      <c r="C1316" s="38"/>
      <c r="D1316" s="38"/>
      <c r="E1316" s="38"/>
      <c r="F1316" s="38"/>
      <c r="G1316" s="38"/>
      <c r="H1316" s="38"/>
      <c r="I1316" s="38"/>
      <c r="J1316" s="38"/>
      <c r="K1316" s="38"/>
    </row>
    <row r="1317" ht="14.4" spans="2:11">
      <c r="B1317" s="38"/>
      <c r="C1317" s="38"/>
      <c r="D1317" s="38"/>
      <c r="E1317" s="38"/>
      <c r="F1317" s="38"/>
      <c r="G1317" s="38"/>
      <c r="H1317" s="38"/>
      <c r="I1317" s="38"/>
      <c r="J1317" s="38"/>
      <c r="K1317" s="38"/>
    </row>
    <row r="1318" ht="14.4" spans="2:11">
      <c r="B1318" s="38"/>
      <c r="C1318" s="38"/>
      <c r="D1318" s="38"/>
      <c r="E1318" s="38"/>
      <c r="F1318" s="38"/>
      <c r="G1318" s="38"/>
      <c r="H1318" s="38"/>
      <c r="I1318" s="38"/>
      <c r="J1318" s="38"/>
      <c r="K1318" s="38"/>
    </row>
    <row r="1319" ht="14.4" spans="2:11">
      <c r="B1319" s="38"/>
      <c r="C1319" s="38"/>
      <c r="D1319" s="38"/>
      <c r="E1319" s="38"/>
      <c r="F1319" s="38"/>
      <c r="G1319" s="38"/>
      <c r="H1319" s="38"/>
      <c r="I1319" s="38"/>
      <c r="J1319" s="38"/>
      <c r="K1319" s="38"/>
    </row>
    <row r="1320" ht="14.4" spans="2:11">
      <c r="B1320" s="38"/>
      <c r="C1320" s="38"/>
      <c r="D1320" s="38"/>
      <c r="E1320" s="38"/>
      <c r="F1320" s="38"/>
      <c r="G1320" s="38"/>
      <c r="H1320" s="38"/>
      <c r="I1320" s="38"/>
      <c r="J1320" s="38"/>
      <c r="K1320" s="38"/>
    </row>
    <row r="1321" ht="14.4" spans="2:11">
      <c r="B1321" s="38"/>
      <c r="C1321" s="38"/>
      <c r="D1321" s="38"/>
      <c r="E1321" s="38"/>
      <c r="F1321" s="38"/>
      <c r="G1321" s="38"/>
      <c r="H1321" s="38"/>
      <c r="I1321" s="38"/>
      <c r="J1321" s="38"/>
      <c r="K1321" s="38"/>
    </row>
    <row r="1322" ht="14.4" spans="2:11">
      <c r="B1322" s="38"/>
      <c r="C1322" s="38"/>
      <c r="D1322" s="38"/>
      <c r="E1322" s="38"/>
      <c r="F1322" s="38"/>
      <c r="G1322" s="38"/>
      <c r="H1322" s="38"/>
      <c r="I1322" s="38"/>
      <c r="J1322" s="38"/>
      <c r="K1322" s="38"/>
    </row>
    <row r="1323" ht="14.4" spans="2:11"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</row>
    <row r="1324" ht="14.4" spans="2:11">
      <c r="B1324" s="38"/>
      <c r="C1324" s="38"/>
      <c r="D1324" s="38"/>
      <c r="E1324" s="38"/>
      <c r="F1324" s="38"/>
      <c r="G1324" s="38"/>
      <c r="H1324" s="38"/>
      <c r="I1324" s="38"/>
      <c r="J1324" s="38"/>
      <c r="K1324" s="38"/>
    </row>
    <row r="1325" ht="14.4" spans="2:11">
      <c r="B1325" s="38"/>
      <c r="C1325" s="38"/>
      <c r="D1325" s="38"/>
      <c r="E1325" s="38"/>
      <c r="F1325" s="38"/>
      <c r="G1325" s="38"/>
      <c r="H1325" s="38"/>
      <c r="I1325" s="38"/>
      <c r="J1325" s="38"/>
      <c r="K1325" s="38"/>
    </row>
    <row r="1326" ht="14.4" spans="2:11">
      <c r="B1326" s="38"/>
      <c r="C1326" s="38"/>
      <c r="D1326" s="38"/>
      <c r="E1326" s="38"/>
      <c r="F1326" s="38"/>
      <c r="G1326" s="38"/>
      <c r="H1326" s="38"/>
      <c r="I1326" s="38"/>
      <c r="J1326" s="38"/>
      <c r="K1326" s="38"/>
    </row>
    <row r="1327" ht="14.4" spans="2:11">
      <c r="B1327" s="38"/>
      <c r="C1327" s="38"/>
      <c r="D1327" s="38"/>
      <c r="E1327" s="38"/>
      <c r="F1327" s="38"/>
      <c r="G1327" s="38"/>
      <c r="H1327" s="38"/>
      <c r="I1327" s="38"/>
      <c r="J1327" s="38"/>
      <c r="K1327" s="38"/>
    </row>
    <row r="1328" ht="14.4" spans="2:11">
      <c r="B1328" s="38"/>
      <c r="C1328" s="38"/>
      <c r="D1328" s="38"/>
      <c r="E1328" s="38"/>
      <c r="F1328" s="38"/>
      <c r="G1328" s="38"/>
      <c r="H1328" s="38"/>
      <c r="I1328" s="38"/>
      <c r="J1328" s="38"/>
      <c r="K1328" s="38"/>
    </row>
    <row r="1329" ht="14.4" spans="2:11">
      <c r="B1329" s="38"/>
      <c r="C1329" s="38"/>
      <c r="D1329" s="38"/>
      <c r="E1329" s="38"/>
      <c r="F1329" s="38"/>
      <c r="G1329" s="38"/>
      <c r="H1329" s="38"/>
      <c r="I1329" s="38"/>
      <c r="J1329" s="38"/>
      <c r="K1329" s="38"/>
    </row>
    <row r="1330" ht="14.4" spans="2:11">
      <c r="B1330" s="38"/>
      <c r="C1330" s="38"/>
      <c r="D1330" s="38"/>
      <c r="E1330" s="38"/>
      <c r="F1330" s="38"/>
      <c r="G1330" s="38"/>
      <c r="H1330" s="38"/>
      <c r="I1330" s="38"/>
      <c r="J1330" s="38"/>
      <c r="K1330" s="38"/>
    </row>
    <row r="1331" ht="14.4" spans="2:11">
      <c r="B1331" s="38"/>
      <c r="C1331" s="38"/>
      <c r="D1331" s="38"/>
      <c r="E1331" s="38"/>
      <c r="F1331" s="38"/>
      <c r="G1331" s="38"/>
      <c r="H1331" s="38"/>
      <c r="I1331" s="38"/>
      <c r="J1331" s="38"/>
      <c r="K1331" s="38"/>
    </row>
    <row r="1332" ht="14.4" spans="2:11">
      <c r="B1332" s="38"/>
      <c r="C1332" s="38"/>
      <c r="D1332" s="38"/>
      <c r="E1332" s="38"/>
      <c r="F1332" s="38"/>
      <c r="G1332" s="38"/>
      <c r="H1332" s="38"/>
      <c r="I1332" s="38"/>
      <c r="J1332" s="38"/>
      <c r="K1332" s="38"/>
    </row>
    <row r="1333" ht="14.4" spans="2:11">
      <c r="B1333" s="38"/>
      <c r="C1333" s="38"/>
      <c r="D1333" s="38"/>
      <c r="E1333" s="38"/>
      <c r="F1333" s="38"/>
      <c r="G1333" s="38"/>
      <c r="H1333" s="38"/>
      <c r="I1333" s="38"/>
      <c r="J1333" s="38"/>
      <c r="K1333" s="38"/>
    </row>
    <row r="1334" ht="14.4" spans="2:11">
      <c r="B1334" s="38"/>
      <c r="C1334" s="38"/>
      <c r="D1334" s="38"/>
      <c r="E1334" s="38"/>
      <c r="F1334" s="38"/>
      <c r="G1334" s="38"/>
      <c r="H1334" s="38"/>
      <c r="I1334" s="38"/>
      <c r="J1334" s="38"/>
      <c r="K1334" s="38"/>
    </row>
    <row r="1335" ht="14.4" spans="2:11">
      <c r="B1335" s="38"/>
      <c r="C1335" s="38"/>
      <c r="D1335" s="38"/>
      <c r="E1335" s="38"/>
      <c r="F1335" s="38"/>
      <c r="G1335" s="38"/>
      <c r="H1335" s="38"/>
      <c r="I1335" s="38"/>
      <c r="J1335" s="38"/>
      <c r="K1335" s="38"/>
    </row>
    <row r="1336" ht="14.4" spans="2:11">
      <c r="B1336" s="38"/>
      <c r="C1336" s="38"/>
      <c r="D1336" s="38"/>
      <c r="E1336" s="38"/>
      <c r="F1336" s="38"/>
      <c r="G1336" s="38"/>
      <c r="H1336" s="38"/>
      <c r="I1336" s="38"/>
      <c r="J1336" s="38"/>
      <c r="K1336" s="38"/>
    </row>
    <row r="1337" ht="14.4" spans="2:11">
      <c r="B1337" s="38"/>
      <c r="C1337" s="38"/>
      <c r="D1337" s="38"/>
      <c r="E1337" s="38"/>
      <c r="F1337" s="38"/>
      <c r="G1337" s="38"/>
      <c r="H1337" s="38"/>
      <c r="I1337" s="38"/>
      <c r="J1337" s="38"/>
      <c r="K1337" s="38"/>
    </row>
    <row r="1338" ht="14.4" spans="2:11">
      <c r="B1338" s="38"/>
      <c r="C1338" s="38"/>
      <c r="D1338" s="38"/>
      <c r="E1338" s="38"/>
      <c r="F1338" s="38"/>
      <c r="G1338" s="38"/>
      <c r="H1338" s="38"/>
      <c r="I1338" s="38"/>
      <c r="J1338" s="38"/>
      <c r="K1338" s="38"/>
    </row>
    <row r="1339" ht="14.4" spans="2:11">
      <c r="B1339" s="38"/>
      <c r="C1339" s="38"/>
      <c r="D1339" s="38"/>
      <c r="E1339" s="38"/>
      <c r="F1339" s="38"/>
      <c r="G1339" s="38"/>
      <c r="H1339" s="38"/>
      <c r="I1339" s="38"/>
      <c r="J1339" s="38"/>
      <c r="K1339" s="38"/>
    </row>
    <row r="1340" ht="14.4" spans="2:11">
      <c r="B1340" s="38"/>
      <c r="C1340" s="38"/>
      <c r="D1340" s="38"/>
      <c r="E1340" s="38"/>
      <c r="F1340" s="38"/>
      <c r="G1340" s="38"/>
      <c r="H1340" s="38"/>
      <c r="I1340" s="38"/>
      <c r="J1340" s="38"/>
      <c r="K1340" s="38"/>
    </row>
    <row r="1341" ht="14.4" spans="2:11">
      <c r="B1341" s="38"/>
      <c r="C1341" s="38"/>
      <c r="D1341" s="38"/>
      <c r="E1341" s="38"/>
      <c r="F1341" s="38"/>
      <c r="G1341" s="38"/>
      <c r="H1341" s="38"/>
      <c r="I1341" s="38"/>
      <c r="J1341" s="38"/>
      <c r="K1341" s="38"/>
    </row>
    <row r="1342" ht="14.4" spans="2:11">
      <c r="B1342" s="38"/>
      <c r="C1342" s="38"/>
      <c r="D1342" s="38"/>
      <c r="E1342" s="38"/>
      <c r="F1342" s="38"/>
      <c r="G1342" s="38"/>
      <c r="H1342" s="38"/>
      <c r="I1342" s="38"/>
      <c r="J1342" s="38"/>
      <c r="K1342" s="38"/>
    </row>
    <row r="1343" ht="14.4" spans="2:11">
      <c r="B1343" s="38"/>
      <c r="C1343" s="38"/>
      <c r="D1343" s="38"/>
      <c r="E1343" s="38"/>
      <c r="F1343" s="38"/>
      <c r="G1343" s="38"/>
      <c r="H1343" s="38"/>
      <c r="I1343" s="38"/>
      <c r="J1343" s="38"/>
      <c r="K1343" s="38"/>
    </row>
    <row r="1344" ht="14.4" spans="2:11">
      <c r="B1344" s="38"/>
      <c r="C1344" s="38"/>
      <c r="D1344" s="38"/>
      <c r="E1344" s="38"/>
      <c r="F1344" s="38"/>
      <c r="G1344" s="38"/>
      <c r="H1344" s="38"/>
      <c r="I1344" s="38"/>
      <c r="J1344" s="38"/>
      <c r="K1344" s="38"/>
    </row>
    <row r="1345" ht="14.4" spans="2:11">
      <c r="B1345" s="38"/>
      <c r="C1345" s="38"/>
      <c r="D1345" s="38"/>
      <c r="E1345" s="38"/>
      <c r="F1345" s="38"/>
      <c r="G1345" s="38"/>
      <c r="H1345" s="38"/>
      <c r="I1345" s="38"/>
      <c r="J1345" s="38"/>
      <c r="K1345" s="38"/>
    </row>
    <row r="1346" ht="14.4" spans="2:11">
      <c r="B1346" s="38"/>
      <c r="C1346" s="38"/>
      <c r="D1346" s="38"/>
      <c r="E1346" s="38"/>
      <c r="F1346" s="38"/>
      <c r="G1346" s="38"/>
      <c r="H1346" s="38"/>
      <c r="I1346" s="38"/>
      <c r="J1346" s="38"/>
      <c r="K1346" s="38"/>
    </row>
    <row r="1347" ht="14.4" spans="2:11">
      <c r="B1347" s="38"/>
      <c r="C1347" s="38"/>
      <c r="D1347" s="38"/>
      <c r="E1347" s="38"/>
      <c r="F1347" s="38"/>
      <c r="G1347" s="38"/>
      <c r="H1347" s="38"/>
      <c r="I1347" s="38"/>
      <c r="J1347" s="38"/>
      <c r="K1347" s="38"/>
    </row>
    <row r="1348" ht="14.4" spans="2:11">
      <c r="B1348" s="38"/>
      <c r="C1348" s="38"/>
      <c r="D1348" s="38"/>
      <c r="E1348" s="38"/>
      <c r="F1348" s="38"/>
      <c r="G1348" s="38"/>
      <c r="H1348" s="38"/>
      <c r="I1348" s="38"/>
      <c r="J1348" s="38"/>
      <c r="K1348" s="38"/>
    </row>
    <row r="1349" ht="14.4" spans="2:11">
      <c r="B1349" s="38"/>
      <c r="C1349" s="38"/>
      <c r="D1349" s="38"/>
      <c r="E1349" s="38"/>
      <c r="F1349" s="38"/>
      <c r="G1349" s="38"/>
      <c r="H1349" s="38"/>
      <c r="I1349" s="38"/>
      <c r="J1349" s="38"/>
      <c r="K1349" s="38"/>
    </row>
    <row r="1350" ht="14.4" spans="2:11">
      <c r="B1350" s="38"/>
      <c r="C1350" s="38"/>
      <c r="D1350" s="38"/>
      <c r="E1350" s="38"/>
      <c r="F1350" s="38"/>
      <c r="G1350" s="38"/>
      <c r="H1350" s="38"/>
      <c r="I1350" s="38"/>
      <c r="J1350" s="38"/>
      <c r="K1350" s="38"/>
    </row>
    <row r="1351" ht="14.4" spans="2:11">
      <c r="B1351" s="38"/>
      <c r="C1351" s="38"/>
      <c r="D1351" s="38"/>
      <c r="E1351" s="38"/>
      <c r="F1351" s="38"/>
      <c r="G1351" s="38"/>
      <c r="H1351" s="38"/>
      <c r="I1351" s="38"/>
      <c r="J1351" s="38"/>
      <c r="K1351" s="38"/>
    </row>
    <row r="1352" ht="14.4" spans="2:11">
      <c r="B1352" s="38"/>
      <c r="C1352" s="38"/>
      <c r="D1352" s="38"/>
      <c r="E1352" s="38"/>
      <c r="F1352" s="38"/>
      <c r="G1352" s="38"/>
      <c r="H1352" s="38"/>
      <c r="I1352" s="38"/>
      <c r="J1352" s="38"/>
      <c r="K1352" s="38"/>
    </row>
    <row r="1353" ht="14.4" spans="2:11">
      <c r="B1353" s="38"/>
      <c r="C1353" s="38"/>
      <c r="D1353" s="38"/>
      <c r="E1353" s="38"/>
      <c r="F1353" s="38"/>
      <c r="G1353" s="38"/>
      <c r="H1353" s="38"/>
      <c r="I1353" s="38"/>
      <c r="J1353" s="38"/>
      <c r="K1353" s="38"/>
    </row>
    <row r="1354" ht="14.4" spans="2:11">
      <c r="B1354" s="38"/>
      <c r="C1354" s="38"/>
      <c r="D1354" s="38"/>
      <c r="E1354" s="38"/>
      <c r="F1354" s="38"/>
      <c r="G1354" s="38"/>
      <c r="H1354" s="38"/>
      <c r="I1354" s="38"/>
      <c r="J1354" s="38"/>
      <c r="K1354" s="38"/>
    </row>
    <row r="1355" ht="14.4" spans="2:11">
      <c r="B1355" s="38"/>
      <c r="C1355" s="38"/>
      <c r="D1355" s="38"/>
      <c r="E1355" s="38"/>
      <c r="F1355" s="38"/>
      <c r="G1355" s="38"/>
      <c r="H1355" s="38"/>
      <c r="I1355" s="38"/>
      <c r="J1355" s="38"/>
      <c r="K1355" s="38"/>
    </row>
    <row r="1356" ht="14.4" spans="2:11">
      <c r="B1356" s="38"/>
      <c r="C1356" s="38"/>
      <c r="D1356" s="38"/>
      <c r="E1356" s="38"/>
      <c r="F1356" s="38"/>
      <c r="G1356" s="38"/>
      <c r="H1356" s="38"/>
      <c r="I1356" s="38"/>
      <c r="J1356" s="38"/>
      <c r="K1356" s="38"/>
    </row>
    <row r="1357" ht="14.4" spans="2:11">
      <c r="B1357" s="38"/>
      <c r="C1357" s="38"/>
      <c r="D1357" s="38"/>
      <c r="E1357" s="38"/>
      <c r="F1357" s="38"/>
      <c r="G1357" s="38"/>
      <c r="H1357" s="38"/>
      <c r="I1357" s="38"/>
      <c r="J1357" s="38"/>
      <c r="K1357" s="38"/>
    </row>
    <row r="1358" ht="14.4" spans="2:11">
      <c r="B1358" s="38"/>
      <c r="C1358" s="38"/>
      <c r="D1358" s="38"/>
      <c r="E1358" s="38"/>
      <c r="F1358" s="38"/>
      <c r="G1358" s="38"/>
      <c r="H1358" s="38"/>
      <c r="I1358" s="38"/>
      <c r="J1358" s="38"/>
      <c r="K1358" s="38"/>
    </row>
    <row r="1359" ht="14.4" spans="2:11">
      <c r="B1359" s="38"/>
      <c r="C1359" s="38"/>
      <c r="D1359" s="38"/>
      <c r="E1359" s="38"/>
      <c r="F1359" s="38"/>
      <c r="G1359" s="38"/>
      <c r="H1359" s="38"/>
      <c r="I1359" s="38"/>
      <c r="J1359" s="38"/>
      <c r="K1359" s="38"/>
    </row>
    <row r="1360" ht="14.4" spans="2:11"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</row>
    <row r="1361" ht="14.4" spans="2:11">
      <c r="B1361" s="38"/>
      <c r="C1361" s="38"/>
      <c r="D1361" s="38"/>
      <c r="E1361" s="38"/>
      <c r="F1361" s="38"/>
      <c r="G1361" s="38"/>
      <c r="H1361" s="38"/>
      <c r="I1361" s="38"/>
      <c r="J1361" s="38"/>
      <c r="K1361" s="38"/>
    </row>
    <row r="1362" ht="14.4" spans="2:11">
      <c r="B1362" s="38"/>
      <c r="C1362" s="38"/>
      <c r="D1362" s="38"/>
      <c r="E1362" s="38"/>
      <c r="F1362" s="38"/>
      <c r="G1362" s="38"/>
      <c r="H1362" s="38"/>
      <c r="I1362" s="38"/>
      <c r="J1362" s="38"/>
      <c r="K1362" s="38"/>
    </row>
    <row r="1363" ht="14.4" spans="2:11">
      <c r="B1363" s="38"/>
      <c r="C1363" s="38"/>
      <c r="D1363" s="38"/>
      <c r="E1363" s="38"/>
      <c r="F1363" s="38"/>
      <c r="G1363" s="38"/>
      <c r="H1363" s="38"/>
      <c r="I1363" s="38"/>
      <c r="J1363" s="38"/>
      <c r="K1363" s="38"/>
    </row>
    <row r="1364" ht="14.4" spans="2:11">
      <c r="B1364" s="38"/>
      <c r="C1364" s="38"/>
      <c r="D1364" s="38"/>
      <c r="E1364" s="38"/>
      <c r="F1364" s="38"/>
      <c r="G1364" s="38"/>
      <c r="H1364" s="38"/>
      <c r="I1364" s="38"/>
      <c r="J1364" s="38"/>
      <c r="K1364" s="38"/>
    </row>
    <row r="1365" ht="14.4" spans="2:11">
      <c r="B1365" s="38"/>
      <c r="C1365" s="38"/>
      <c r="D1365" s="38"/>
      <c r="E1365" s="38"/>
      <c r="F1365" s="38"/>
      <c r="G1365" s="38"/>
      <c r="H1365" s="38"/>
      <c r="I1365" s="38"/>
      <c r="J1365" s="38"/>
      <c r="K1365" s="38"/>
    </row>
    <row r="1366" ht="14.4" spans="2:11">
      <c r="B1366" s="38"/>
      <c r="C1366" s="38"/>
      <c r="D1366" s="38"/>
      <c r="E1366" s="38"/>
      <c r="F1366" s="38"/>
      <c r="G1366" s="38"/>
      <c r="H1366" s="38"/>
      <c r="I1366" s="38"/>
      <c r="J1366" s="38"/>
      <c r="K1366" s="38"/>
    </row>
    <row r="1367" ht="14.4" spans="2:11">
      <c r="B1367" s="38"/>
      <c r="C1367" s="38"/>
      <c r="D1367" s="38"/>
      <c r="E1367" s="38"/>
      <c r="F1367" s="38"/>
      <c r="G1367" s="38"/>
      <c r="H1367" s="38"/>
      <c r="I1367" s="38"/>
      <c r="J1367" s="38"/>
      <c r="K1367" s="38"/>
    </row>
    <row r="1368" ht="14.4" spans="2:11">
      <c r="B1368" s="38"/>
      <c r="C1368" s="38"/>
      <c r="D1368" s="38"/>
      <c r="E1368" s="38"/>
      <c r="F1368" s="38"/>
      <c r="G1368" s="38"/>
      <c r="H1368" s="38"/>
      <c r="I1368" s="38"/>
      <c r="J1368" s="38"/>
      <c r="K1368" s="38"/>
    </row>
    <row r="1369" ht="14.4" spans="2:11">
      <c r="B1369" s="38"/>
      <c r="C1369" s="38"/>
      <c r="D1369" s="38"/>
      <c r="E1369" s="38"/>
      <c r="F1369" s="38"/>
      <c r="G1369" s="38"/>
      <c r="H1369" s="38"/>
      <c r="I1369" s="38"/>
      <c r="J1369" s="38"/>
      <c r="K1369" s="38"/>
    </row>
    <row r="1370" ht="14.4" spans="2:11">
      <c r="B1370" s="38"/>
      <c r="C1370" s="38"/>
      <c r="D1370" s="38"/>
      <c r="E1370" s="38"/>
      <c r="F1370" s="38"/>
      <c r="G1370" s="38"/>
      <c r="H1370" s="38"/>
      <c r="I1370" s="38"/>
      <c r="J1370" s="38"/>
      <c r="K1370" s="38"/>
    </row>
    <row r="1371" ht="14.4" spans="2:11">
      <c r="B1371" s="38"/>
      <c r="C1371" s="38"/>
      <c r="D1371" s="38"/>
      <c r="E1371" s="38"/>
      <c r="F1371" s="38"/>
      <c r="G1371" s="38"/>
      <c r="H1371" s="38"/>
      <c r="I1371" s="38"/>
      <c r="J1371" s="38"/>
      <c r="K1371" s="38"/>
    </row>
    <row r="1372" ht="14.4" spans="2:11">
      <c r="B1372" s="38"/>
      <c r="C1372" s="38"/>
      <c r="D1372" s="38"/>
      <c r="E1372" s="38"/>
      <c r="F1372" s="38"/>
      <c r="G1372" s="38"/>
      <c r="H1372" s="38"/>
      <c r="I1372" s="38"/>
      <c r="J1372" s="38"/>
      <c r="K1372" s="38"/>
    </row>
    <row r="1373" ht="14.4" spans="2:11">
      <c r="B1373" s="38"/>
      <c r="C1373" s="38"/>
      <c r="D1373" s="38"/>
      <c r="E1373" s="38"/>
      <c r="F1373" s="38"/>
      <c r="G1373" s="38"/>
      <c r="H1373" s="38"/>
      <c r="I1373" s="38"/>
      <c r="J1373" s="38"/>
      <c r="K1373" s="38"/>
    </row>
    <row r="1374" ht="14.4" spans="2:11">
      <c r="B1374" s="38"/>
      <c r="C1374" s="38"/>
      <c r="D1374" s="38"/>
      <c r="E1374" s="38"/>
      <c r="F1374" s="38"/>
      <c r="G1374" s="38"/>
      <c r="H1374" s="38"/>
      <c r="I1374" s="38"/>
      <c r="J1374" s="38"/>
      <c r="K1374" s="38"/>
    </row>
    <row r="1375" ht="14.4" spans="2:11">
      <c r="B1375" s="38"/>
      <c r="C1375" s="38"/>
      <c r="D1375" s="38"/>
      <c r="E1375" s="38"/>
      <c r="F1375" s="38"/>
      <c r="G1375" s="38"/>
      <c r="H1375" s="38"/>
      <c r="I1375" s="38"/>
      <c r="J1375" s="38"/>
      <c r="K1375" s="38"/>
    </row>
    <row r="1376" ht="14.4" spans="2:11"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</row>
    <row r="1377" ht="14.4" spans="2:11">
      <c r="B1377" s="38"/>
      <c r="C1377" s="38"/>
      <c r="D1377" s="38"/>
      <c r="E1377" s="38"/>
      <c r="F1377" s="38"/>
      <c r="G1377" s="38"/>
      <c r="H1377" s="38"/>
      <c r="I1377" s="38"/>
      <c r="J1377" s="38"/>
      <c r="K1377" s="38"/>
    </row>
    <row r="1378" ht="14.4" spans="2:11">
      <c r="B1378" s="38"/>
      <c r="C1378" s="38"/>
      <c r="D1378" s="38"/>
      <c r="E1378" s="38"/>
      <c r="F1378" s="38"/>
      <c r="G1378" s="38"/>
      <c r="H1378" s="38"/>
      <c r="I1378" s="38"/>
      <c r="J1378" s="38"/>
      <c r="K1378" s="38"/>
    </row>
    <row r="1379" ht="14.4" spans="2:11">
      <c r="B1379" s="38"/>
      <c r="C1379" s="38"/>
      <c r="D1379" s="38"/>
      <c r="E1379" s="38"/>
      <c r="F1379" s="38"/>
      <c r="G1379" s="38"/>
      <c r="H1379" s="38"/>
      <c r="I1379" s="38"/>
      <c r="J1379" s="38"/>
      <c r="K1379" s="38"/>
    </row>
    <row r="1380" ht="14.4" spans="2:11">
      <c r="B1380" s="38"/>
      <c r="C1380" s="38"/>
      <c r="D1380" s="38"/>
      <c r="E1380" s="38"/>
      <c r="F1380" s="38"/>
      <c r="G1380" s="38"/>
      <c r="H1380" s="38"/>
      <c r="I1380" s="38"/>
      <c r="J1380" s="38"/>
      <c r="K1380" s="38"/>
    </row>
    <row r="1381" ht="14.4" spans="2:11">
      <c r="B1381" s="38"/>
      <c r="C1381" s="38"/>
      <c r="D1381" s="38"/>
      <c r="E1381" s="38"/>
      <c r="F1381" s="38"/>
      <c r="G1381" s="38"/>
      <c r="H1381" s="38"/>
      <c r="I1381" s="38"/>
      <c r="J1381" s="38"/>
      <c r="K1381" s="38"/>
    </row>
    <row r="1382" ht="14.4" spans="2:11">
      <c r="B1382" s="38"/>
      <c r="C1382" s="38"/>
      <c r="D1382" s="38"/>
      <c r="E1382" s="38"/>
      <c r="F1382" s="38"/>
      <c r="G1382" s="38"/>
      <c r="H1382" s="38"/>
      <c r="I1382" s="38"/>
      <c r="J1382" s="38"/>
      <c r="K1382" s="38"/>
    </row>
    <row r="1383" ht="14.4" spans="2:11">
      <c r="B1383" s="38"/>
      <c r="C1383" s="38"/>
      <c r="D1383" s="38"/>
      <c r="E1383" s="38"/>
      <c r="F1383" s="38"/>
      <c r="G1383" s="38"/>
      <c r="H1383" s="38"/>
      <c r="I1383" s="38"/>
      <c r="J1383" s="38"/>
      <c r="K1383" s="38"/>
    </row>
    <row r="1384" ht="14.4" spans="2:11">
      <c r="B1384" s="38"/>
      <c r="C1384" s="38"/>
      <c r="D1384" s="38"/>
      <c r="E1384" s="38"/>
      <c r="F1384" s="38"/>
      <c r="G1384" s="38"/>
      <c r="H1384" s="38"/>
      <c r="I1384" s="38"/>
      <c r="J1384" s="38"/>
      <c r="K1384" s="38"/>
    </row>
    <row r="1385" ht="14.4" spans="2:11">
      <c r="B1385" s="38"/>
      <c r="C1385" s="38"/>
      <c r="D1385" s="38"/>
      <c r="E1385" s="38"/>
      <c r="F1385" s="38"/>
      <c r="G1385" s="38"/>
      <c r="H1385" s="38"/>
      <c r="I1385" s="38"/>
      <c r="J1385" s="38"/>
      <c r="K1385" s="38"/>
    </row>
    <row r="1386" ht="14.4" spans="2:11">
      <c r="B1386" s="38"/>
      <c r="C1386" s="38"/>
      <c r="D1386" s="38"/>
      <c r="E1386" s="38"/>
      <c r="F1386" s="38"/>
      <c r="G1386" s="38"/>
      <c r="H1386" s="38"/>
      <c r="I1386" s="38"/>
      <c r="J1386" s="38"/>
      <c r="K1386" s="38"/>
    </row>
    <row r="1387" ht="14.4" spans="2:11">
      <c r="B1387" s="38"/>
      <c r="C1387" s="38"/>
      <c r="D1387" s="38"/>
      <c r="E1387" s="38"/>
      <c r="F1387" s="38"/>
      <c r="G1387" s="38"/>
      <c r="H1387" s="38"/>
      <c r="I1387" s="38"/>
      <c r="J1387" s="38"/>
      <c r="K1387" s="38"/>
    </row>
    <row r="1388" ht="14.4" spans="2:11">
      <c r="B1388" s="38"/>
      <c r="C1388" s="38"/>
      <c r="D1388" s="38"/>
      <c r="E1388" s="38"/>
      <c r="F1388" s="38"/>
      <c r="G1388" s="38"/>
      <c r="H1388" s="38"/>
      <c r="I1388" s="38"/>
      <c r="J1388" s="38"/>
      <c r="K1388" s="38"/>
    </row>
    <row r="1389" ht="14.4" spans="2:11">
      <c r="B1389" s="38"/>
      <c r="C1389" s="38"/>
      <c r="D1389" s="38"/>
      <c r="E1389" s="38"/>
      <c r="F1389" s="38"/>
      <c r="G1389" s="38"/>
      <c r="H1389" s="38"/>
      <c r="I1389" s="38"/>
      <c r="J1389" s="38"/>
      <c r="K1389" s="38"/>
    </row>
    <row r="1390" ht="14.4" spans="2:11">
      <c r="B1390" s="38"/>
      <c r="C1390" s="38"/>
      <c r="D1390" s="38"/>
      <c r="E1390" s="38"/>
      <c r="F1390" s="38"/>
      <c r="G1390" s="38"/>
      <c r="H1390" s="38"/>
      <c r="I1390" s="38"/>
      <c r="J1390" s="38"/>
      <c r="K1390" s="38"/>
    </row>
    <row r="1391" ht="14.4" spans="2:11">
      <c r="B1391" s="38"/>
      <c r="C1391" s="38"/>
      <c r="D1391" s="38"/>
      <c r="E1391" s="38"/>
      <c r="F1391" s="38"/>
      <c r="G1391" s="38"/>
      <c r="H1391" s="38"/>
      <c r="I1391" s="38"/>
      <c r="J1391" s="38"/>
      <c r="K1391" s="38"/>
    </row>
    <row r="1392" ht="14.4" spans="2:11">
      <c r="B1392" s="38"/>
      <c r="C1392" s="38"/>
      <c r="D1392" s="38"/>
      <c r="E1392" s="38"/>
      <c r="F1392" s="38"/>
      <c r="G1392" s="38"/>
      <c r="H1392" s="38"/>
      <c r="I1392" s="38"/>
      <c r="J1392" s="38"/>
      <c r="K1392" s="38"/>
    </row>
    <row r="1393" ht="14.4" spans="2:11"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</row>
    <row r="1394" ht="14.4" spans="2:11">
      <c r="B1394" s="38"/>
      <c r="C1394" s="38"/>
      <c r="D1394" s="38"/>
      <c r="E1394" s="38"/>
      <c r="F1394" s="38"/>
      <c r="G1394" s="38"/>
      <c r="H1394" s="38"/>
      <c r="I1394" s="38"/>
      <c r="J1394" s="38"/>
      <c r="K1394" s="38"/>
    </row>
    <row r="1395" ht="14.4" spans="2:11">
      <c r="B1395" s="38"/>
      <c r="C1395" s="38"/>
      <c r="D1395" s="38"/>
      <c r="E1395" s="38"/>
      <c r="F1395" s="38"/>
      <c r="G1395" s="38"/>
      <c r="H1395" s="38"/>
      <c r="I1395" s="38"/>
      <c r="J1395" s="38"/>
      <c r="K1395" s="38"/>
    </row>
    <row r="1396" ht="14.4" spans="2:11">
      <c r="B1396" s="38"/>
      <c r="C1396" s="38"/>
      <c r="D1396" s="38"/>
      <c r="E1396" s="38"/>
      <c r="F1396" s="38"/>
      <c r="G1396" s="38"/>
      <c r="H1396" s="38"/>
      <c r="I1396" s="38"/>
      <c r="J1396" s="38"/>
      <c r="K1396" s="38"/>
    </row>
    <row r="1397" ht="14.4" spans="2:11">
      <c r="B1397" s="38"/>
      <c r="C1397" s="38"/>
      <c r="D1397" s="38"/>
      <c r="E1397" s="38"/>
      <c r="F1397" s="38"/>
      <c r="G1397" s="38"/>
      <c r="H1397" s="38"/>
      <c r="I1397" s="38"/>
      <c r="J1397" s="38"/>
      <c r="K1397" s="38"/>
    </row>
    <row r="1398" ht="14.4" spans="2:11">
      <c r="B1398" s="38"/>
      <c r="C1398" s="38"/>
      <c r="D1398" s="38"/>
      <c r="E1398" s="38"/>
      <c r="F1398" s="38"/>
      <c r="G1398" s="38"/>
      <c r="H1398" s="38"/>
      <c r="I1398" s="38"/>
      <c r="J1398" s="38"/>
      <c r="K1398" s="38"/>
    </row>
    <row r="1399" ht="14.4" spans="2:11">
      <c r="B1399" s="38"/>
      <c r="C1399" s="38"/>
      <c r="D1399" s="38"/>
      <c r="E1399" s="38"/>
      <c r="F1399" s="38"/>
      <c r="G1399" s="38"/>
      <c r="H1399" s="38"/>
      <c r="I1399" s="38"/>
      <c r="J1399" s="38"/>
      <c r="K1399" s="38"/>
    </row>
    <row r="1400" ht="14.4" spans="2:11">
      <c r="B1400" s="38"/>
      <c r="C1400" s="38"/>
      <c r="D1400" s="38"/>
      <c r="E1400" s="38"/>
      <c r="F1400" s="38"/>
      <c r="G1400" s="38"/>
      <c r="H1400" s="38"/>
      <c r="I1400" s="38"/>
      <c r="J1400" s="38"/>
      <c r="K1400" s="38"/>
    </row>
    <row r="1401" ht="14.4" spans="2:11">
      <c r="B1401" s="38"/>
      <c r="C1401" s="38"/>
      <c r="D1401" s="38"/>
      <c r="E1401" s="38"/>
      <c r="F1401" s="38"/>
      <c r="G1401" s="38"/>
      <c r="H1401" s="38"/>
      <c r="I1401" s="38"/>
      <c r="J1401" s="38"/>
      <c r="K1401" s="38"/>
    </row>
    <row r="1402" ht="14.4" spans="2:11">
      <c r="B1402" s="38"/>
      <c r="C1402" s="38"/>
      <c r="D1402" s="38"/>
      <c r="E1402" s="38"/>
      <c r="F1402" s="38"/>
      <c r="G1402" s="38"/>
      <c r="H1402" s="38"/>
      <c r="I1402" s="38"/>
      <c r="J1402" s="38"/>
      <c r="K1402" s="38"/>
    </row>
    <row r="1403" ht="14.4" spans="2:11">
      <c r="B1403" s="38"/>
      <c r="C1403" s="38"/>
      <c r="D1403" s="38"/>
      <c r="E1403" s="38"/>
      <c r="F1403" s="38"/>
      <c r="G1403" s="38"/>
      <c r="H1403" s="38"/>
      <c r="I1403" s="38"/>
      <c r="J1403" s="38"/>
      <c r="K1403" s="38"/>
    </row>
    <row r="1404" ht="14.4" spans="2:11">
      <c r="B1404" s="38"/>
      <c r="C1404" s="38"/>
      <c r="D1404" s="38"/>
      <c r="E1404" s="38"/>
      <c r="F1404" s="38"/>
      <c r="G1404" s="38"/>
      <c r="H1404" s="38"/>
      <c r="I1404" s="38"/>
      <c r="J1404" s="38"/>
      <c r="K1404" s="38"/>
    </row>
    <row r="1405" ht="14.4" spans="2:11">
      <c r="B1405" s="38"/>
      <c r="C1405" s="38"/>
      <c r="D1405" s="38"/>
      <c r="E1405" s="38"/>
      <c r="F1405" s="38"/>
      <c r="G1405" s="38"/>
      <c r="H1405" s="38"/>
      <c r="I1405" s="38"/>
      <c r="J1405" s="38"/>
      <c r="K1405" s="38"/>
    </row>
    <row r="1406" ht="14.4" spans="2:11">
      <c r="B1406" s="38"/>
      <c r="C1406" s="38"/>
      <c r="D1406" s="38"/>
      <c r="E1406" s="38"/>
      <c r="F1406" s="38"/>
      <c r="G1406" s="38"/>
      <c r="H1406" s="38"/>
      <c r="I1406" s="38"/>
      <c r="J1406" s="38"/>
      <c r="K1406" s="38"/>
    </row>
    <row r="1407" ht="14.4" spans="2:11">
      <c r="B1407" s="38"/>
      <c r="C1407" s="38"/>
      <c r="D1407" s="38"/>
      <c r="E1407" s="38"/>
      <c r="F1407" s="38"/>
      <c r="G1407" s="38"/>
      <c r="H1407" s="38"/>
      <c r="I1407" s="38"/>
      <c r="J1407" s="38"/>
      <c r="K1407" s="38"/>
    </row>
    <row r="1408" ht="14.4" spans="2:11">
      <c r="B1408" s="38"/>
      <c r="C1408" s="38"/>
      <c r="D1408" s="38"/>
      <c r="E1408" s="38"/>
      <c r="F1408" s="38"/>
      <c r="G1408" s="38"/>
      <c r="H1408" s="38"/>
      <c r="I1408" s="38"/>
      <c r="J1408" s="38"/>
      <c r="K1408" s="38"/>
    </row>
    <row r="1409" ht="14.4" spans="2:11">
      <c r="B1409" s="38"/>
      <c r="C1409" s="38"/>
      <c r="D1409" s="38"/>
      <c r="E1409" s="38"/>
      <c r="F1409" s="38"/>
      <c r="G1409" s="38"/>
      <c r="H1409" s="38"/>
      <c r="I1409" s="38"/>
      <c r="J1409" s="38"/>
      <c r="K1409" s="38"/>
    </row>
    <row r="1410" ht="14.4" spans="2:11">
      <c r="B1410" s="38"/>
      <c r="C1410" s="38"/>
      <c r="D1410" s="38"/>
      <c r="E1410" s="38"/>
      <c r="F1410" s="38"/>
      <c r="G1410" s="38"/>
      <c r="H1410" s="38"/>
      <c r="I1410" s="38"/>
      <c r="J1410" s="38"/>
      <c r="K1410" s="38"/>
    </row>
    <row r="1411" ht="14.4" spans="2:11">
      <c r="B1411" s="38"/>
      <c r="C1411" s="38"/>
      <c r="D1411" s="38"/>
      <c r="E1411" s="38"/>
      <c r="F1411" s="38"/>
      <c r="G1411" s="38"/>
      <c r="H1411" s="38"/>
      <c r="I1411" s="38"/>
      <c r="J1411" s="38"/>
      <c r="K1411" s="38"/>
    </row>
    <row r="1412" ht="14.4" spans="2:11">
      <c r="B1412" s="38"/>
      <c r="C1412" s="38"/>
      <c r="D1412" s="38"/>
      <c r="E1412" s="38"/>
      <c r="F1412" s="38"/>
      <c r="G1412" s="38"/>
      <c r="H1412" s="38"/>
      <c r="I1412" s="38"/>
      <c r="J1412" s="38"/>
      <c r="K1412" s="38"/>
    </row>
    <row r="1413" ht="14.4" spans="2:11">
      <c r="B1413" s="38"/>
      <c r="C1413" s="38"/>
      <c r="D1413" s="38"/>
      <c r="E1413" s="38"/>
      <c r="F1413" s="38"/>
      <c r="G1413" s="38"/>
      <c r="H1413" s="38"/>
      <c r="I1413" s="38"/>
      <c r="J1413" s="38"/>
      <c r="K1413" s="38"/>
    </row>
    <row r="1414" ht="14.4" spans="2:11">
      <c r="B1414" s="38"/>
      <c r="C1414" s="38"/>
      <c r="D1414" s="38"/>
      <c r="E1414" s="38"/>
      <c r="F1414" s="38"/>
      <c r="G1414" s="38"/>
      <c r="H1414" s="38"/>
      <c r="I1414" s="38"/>
      <c r="J1414" s="38"/>
      <c r="K1414" s="38"/>
    </row>
    <row r="1415" ht="14.4" spans="2:11">
      <c r="B1415" s="38"/>
      <c r="C1415" s="38"/>
      <c r="D1415" s="38"/>
      <c r="E1415" s="38"/>
      <c r="F1415" s="38"/>
      <c r="G1415" s="38"/>
      <c r="H1415" s="38"/>
      <c r="I1415" s="38"/>
      <c r="J1415" s="38"/>
      <c r="K1415" s="38"/>
    </row>
    <row r="1416" ht="14.4" spans="2:11">
      <c r="B1416" s="38"/>
      <c r="C1416" s="38"/>
      <c r="D1416" s="38"/>
      <c r="E1416" s="38"/>
      <c r="F1416" s="38"/>
      <c r="G1416" s="38"/>
      <c r="H1416" s="38"/>
      <c r="I1416" s="38"/>
      <c r="J1416" s="38"/>
      <c r="K1416" s="38"/>
    </row>
    <row r="1417" ht="14.4" spans="2:11">
      <c r="B1417" s="38"/>
      <c r="C1417" s="38"/>
      <c r="D1417" s="38"/>
      <c r="E1417" s="38"/>
      <c r="F1417" s="38"/>
      <c r="G1417" s="38"/>
      <c r="H1417" s="38"/>
      <c r="I1417" s="38"/>
      <c r="J1417" s="38"/>
      <c r="K1417" s="38"/>
    </row>
    <row r="1418" ht="14.4" spans="2:11">
      <c r="B1418" s="38"/>
      <c r="C1418" s="38"/>
      <c r="D1418" s="38"/>
      <c r="E1418" s="38"/>
      <c r="F1418" s="38"/>
      <c r="G1418" s="38"/>
      <c r="H1418" s="38"/>
      <c r="I1418" s="38"/>
      <c r="J1418" s="38"/>
      <c r="K1418" s="38"/>
    </row>
    <row r="1419" ht="14.4" spans="2:11">
      <c r="B1419" s="38"/>
      <c r="C1419" s="38"/>
      <c r="D1419" s="38"/>
      <c r="E1419" s="38"/>
      <c r="F1419" s="38"/>
      <c r="G1419" s="38"/>
      <c r="H1419" s="38"/>
      <c r="I1419" s="38"/>
      <c r="J1419" s="38"/>
      <c r="K1419" s="38"/>
    </row>
    <row r="1420" ht="14.4" spans="2:11">
      <c r="B1420" s="38"/>
      <c r="C1420" s="38"/>
      <c r="D1420" s="38"/>
      <c r="E1420" s="38"/>
      <c r="F1420" s="38"/>
      <c r="G1420" s="38"/>
      <c r="H1420" s="38"/>
      <c r="I1420" s="38"/>
      <c r="J1420" s="38"/>
      <c r="K1420" s="38"/>
    </row>
    <row r="1421" ht="14.4" spans="2:11">
      <c r="B1421" s="38"/>
      <c r="C1421" s="38"/>
      <c r="D1421" s="38"/>
      <c r="E1421" s="38"/>
      <c r="F1421" s="38"/>
      <c r="G1421" s="38"/>
      <c r="H1421" s="38"/>
      <c r="I1421" s="38"/>
      <c r="J1421" s="38"/>
      <c r="K1421" s="38"/>
    </row>
    <row r="1422" ht="14.4" spans="2:11">
      <c r="B1422" s="38"/>
      <c r="C1422" s="38"/>
      <c r="D1422" s="38"/>
      <c r="E1422" s="38"/>
      <c r="F1422" s="38"/>
      <c r="G1422" s="38"/>
      <c r="H1422" s="38"/>
      <c r="I1422" s="38"/>
      <c r="J1422" s="38"/>
      <c r="K1422" s="38"/>
    </row>
    <row r="1423" ht="14.4" spans="2:11">
      <c r="B1423" s="38"/>
      <c r="C1423" s="38"/>
      <c r="D1423" s="38"/>
      <c r="E1423" s="38"/>
      <c r="F1423" s="38"/>
      <c r="G1423" s="38"/>
      <c r="H1423" s="38"/>
      <c r="I1423" s="38"/>
      <c r="J1423" s="38"/>
      <c r="K1423" s="38"/>
    </row>
    <row r="1424" ht="14.4" spans="2:11">
      <c r="B1424" s="38"/>
      <c r="C1424" s="38"/>
      <c r="D1424" s="38"/>
      <c r="E1424" s="38"/>
      <c r="F1424" s="38"/>
      <c r="G1424" s="38"/>
      <c r="H1424" s="38"/>
      <c r="I1424" s="38"/>
      <c r="J1424" s="38"/>
      <c r="K1424" s="38"/>
    </row>
    <row r="1425" ht="14.4" spans="2:11">
      <c r="B1425" s="38"/>
      <c r="C1425" s="38"/>
      <c r="D1425" s="38"/>
      <c r="E1425" s="38"/>
      <c r="F1425" s="38"/>
      <c r="G1425" s="38"/>
      <c r="H1425" s="38"/>
      <c r="I1425" s="38"/>
      <c r="J1425" s="38"/>
      <c r="K1425" s="38"/>
    </row>
    <row r="1426" ht="14.4" spans="2:11">
      <c r="B1426" s="38"/>
      <c r="C1426" s="38"/>
      <c r="D1426" s="38"/>
      <c r="E1426" s="38"/>
      <c r="F1426" s="38"/>
      <c r="G1426" s="38"/>
      <c r="H1426" s="38"/>
      <c r="I1426" s="38"/>
      <c r="J1426" s="38"/>
      <c r="K1426" s="38"/>
    </row>
    <row r="1427" ht="14.4" spans="2:11">
      <c r="B1427" s="38"/>
      <c r="C1427" s="38"/>
      <c r="D1427" s="38"/>
      <c r="E1427" s="38"/>
      <c r="F1427" s="38"/>
      <c r="G1427" s="38"/>
      <c r="H1427" s="38"/>
      <c r="I1427" s="38"/>
      <c r="J1427" s="38"/>
      <c r="K1427" s="38"/>
    </row>
    <row r="1428" ht="14.4" spans="2:11">
      <c r="B1428" s="38"/>
      <c r="C1428" s="38"/>
      <c r="D1428" s="38"/>
      <c r="E1428" s="38"/>
      <c r="F1428" s="38"/>
      <c r="G1428" s="38"/>
      <c r="H1428" s="38"/>
      <c r="I1428" s="38"/>
      <c r="J1428" s="38"/>
      <c r="K1428" s="38"/>
    </row>
    <row r="1429" ht="14.4" spans="2:11">
      <c r="B1429" s="38"/>
      <c r="C1429" s="38"/>
      <c r="D1429" s="38"/>
      <c r="E1429" s="38"/>
      <c r="F1429" s="38"/>
      <c r="G1429" s="38"/>
      <c r="H1429" s="38"/>
      <c r="I1429" s="38"/>
      <c r="J1429" s="38"/>
      <c r="K1429" s="38"/>
    </row>
    <row r="1430" ht="14.4" spans="2:11">
      <c r="B1430" s="38"/>
      <c r="C1430" s="38"/>
      <c r="D1430" s="38"/>
      <c r="E1430" s="38"/>
      <c r="F1430" s="38"/>
      <c r="G1430" s="38"/>
      <c r="H1430" s="38"/>
      <c r="I1430" s="38"/>
      <c r="J1430" s="38"/>
      <c r="K1430" s="38"/>
    </row>
    <row r="1431" ht="14.4" spans="2:11">
      <c r="B1431" s="38"/>
      <c r="C1431" s="38"/>
      <c r="D1431" s="38"/>
      <c r="E1431" s="38"/>
      <c r="F1431" s="38"/>
      <c r="G1431" s="38"/>
      <c r="H1431" s="38"/>
      <c r="I1431" s="38"/>
      <c r="J1431" s="38"/>
      <c r="K1431" s="38"/>
    </row>
    <row r="1432" ht="14.4" spans="2:11">
      <c r="B1432" s="38"/>
      <c r="C1432" s="38"/>
      <c r="D1432" s="38"/>
      <c r="E1432" s="38"/>
      <c r="F1432" s="38"/>
      <c r="G1432" s="38"/>
      <c r="H1432" s="38"/>
      <c r="I1432" s="38"/>
      <c r="J1432" s="38"/>
      <c r="K1432" s="38"/>
    </row>
    <row r="1433" ht="14.4" spans="2:11">
      <c r="B1433" s="38"/>
      <c r="C1433" s="38"/>
      <c r="D1433" s="38"/>
      <c r="E1433" s="38"/>
      <c r="F1433" s="38"/>
      <c r="G1433" s="38"/>
      <c r="H1433" s="38"/>
      <c r="I1433" s="38"/>
      <c r="J1433" s="38"/>
      <c r="K1433" s="38"/>
    </row>
    <row r="1434" ht="14.4" spans="2:11">
      <c r="B1434" s="38"/>
      <c r="C1434" s="38"/>
      <c r="D1434" s="38"/>
      <c r="E1434" s="38"/>
      <c r="F1434" s="38"/>
      <c r="G1434" s="38"/>
      <c r="H1434" s="38"/>
      <c r="I1434" s="38"/>
      <c r="J1434" s="38"/>
      <c r="K1434" s="38"/>
    </row>
    <row r="1435" ht="14.4" spans="2:11">
      <c r="B1435" s="38"/>
      <c r="C1435" s="38"/>
      <c r="D1435" s="38"/>
      <c r="E1435" s="38"/>
      <c r="F1435" s="38"/>
      <c r="G1435" s="38"/>
      <c r="H1435" s="38"/>
      <c r="I1435" s="38"/>
      <c r="J1435" s="38"/>
      <c r="K1435" s="38"/>
    </row>
    <row r="1436" ht="14.4" spans="2:11">
      <c r="B1436" s="38"/>
      <c r="C1436" s="38"/>
      <c r="D1436" s="38"/>
      <c r="E1436" s="38"/>
      <c r="F1436" s="38"/>
      <c r="G1436" s="38"/>
      <c r="H1436" s="38"/>
      <c r="I1436" s="38"/>
      <c r="J1436" s="38"/>
      <c r="K1436" s="38"/>
    </row>
    <row r="1437" ht="14.4" spans="2:11">
      <c r="B1437" s="38"/>
      <c r="C1437" s="38"/>
      <c r="D1437" s="38"/>
      <c r="E1437" s="38"/>
      <c r="F1437" s="38"/>
      <c r="G1437" s="38"/>
      <c r="H1437" s="38"/>
      <c r="I1437" s="38"/>
      <c r="J1437" s="38"/>
      <c r="K1437" s="38"/>
    </row>
    <row r="1438" ht="14.4" spans="2:11">
      <c r="B1438" s="38"/>
      <c r="C1438" s="38"/>
      <c r="D1438" s="38"/>
      <c r="E1438" s="38"/>
      <c r="F1438" s="38"/>
      <c r="G1438" s="38"/>
      <c r="H1438" s="38"/>
      <c r="I1438" s="38"/>
      <c r="J1438" s="38"/>
      <c r="K1438" s="38"/>
    </row>
    <row r="1439" ht="14.4" spans="2:11">
      <c r="B1439" s="38"/>
      <c r="C1439" s="38"/>
      <c r="D1439" s="38"/>
      <c r="E1439" s="38"/>
      <c r="F1439" s="38"/>
      <c r="G1439" s="38"/>
      <c r="H1439" s="38"/>
      <c r="I1439" s="38"/>
      <c r="J1439" s="38"/>
      <c r="K1439" s="38"/>
    </row>
    <row r="1440" ht="14.4" spans="2:11"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</row>
    <row r="1441" ht="14.4" spans="2:11">
      <c r="B1441" s="38"/>
      <c r="C1441" s="38"/>
      <c r="D1441" s="38"/>
      <c r="E1441" s="38"/>
      <c r="F1441" s="38"/>
      <c r="G1441" s="38"/>
      <c r="H1441" s="38"/>
      <c r="I1441" s="38"/>
      <c r="J1441" s="38"/>
      <c r="K1441" s="38"/>
    </row>
    <row r="1442" ht="14.4" spans="2:11">
      <c r="B1442" s="38"/>
      <c r="C1442" s="38"/>
      <c r="D1442" s="38"/>
      <c r="E1442" s="38"/>
      <c r="F1442" s="38"/>
      <c r="G1442" s="38"/>
      <c r="H1442" s="38"/>
      <c r="I1442" s="38"/>
      <c r="J1442" s="38"/>
      <c r="K1442" s="38"/>
    </row>
    <row r="1443" ht="14.4" spans="2:11">
      <c r="B1443" s="38"/>
      <c r="C1443" s="38"/>
      <c r="D1443" s="38"/>
      <c r="E1443" s="38"/>
      <c r="F1443" s="38"/>
      <c r="G1443" s="38"/>
      <c r="H1443" s="38"/>
      <c r="I1443" s="38"/>
      <c r="J1443" s="38"/>
      <c r="K1443" s="38"/>
    </row>
    <row r="1444" ht="14.4" spans="2:11">
      <c r="B1444" s="38"/>
      <c r="C1444" s="38"/>
      <c r="D1444" s="38"/>
      <c r="E1444" s="38"/>
      <c r="F1444" s="38"/>
      <c r="G1444" s="38"/>
      <c r="H1444" s="38"/>
      <c r="I1444" s="38"/>
      <c r="J1444" s="38"/>
      <c r="K1444" s="38"/>
    </row>
    <row r="1445" ht="14.4" spans="2:11">
      <c r="B1445" s="38"/>
      <c r="C1445" s="38"/>
      <c r="D1445" s="38"/>
      <c r="E1445" s="38"/>
      <c r="F1445" s="38"/>
      <c r="G1445" s="38"/>
      <c r="H1445" s="38"/>
      <c r="I1445" s="38"/>
      <c r="J1445" s="38"/>
      <c r="K1445" s="38"/>
    </row>
    <row r="1446" ht="14.4" spans="2:11">
      <c r="B1446" s="38"/>
      <c r="C1446" s="38"/>
      <c r="D1446" s="38"/>
      <c r="E1446" s="38"/>
      <c r="F1446" s="38"/>
      <c r="G1446" s="38"/>
      <c r="H1446" s="38"/>
      <c r="I1446" s="38"/>
      <c r="J1446" s="38"/>
      <c r="K1446" s="38"/>
    </row>
    <row r="1447" ht="14.4" spans="2:11">
      <c r="B1447" s="38"/>
      <c r="C1447" s="38"/>
      <c r="D1447" s="38"/>
      <c r="E1447" s="38"/>
      <c r="F1447" s="38"/>
      <c r="G1447" s="38"/>
      <c r="H1447" s="38"/>
      <c r="I1447" s="38"/>
      <c r="J1447" s="38"/>
      <c r="K1447" s="38"/>
    </row>
    <row r="1448" ht="14.4" spans="2:11">
      <c r="B1448" s="38"/>
      <c r="C1448" s="38"/>
      <c r="D1448" s="38"/>
      <c r="E1448" s="38"/>
      <c r="F1448" s="38"/>
      <c r="G1448" s="38"/>
      <c r="H1448" s="38"/>
      <c r="I1448" s="38"/>
      <c r="J1448" s="38"/>
      <c r="K1448" s="38"/>
    </row>
    <row r="1449" ht="14.4" spans="2:11">
      <c r="B1449" s="38"/>
      <c r="C1449" s="38"/>
      <c r="D1449" s="38"/>
      <c r="E1449" s="38"/>
      <c r="F1449" s="38"/>
      <c r="G1449" s="38"/>
      <c r="H1449" s="38"/>
      <c r="I1449" s="38"/>
      <c r="J1449" s="38"/>
      <c r="K1449" s="38"/>
    </row>
    <row r="1450" ht="14.4" spans="2:11">
      <c r="B1450" s="38"/>
      <c r="C1450" s="38"/>
      <c r="D1450" s="38"/>
      <c r="E1450" s="38"/>
      <c r="F1450" s="38"/>
      <c r="G1450" s="38"/>
      <c r="H1450" s="38"/>
      <c r="I1450" s="38"/>
      <c r="J1450" s="38"/>
      <c r="K1450" s="38"/>
    </row>
    <row r="1451" ht="14.4" spans="2:11">
      <c r="B1451" s="38"/>
      <c r="C1451" s="38"/>
      <c r="D1451" s="38"/>
      <c r="E1451" s="38"/>
      <c r="F1451" s="38"/>
      <c r="G1451" s="38"/>
      <c r="H1451" s="38"/>
      <c r="I1451" s="38"/>
      <c r="J1451" s="38"/>
      <c r="K1451" s="38"/>
    </row>
    <row r="1452" ht="14.4" spans="2:11">
      <c r="B1452" s="38"/>
      <c r="C1452" s="38"/>
      <c r="D1452" s="38"/>
      <c r="E1452" s="38"/>
      <c r="F1452" s="38"/>
      <c r="G1452" s="38"/>
      <c r="H1452" s="38"/>
      <c r="I1452" s="38"/>
      <c r="J1452" s="38"/>
      <c r="K1452" s="38"/>
    </row>
    <row r="1453" ht="14.4" spans="2:11">
      <c r="B1453" s="38"/>
      <c r="C1453" s="38"/>
      <c r="D1453" s="38"/>
      <c r="E1453" s="38"/>
      <c r="F1453" s="38"/>
      <c r="G1453" s="38"/>
      <c r="H1453" s="38"/>
      <c r="I1453" s="38"/>
      <c r="J1453" s="38"/>
      <c r="K1453" s="38"/>
    </row>
    <row r="1454" ht="14.4" spans="2:11">
      <c r="B1454" s="38"/>
      <c r="C1454" s="38"/>
      <c r="D1454" s="38"/>
      <c r="E1454" s="38"/>
      <c r="F1454" s="38"/>
      <c r="G1454" s="38"/>
      <c r="H1454" s="38"/>
      <c r="I1454" s="38"/>
      <c r="J1454" s="38"/>
      <c r="K1454" s="38"/>
    </row>
    <row r="1455" ht="14.4" spans="2:11">
      <c r="B1455" s="38"/>
      <c r="C1455" s="38"/>
      <c r="D1455" s="38"/>
      <c r="E1455" s="38"/>
      <c r="F1455" s="38"/>
      <c r="G1455" s="38"/>
      <c r="H1455" s="38"/>
      <c r="I1455" s="38"/>
      <c r="J1455" s="38"/>
      <c r="K1455" s="38"/>
    </row>
    <row r="1456" ht="14.4" spans="2:11">
      <c r="B1456" s="38"/>
      <c r="C1456" s="38"/>
      <c r="D1456" s="38"/>
      <c r="E1456" s="38"/>
      <c r="F1456" s="38"/>
      <c r="G1456" s="38"/>
      <c r="H1456" s="38"/>
      <c r="I1456" s="38"/>
      <c r="J1456" s="38"/>
      <c r="K1456" s="38"/>
    </row>
    <row r="1457" ht="14.4" spans="2:11">
      <c r="B1457" s="38"/>
      <c r="C1457" s="38"/>
      <c r="D1457" s="38"/>
      <c r="E1457" s="38"/>
      <c r="F1457" s="38"/>
      <c r="G1457" s="38"/>
      <c r="H1457" s="38"/>
      <c r="I1457" s="38"/>
      <c r="J1457" s="38"/>
      <c r="K1457" s="38"/>
    </row>
    <row r="1458" ht="14.4" spans="2:11">
      <c r="B1458" s="38"/>
      <c r="C1458" s="38"/>
      <c r="D1458" s="38"/>
      <c r="E1458" s="38"/>
      <c r="F1458" s="38"/>
      <c r="G1458" s="38"/>
      <c r="H1458" s="38"/>
      <c r="I1458" s="38"/>
      <c r="J1458" s="38"/>
      <c r="K1458" s="38"/>
    </row>
    <row r="1459" ht="14.4" spans="2:11">
      <c r="B1459" s="38"/>
      <c r="C1459" s="38"/>
      <c r="D1459" s="38"/>
      <c r="E1459" s="38"/>
      <c r="F1459" s="38"/>
      <c r="G1459" s="38"/>
      <c r="H1459" s="38"/>
      <c r="I1459" s="38"/>
      <c r="J1459" s="38"/>
      <c r="K1459" s="38"/>
    </row>
    <row r="1460" ht="14.4" spans="2:11">
      <c r="B1460" s="38"/>
      <c r="C1460" s="38"/>
      <c r="D1460" s="38"/>
      <c r="E1460" s="38"/>
      <c r="F1460" s="38"/>
      <c r="G1460" s="38"/>
      <c r="H1460" s="38"/>
      <c r="I1460" s="38"/>
      <c r="J1460" s="38"/>
      <c r="K1460" s="38"/>
    </row>
    <row r="1461" ht="14.4" spans="2:11">
      <c r="B1461" s="38"/>
      <c r="C1461" s="38"/>
      <c r="D1461" s="38"/>
      <c r="E1461" s="38"/>
      <c r="F1461" s="38"/>
      <c r="G1461" s="38"/>
      <c r="H1461" s="38"/>
      <c r="I1461" s="38"/>
      <c r="J1461" s="38"/>
      <c r="K1461" s="38"/>
    </row>
    <row r="1462" ht="14.4" spans="2:11">
      <c r="B1462" s="38"/>
      <c r="C1462" s="38"/>
      <c r="D1462" s="38"/>
      <c r="E1462" s="38"/>
      <c r="F1462" s="38"/>
      <c r="G1462" s="38"/>
      <c r="H1462" s="38"/>
      <c r="I1462" s="38"/>
      <c r="J1462" s="38"/>
      <c r="K1462" s="38"/>
    </row>
    <row r="1463" ht="14.4" spans="2:11">
      <c r="B1463" s="38"/>
      <c r="C1463" s="38"/>
      <c r="D1463" s="38"/>
      <c r="E1463" s="38"/>
      <c r="F1463" s="38"/>
      <c r="G1463" s="38"/>
      <c r="H1463" s="38"/>
      <c r="I1463" s="38"/>
      <c r="J1463" s="38"/>
      <c r="K1463" s="38"/>
    </row>
    <row r="1464" ht="14.4" spans="2:11">
      <c r="B1464" s="38"/>
      <c r="C1464" s="38"/>
      <c r="D1464" s="38"/>
      <c r="E1464" s="38"/>
      <c r="F1464" s="38"/>
      <c r="G1464" s="38"/>
      <c r="H1464" s="38"/>
      <c r="I1464" s="38"/>
      <c r="J1464" s="38"/>
      <c r="K1464" s="38"/>
    </row>
    <row r="1465" ht="14.4" spans="2:11">
      <c r="B1465" s="38"/>
      <c r="C1465" s="38"/>
      <c r="D1465" s="38"/>
      <c r="E1465" s="38"/>
      <c r="F1465" s="38"/>
      <c r="G1465" s="38"/>
      <c r="H1465" s="38"/>
      <c r="I1465" s="38"/>
      <c r="J1465" s="38"/>
      <c r="K1465" s="38"/>
    </row>
    <row r="1466" ht="14.4" spans="2:11">
      <c r="B1466" s="38"/>
      <c r="C1466" s="38"/>
      <c r="D1466" s="38"/>
      <c r="E1466" s="38"/>
      <c r="F1466" s="38"/>
      <c r="G1466" s="38"/>
      <c r="H1466" s="38"/>
      <c r="I1466" s="38"/>
      <c r="J1466" s="38"/>
      <c r="K1466" s="38"/>
    </row>
    <row r="1467" ht="14.4" spans="2:11">
      <c r="B1467" s="38"/>
      <c r="C1467" s="38"/>
      <c r="D1467" s="38"/>
      <c r="E1467" s="38"/>
      <c r="F1467" s="38"/>
      <c r="G1467" s="38"/>
      <c r="H1467" s="38"/>
      <c r="I1467" s="38"/>
      <c r="J1467" s="38"/>
      <c r="K1467" s="38"/>
    </row>
    <row r="1468" ht="14.4" spans="2:11">
      <c r="B1468" s="38"/>
      <c r="C1468" s="38"/>
      <c r="D1468" s="38"/>
      <c r="E1468" s="38"/>
      <c r="F1468" s="38"/>
      <c r="G1468" s="38"/>
      <c r="H1468" s="38"/>
      <c r="I1468" s="38"/>
      <c r="J1468" s="38"/>
      <c r="K1468" s="38"/>
    </row>
    <row r="1469" ht="14.4" spans="2:11">
      <c r="B1469" s="38"/>
      <c r="C1469" s="38"/>
      <c r="D1469" s="38"/>
      <c r="E1469" s="38"/>
      <c r="F1469" s="38"/>
      <c r="G1469" s="38"/>
      <c r="H1469" s="38"/>
      <c r="I1469" s="38"/>
      <c r="J1469" s="38"/>
      <c r="K1469" s="38"/>
    </row>
    <row r="1470" ht="14.4" spans="2:11">
      <c r="B1470" s="38"/>
      <c r="C1470" s="38"/>
      <c r="D1470" s="38"/>
      <c r="E1470" s="38"/>
      <c r="F1470" s="38"/>
      <c r="G1470" s="38"/>
      <c r="H1470" s="38"/>
      <c r="I1470" s="38"/>
      <c r="J1470" s="38"/>
      <c r="K1470" s="38"/>
    </row>
    <row r="1471" ht="14.4" spans="2:11">
      <c r="B1471" s="38"/>
      <c r="C1471" s="38"/>
      <c r="D1471" s="38"/>
      <c r="E1471" s="38"/>
      <c r="F1471" s="38"/>
      <c r="G1471" s="38"/>
      <c r="H1471" s="38"/>
      <c r="I1471" s="38"/>
      <c r="J1471" s="38"/>
      <c r="K1471" s="38"/>
    </row>
    <row r="1472" ht="14.4" spans="2:11">
      <c r="B1472" s="38"/>
      <c r="C1472" s="38"/>
      <c r="D1472" s="38"/>
      <c r="E1472" s="38"/>
      <c r="F1472" s="38"/>
      <c r="G1472" s="38"/>
      <c r="H1472" s="38"/>
      <c r="I1472" s="38"/>
      <c r="J1472" s="38"/>
      <c r="K1472" s="38"/>
    </row>
    <row r="1473" ht="14.4" spans="2:11">
      <c r="B1473" s="38"/>
      <c r="C1473" s="38"/>
      <c r="D1473" s="38"/>
      <c r="E1473" s="38"/>
      <c r="F1473" s="38"/>
      <c r="G1473" s="38"/>
      <c r="H1473" s="38"/>
      <c r="I1473" s="38"/>
      <c r="J1473" s="38"/>
      <c r="K1473" s="38"/>
    </row>
    <row r="1474" ht="14.4" spans="2:11">
      <c r="B1474" s="38"/>
      <c r="C1474" s="38"/>
      <c r="D1474" s="38"/>
      <c r="E1474" s="38"/>
      <c r="F1474" s="38"/>
      <c r="G1474" s="38"/>
      <c r="H1474" s="38"/>
      <c r="I1474" s="38"/>
      <c r="J1474" s="38"/>
      <c r="K1474" s="38"/>
    </row>
    <row r="1475" ht="14.4" spans="2:11">
      <c r="B1475" s="38"/>
      <c r="C1475" s="38"/>
      <c r="D1475" s="38"/>
      <c r="E1475" s="38"/>
      <c r="F1475" s="38"/>
      <c r="G1475" s="38"/>
      <c r="H1475" s="38"/>
      <c r="I1475" s="38"/>
      <c r="J1475" s="38"/>
      <c r="K1475" s="38"/>
    </row>
    <row r="1476" ht="14.4" spans="2:11">
      <c r="B1476" s="38"/>
      <c r="C1476" s="38"/>
      <c r="D1476" s="38"/>
      <c r="E1476" s="38"/>
      <c r="F1476" s="38"/>
      <c r="G1476" s="38"/>
      <c r="H1476" s="38"/>
      <c r="I1476" s="38"/>
      <c r="J1476" s="38"/>
      <c r="K1476" s="38"/>
    </row>
    <row r="1477" ht="14.4" spans="2:11">
      <c r="B1477" s="38"/>
      <c r="C1477" s="38"/>
      <c r="D1477" s="38"/>
      <c r="E1477" s="38"/>
      <c r="F1477" s="38"/>
      <c r="G1477" s="38"/>
      <c r="H1477" s="38"/>
      <c r="I1477" s="38"/>
      <c r="J1477" s="38"/>
      <c r="K1477" s="38"/>
    </row>
    <row r="1478" ht="14.4" spans="2:11">
      <c r="B1478" s="38"/>
      <c r="C1478" s="38"/>
      <c r="D1478" s="38"/>
      <c r="E1478" s="38"/>
      <c r="F1478" s="38"/>
      <c r="G1478" s="38"/>
      <c r="H1478" s="38"/>
      <c r="I1478" s="38"/>
      <c r="J1478" s="38"/>
      <c r="K1478" s="38"/>
    </row>
    <row r="1479" ht="14.4" spans="2:11">
      <c r="B1479" s="38"/>
      <c r="C1479" s="38"/>
      <c r="D1479" s="38"/>
      <c r="E1479" s="38"/>
      <c r="F1479" s="38"/>
      <c r="G1479" s="38"/>
      <c r="H1479" s="38"/>
      <c r="I1479" s="38"/>
      <c r="J1479" s="38"/>
      <c r="K1479" s="38"/>
    </row>
    <row r="1480" ht="14.4" spans="2:11"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</row>
    <row r="1481" ht="14.4" spans="2:11">
      <c r="B1481" s="38"/>
      <c r="C1481" s="38"/>
      <c r="D1481" s="38"/>
      <c r="E1481" s="38"/>
      <c r="F1481" s="38"/>
      <c r="G1481" s="38"/>
      <c r="H1481" s="38"/>
      <c r="I1481" s="38"/>
      <c r="J1481" s="38"/>
      <c r="K1481" s="38"/>
    </row>
    <row r="1482" ht="14.4" spans="2:11">
      <c r="B1482" s="38"/>
      <c r="C1482" s="38"/>
      <c r="D1482" s="38"/>
      <c r="E1482" s="38"/>
      <c r="F1482" s="38"/>
      <c r="G1482" s="38"/>
      <c r="H1482" s="38"/>
      <c r="I1482" s="38"/>
      <c r="J1482" s="38"/>
      <c r="K1482" s="38"/>
    </row>
    <row r="1483" ht="14.4" spans="2:11">
      <c r="B1483" s="38"/>
      <c r="C1483" s="38"/>
      <c r="D1483" s="38"/>
      <c r="E1483" s="38"/>
      <c r="F1483" s="38"/>
      <c r="G1483" s="38"/>
      <c r="H1483" s="38"/>
      <c r="I1483" s="38"/>
      <c r="J1483" s="38"/>
      <c r="K1483" s="38"/>
    </row>
    <row r="1484" ht="14.4" spans="2:11">
      <c r="B1484" s="38"/>
      <c r="C1484" s="38"/>
      <c r="D1484" s="38"/>
      <c r="E1484" s="38"/>
      <c r="F1484" s="38"/>
      <c r="G1484" s="38"/>
      <c r="H1484" s="38"/>
      <c r="I1484" s="38"/>
      <c r="J1484" s="38"/>
      <c r="K1484" s="38"/>
    </row>
    <row r="1485" ht="14.4" spans="2:11">
      <c r="B1485" s="38"/>
      <c r="C1485" s="38"/>
      <c r="D1485" s="38"/>
      <c r="E1485" s="38"/>
      <c r="F1485" s="38"/>
      <c r="G1485" s="38"/>
      <c r="H1485" s="38"/>
      <c r="I1485" s="38"/>
      <c r="J1485" s="38"/>
      <c r="K1485" s="38"/>
    </row>
    <row r="1486" ht="14.4" spans="2:11">
      <c r="B1486" s="38"/>
      <c r="C1486" s="38"/>
      <c r="D1486" s="38"/>
      <c r="E1486" s="38"/>
      <c r="F1486" s="38"/>
      <c r="G1486" s="38"/>
      <c r="H1486" s="38"/>
      <c r="I1486" s="38"/>
      <c r="J1486" s="38"/>
      <c r="K1486" s="38"/>
    </row>
    <row r="1487" ht="14.4" spans="2:11">
      <c r="B1487" s="38"/>
      <c r="C1487" s="38"/>
      <c r="D1487" s="38"/>
      <c r="E1487" s="38"/>
      <c r="F1487" s="38"/>
      <c r="G1487" s="38"/>
      <c r="H1487" s="38"/>
      <c r="I1487" s="38"/>
      <c r="J1487" s="38"/>
      <c r="K1487" s="38"/>
    </row>
    <row r="1488" ht="14.4" spans="2:11">
      <c r="B1488" s="38"/>
      <c r="C1488" s="38"/>
      <c r="D1488" s="38"/>
      <c r="E1488" s="38"/>
      <c r="F1488" s="38"/>
      <c r="G1488" s="38"/>
      <c r="H1488" s="38"/>
      <c r="I1488" s="38"/>
      <c r="J1488" s="38"/>
      <c r="K1488" s="38"/>
    </row>
    <row r="1489" ht="14.4" spans="2:11">
      <c r="B1489" s="38"/>
      <c r="C1489" s="38"/>
      <c r="D1489" s="38"/>
      <c r="E1489" s="38"/>
      <c r="F1489" s="38"/>
      <c r="G1489" s="38"/>
      <c r="H1489" s="38"/>
      <c r="I1489" s="38"/>
      <c r="J1489" s="38"/>
      <c r="K1489" s="38"/>
    </row>
    <row r="1490" ht="14.4" spans="2:11">
      <c r="B1490" s="38"/>
      <c r="C1490" s="38"/>
      <c r="D1490" s="38"/>
      <c r="E1490" s="38"/>
      <c r="F1490" s="38"/>
      <c r="G1490" s="38"/>
      <c r="H1490" s="38"/>
      <c r="I1490" s="38"/>
      <c r="J1490" s="38"/>
      <c r="K1490" s="38"/>
    </row>
    <row r="1491" ht="14.4" spans="2:11">
      <c r="B1491" s="38"/>
      <c r="C1491" s="38"/>
      <c r="D1491" s="38"/>
      <c r="E1491" s="38"/>
      <c r="F1491" s="38"/>
      <c r="G1491" s="38"/>
      <c r="H1491" s="38"/>
      <c r="I1491" s="38"/>
      <c r="J1491" s="38"/>
      <c r="K1491" s="38"/>
    </row>
    <row r="1492" ht="14.4" spans="2:11">
      <c r="B1492" s="38"/>
      <c r="C1492" s="38"/>
      <c r="D1492" s="38"/>
      <c r="E1492" s="38"/>
      <c r="F1492" s="38"/>
      <c r="G1492" s="38"/>
      <c r="H1492" s="38"/>
      <c r="I1492" s="38"/>
      <c r="J1492" s="38"/>
      <c r="K1492" s="38"/>
    </row>
    <row r="1493" ht="14.4" spans="2:11">
      <c r="B1493" s="38"/>
      <c r="C1493" s="38"/>
      <c r="D1493" s="38"/>
      <c r="E1493" s="38"/>
      <c r="F1493" s="38"/>
      <c r="G1493" s="38"/>
      <c r="H1493" s="38"/>
      <c r="I1493" s="38"/>
      <c r="J1493" s="38"/>
      <c r="K1493" s="38"/>
    </row>
    <row r="1494" ht="14.4" spans="2:11">
      <c r="B1494" s="38"/>
      <c r="C1494" s="38"/>
      <c r="D1494" s="38"/>
      <c r="E1494" s="38"/>
      <c r="F1494" s="38"/>
      <c r="G1494" s="38"/>
      <c r="H1494" s="38"/>
      <c r="I1494" s="38"/>
      <c r="J1494" s="38"/>
      <c r="K1494" s="38"/>
    </row>
    <row r="1495" ht="14.4" spans="2:11">
      <c r="B1495" s="38"/>
      <c r="C1495" s="38"/>
      <c r="D1495" s="38"/>
      <c r="E1495" s="38"/>
      <c r="F1495" s="38"/>
      <c r="G1495" s="38"/>
      <c r="H1495" s="38"/>
      <c r="I1495" s="38"/>
      <c r="J1495" s="38"/>
      <c r="K1495" s="38"/>
    </row>
    <row r="1496" ht="14.4" spans="2:11">
      <c r="B1496" s="38"/>
      <c r="C1496" s="38"/>
      <c r="D1496" s="38"/>
      <c r="E1496" s="38"/>
      <c r="F1496" s="38"/>
      <c r="G1496" s="38"/>
      <c r="H1496" s="38"/>
      <c r="I1496" s="38"/>
      <c r="J1496" s="38"/>
      <c r="K1496" s="38"/>
    </row>
    <row r="1497" ht="14.4" spans="2:11">
      <c r="B1497" s="38"/>
      <c r="C1497" s="38"/>
      <c r="D1497" s="38"/>
      <c r="E1497" s="38"/>
      <c r="F1497" s="38"/>
      <c r="G1497" s="38"/>
      <c r="H1497" s="38"/>
      <c r="I1497" s="38"/>
      <c r="J1497" s="38"/>
      <c r="K1497" s="38"/>
    </row>
    <row r="1498" ht="14.4" spans="2:11">
      <c r="B1498" s="38"/>
      <c r="C1498" s="38"/>
      <c r="D1498" s="38"/>
      <c r="E1498" s="38"/>
      <c r="F1498" s="38"/>
      <c r="G1498" s="38"/>
      <c r="H1498" s="38"/>
      <c r="I1498" s="38"/>
      <c r="J1498" s="38"/>
      <c r="K1498" s="38"/>
    </row>
    <row r="1499" ht="14.4" spans="2:11">
      <c r="B1499" s="38"/>
      <c r="C1499" s="38"/>
      <c r="D1499" s="38"/>
      <c r="E1499" s="38"/>
      <c r="F1499" s="38"/>
      <c r="G1499" s="38"/>
      <c r="H1499" s="38"/>
      <c r="I1499" s="38"/>
      <c r="J1499" s="38"/>
      <c r="K1499" s="38"/>
    </row>
    <row r="1500" ht="14.4" spans="2:11">
      <c r="B1500" s="38"/>
      <c r="C1500" s="38"/>
      <c r="D1500" s="38"/>
      <c r="E1500" s="38"/>
      <c r="F1500" s="38"/>
      <c r="G1500" s="38"/>
      <c r="H1500" s="38"/>
      <c r="I1500" s="38"/>
      <c r="J1500" s="38"/>
      <c r="K1500" s="38"/>
    </row>
    <row r="1501" ht="14.4" spans="2:11">
      <c r="B1501" s="38"/>
      <c r="C1501" s="38"/>
      <c r="D1501" s="38"/>
      <c r="E1501" s="38"/>
      <c r="F1501" s="38"/>
      <c r="G1501" s="38"/>
      <c r="H1501" s="38"/>
      <c r="I1501" s="38"/>
      <c r="J1501" s="38"/>
      <c r="K1501" s="38"/>
    </row>
    <row r="1502" ht="14.4" spans="2:11">
      <c r="B1502" s="38"/>
      <c r="C1502" s="38"/>
      <c r="D1502" s="38"/>
      <c r="E1502" s="38"/>
      <c r="F1502" s="38"/>
      <c r="G1502" s="38"/>
      <c r="H1502" s="38"/>
      <c r="I1502" s="38"/>
      <c r="J1502" s="38"/>
      <c r="K1502" s="38"/>
    </row>
    <row r="1503" ht="14.4" spans="2:11">
      <c r="B1503" s="38"/>
      <c r="C1503" s="38"/>
      <c r="D1503" s="38"/>
      <c r="E1503" s="38"/>
      <c r="F1503" s="38"/>
      <c r="G1503" s="38"/>
      <c r="H1503" s="38"/>
      <c r="I1503" s="38"/>
      <c r="J1503" s="38"/>
      <c r="K1503" s="38"/>
    </row>
    <row r="1504" ht="14.4" spans="2:11">
      <c r="B1504" s="38"/>
      <c r="C1504" s="38"/>
      <c r="D1504" s="38"/>
      <c r="E1504" s="38"/>
      <c r="F1504" s="38"/>
      <c r="G1504" s="38"/>
      <c r="H1504" s="38"/>
      <c r="I1504" s="38"/>
      <c r="J1504" s="38"/>
      <c r="K1504" s="38"/>
    </row>
    <row r="1505" ht="14.4" spans="2:11">
      <c r="B1505" s="38"/>
      <c r="C1505" s="38"/>
      <c r="D1505" s="38"/>
      <c r="E1505" s="38"/>
      <c r="F1505" s="38"/>
      <c r="G1505" s="38"/>
      <c r="H1505" s="38"/>
      <c r="I1505" s="38"/>
      <c r="J1505" s="38"/>
      <c r="K1505" s="38"/>
    </row>
    <row r="1506" ht="14.4" spans="2:11">
      <c r="B1506" s="38"/>
      <c r="C1506" s="38"/>
      <c r="D1506" s="38"/>
      <c r="E1506" s="38"/>
      <c r="F1506" s="38"/>
      <c r="G1506" s="38"/>
      <c r="H1506" s="38"/>
      <c r="I1506" s="38"/>
      <c r="J1506" s="38"/>
      <c r="K1506" s="38"/>
    </row>
    <row r="1507" ht="14.4" spans="2:11"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</row>
    <row r="1508" ht="14.4" spans="2:11">
      <c r="B1508" s="38"/>
      <c r="C1508" s="38"/>
      <c r="D1508" s="38"/>
      <c r="E1508" s="38"/>
      <c r="F1508" s="38"/>
      <c r="G1508" s="38"/>
      <c r="H1508" s="38"/>
      <c r="I1508" s="38"/>
      <c r="J1508" s="38"/>
      <c r="K1508" s="38"/>
    </row>
    <row r="1509" ht="14.4" spans="2:11">
      <c r="B1509" s="38"/>
      <c r="C1509" s="38"/>
      <c r="D1509" s="38"/>
      <c r="E1509" s="38"/>
      <c r="F1509" s="38"/>
      <c r="G1509" s="38"/>
      <c r="H1509" s="38"/>
      <c r="I1509" s="38"/>
      <c r="J1509" s="38"/>
      <c r="K1509" s="38"/>
    </row>
    <row r="1510" ht="14.4" spans="2:11">
      <c r="B1510" s="38"/>
      <c r="C1510" s="38"/>
      <c r="D1510" s="38"/>
      <c r="E1510" s="38"/>
      <c r="F1510" s="38"/>
      <c r="G1510" s="38"/>
      <c r="H1510" s="38"/>
      <c r="I1510" s="38"/>
      <c r="J1510" s="38"/>
      <c r="K1510" s="38"/>
    </row>
    <row r="1511" ht="14.4" spans="2:11"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</row>
    <row r="1512" ht="14.4" spans="2:11">
      <c r="B1512" s="38"/>
      <c r="C1512" s="38"/>
      <c r="D1512" s="38"/>
      <c r="E1512" s="38"/>
      <c r="F1512" s="38"/>
      <c r="G1512" s="38"/>
      <c r="H1512" s="38"/>
      <c r="I1512" s="38"/>
      <c r="J1512" s="38"/>
      <c r="K1512" s="38"/>
    </row>
    <row r="1513" ht="14.4" spans="2:11">
      <c r="B1513" s="38"/>
      <c r="C1513" s="38"/>
      <c r="D1513" s="38"/>
      <c r="E1513" s="38"/>
      <c r="F1513" s="38"/>
      <c r="G1513" s="38"/>
      <c r="H1513" s="38"/>
      <c r="I1513" s="38"/>
      <c r="J1513" s="38"/>
      <c r="K1513" s="38"/>
    </row>
    <row r="1514" ht="14.4" spans="2:11">
      <c r="B1514" s="38"/>
      <c r="C1514" s="38"/>
      <c r="D1514" s="38"/>
      <c r="E1514" s="38"/>
      <c r="F1514" s="38"/>
      <c r="G1514" s="38"/>
      <c r="H1514" s="38"/>
      <c r="I1514" s="38"/>
      <c r="J1514" s="38"/>
      <c r="K1514" s="38"/>
    </row>
    <row r="1515" ht="14.4" spans="2:11">
      <c r="B1515" s="38"/>
      <c r="C1515" s="38"/>
      <c r="D1515" s="38"/>
      <c r="E1515" s="38"/>
      <c r="F1515" s="38"/>
      <c r="G1515" s="38"/>
      <c r="H1515" s="38"/>
      <c r="I1515" s="38"/>
      <c r="J1515" s="38"/>
      <c r="K1515" s="38"/>
    </row>
    <row r="1516" ht="14.4" spans="2:11">
      <c r="B1516" s="38"/>
      <c r="C1516" s="38"/>
      <c r="D1516" s="38"/>
      <c r="E1516" s="38"/>
      <c r="F1516" s="38"/>
      <c r="G1516" s="38"/>
      <c r="H1516" s="38"/>
      <c r="I1516" s="38"/>
      <c r="J1516" s="38"/>
      <c r="K1516" s="38"/>
    </row>
    <row r="1517" ht="14.4" spans="2:11">
      <c r="B1517" s="38"/>
      <c r="C1517" s="38"/>
      <c r="D1517" s="38"/>
      <c r="E1517" s="38"/>
      <c r="F1517" s="38"/>
      <c r="G1517" s="38"/>
      <c r="H1517" s="38"/>
      <c r="I1517" s="38"/>
      <c r="J1517" s="38"/>
      <c r="K1517" s="38"/>
    </row>
    <row r="1518" ht="14.4" spans="2:11">
      <c r="B1518" s="38"/>
      <c r="C1518" s="38"/>
      <c r="D1518" s="38"/>
      <c r="E1518" s="38"/>
      <c r="F1518" s="38"/>
      <c r="G1518" s="38"/>
      <c r="H1518" s="38"/>
      <c r="I1518" s="38"/>
      <c r="J1518" s="38"/>
      <c r="K1518" s="38"/>
    </row>
    <row r="1519" ht="14.4" spans="2:11">
      <c r="B1519" s="38"/>
      <c r="C1519" s="38"/>
      <c r="D1519" s="38"/>
      <c r="E1519" s="38"/>
      <c r="F1519" s="38"/>
      <c r="G1519" s="38"/>
      <c r="H1519" s="38"/>
      <c r="I1519" s="38"/>
      <c r="J1519" s="38"/>
      <c r="K1519" s="38"/>
    </row>
    <row r="1520" ht="14.4" spans="2:11">
      <c r="B1520" s="38"/>
      <c r="C1520" s="38"/>
      <c r="D1520" s="38"/>
      <c r="E1520" s="38"/>
      <c r="F1520" s="38"/>
      <c r="G1520" s="38"/>
      <c r="H1520" s="38"/>
      <c r="I1520" s="38"/>
      <c r="J1520" s="38"/>
      <c r="K1520" s="38"/>
    </row>
    <row r="1521" ht="14.4" spans="2:11">
      <c r="B1521" s="38"/>
      <c r="C1521" s="38"/>
      <c r="D1521" s="38"/>
      <c r="E1521" s="38"/>
      <c r="F1521" s="38"/>
      <c r="G1521" s="38"/>
      <c r="H1521" s="38"/>
      <c r="I1521" s="38"/>
      <c r="J1521" s="38"/>
      <c r="K1521" s="38"/>
    </row>
    <row r="1522" ht="14.4" spans="2:11">
      <c r="B1522" s="38"/>
      <c r="C1522" s="38"/>
      <c r="D1522" s="38"/>
      <c r="E1522" s="38"/>
      <c r="F1522" s="38"/>
      <c r="G1522" s="38"/>
      <c r="H1522" s="38"/>
      <c r="I1522" s="38"/>
      <c r="J1522" s="38"/>
      <c r="K1522" s="38"/>
    </row>
    <row r="1523" ht="14.4" spans="2:11">
      <c r="B1523" s="38"/>
      <c r="C1523" s="38"/>
      <c r="D1523" s="38"/>
      <c r="E1523" s="38"/>
      <c r="F1523" s="38"/>
      <c r="G1523" s="38"/>
      <c r="H1523" s="38"/>
      <c r="I1523" s="38"/>
      <c r="J1523" s="38"/>
      <c r="K1523" s="38"/>
    </row>
    <row r="1524" ht="14.4" spans="2:11">
      <c r="B1524" s="38"/>
      <c r="C1524" s="38"/>
      <c r="D1524" s="38"/>
      <c r="E1524" s="38"/>
      <c r="F1524" s="38"/>
      <c r="G1524" s="38"/>
      <c r="H1524" s="38"/>
      <c r="I1524" s="38"/>
      <c r="J1524" s="38"/>
      <c r="K1524" s="38"/>
    </row>
    <row r="1525" ht="14.4" spans="2:11"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</row>
    <row r="1526" ht="14.4" spans="2:11">
      <c r="B1526" s="38"/>
      <c r="C1526" s="38"/>
      <c r="D1526" s="38"/>
      <c r="E1526" s="38"/>
      <c r="F1526" s="38"/>
      <c r="G1526" s="38"/>
      <c r="H1526" s="38"/>
      <c r="I1526" s="38"/>
      <c r="J1526" s="38"/>
      <c r="K1526" s="38"/>
    </row>
    <row r="1527" ht="14.4" spans="2:11"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</row>
    <row r="1528" ht="14.4" spans="2:11">
      <c r="B1528" s="38"/>
      <c r="C1528" s="38"/>
      <c r="D1528" s="38"/>
      <c r="E1528" s="38"/>
      <c r="F1528" s="38"/>
      <c r="G1528" s="38"/>
      <c r="H1528" s="38"/>
      <c r="I1528" s="38"/>
      <c r="J1528" s="38"/>
      <c r="K1528" s="38"/>
    </row>
    <row r="1529" ht="14.4" spans="2:11">
      <c r="B1529" s="38"/>
      <c r="C1529" s="38"/>
      <c r="D1529" s="38"/>
      <c r="E1529" s="38"/>
      <c r="F1529" s="38"/>
      <c r="G1529" s="38"/>
      <c r="H1529" s="38"/>
      <c r="I1529" s="38"/>
      <c r="J1529" s="38"/>
      <c r="K1529" s="38"/>
    </row>
    <row r="1530" ht="14.4" spans="2:11">
      <c r="B1530" s="38"/>
      <c r="C1530" s="38"/>
      <c r="D1530" s="38"/>
      <c r="E1530" s="38"/>
      <c r="F1530" s="38"/>
      <c r="G1530" s="38"/>
      <c r="H1530" s="38"/>
      <c r="I1530" s="38"/>
      <c r="J1530" s="38"/>
      <c r="K1530" s="38"/>
    </row>
    <row r="1531" ht="14.4" spans="2:11">
      <c r="B1531" s="38"/>
      <c r="C1531" s="38"/>
      <c r="D1531" s="38"/>
      <c r="E1531" s="38"/>
      <c r="F1531" s="38"/>
      <c r="G1531" s="38"/>
      <c r="H1531" s="38"/>
      <c r="I1531" s="38"/>
      <c r="J1531" s="38"/>
      <c r="K1531" s="38"/>
    </row>
    <row r="1532" ht="14.4" spans="2:11">
      <c r="B1532" s="38"/>
      <c r="C1532" s="38"/>
      <c r="D1532" s="38"/>
      <c r="E1532" s="38"/>
      <c r="F1532" s="38"/>
      <c r="G1532" s="38"/>
      <c r="H1532" s="38"/>
      <c r="I1532" s="38"/>
      <c r="J1532" s="38"/>
      <c r="K1532" s="38"/>
    </row>
    <row r="1533" ht="14.4" spans="2:11">
      <c r="B1533" s="38"/>
      <c r="C1533" s="38"/>
      <c r="D1533" s="38"/>
      <c r="E1533" s="38"/>
      <c r="F1533" s="38"/>
      <c r="G1533" s="38"/>
      <c r="H1533" s="38"/>
      <c r="I1533" s="38"/>
      <c r="J1533" s="38"/>
      <c r="K1533" s="38"/>
    </row>
    <row r="1534" ht="14.4" spans="2:11">
      <c r="B1534" s="38"/>
      <c r="C1534" s="38"/>
      <c r="D1534" s="38"/>
      <c r="E1534" s="38"/>
      <c r="F1534" s="38"/>
      <c r="G1534" s="38"/>
      <c r="H1534" s="38"/>
      <c r="I1534" s="38"/>
      <c r="J1534" s="38"/>
      <c r="K1534" s="38"/>
    </row>
    <row r="1535" ht="14.4" spans="2:11">
      <c r="B1535" s="38"/>
      <c r="C1535" s="38"/>
      <c r="D1535" s="38"/>
      <c r="E1535" s="38"/>
      <c r="F1535" s="38"/>
      <c r="G1535" s="38"/>
      <c r="H1535" s="38"/>
      <c r="I1535" s="38"/>
      <c r="J1535" s="38"/>
      <c r="K1535" s="38"/>
    </row>
    <row r="1536" ht="14.4" spans="2:11">
      <c r="B1536" s="38"/>
      <c r="C1536" s="38"/>
      <c r="D1536" s="38"/>
      <c r="E1536" s="38"/>
      <c r="F1536" s="38"/>
      <c r="G1536" s="38"/>
      <c r="H1536" s="38"/>
      <c r="I1536" s="38"/>
      <c r="J1536" s="38"/>
      <c r="K1536" s="38"/>
    </row>
    <row r="1537" ht="14.4" spans="2:11">
      <c r="B1537" s="38"/>
      <c r="C1537" s="38"/>
      <c r="D1537" s="38"/>
      <c r="E1537" s="38"/>
      <c r="F1537" s="38"/>
      <c r="G1537" s="38"/>
      <c r="H1537" s="38"/>
      <c r="I1537" s="38"/>
      <c r="J1537" s="38"/>
      <c r="K1537" s="38"/>
    </row>
    <row r="1538" ht="14.4" spans="2:11">
      <c r="B1538" s="38"/>
      <c r="C1538" s="38"/>
      <c r="D1538" s="38"/>
      <c r="E1538" s="38"/>
      <c r="F1538" s="38"/>
      <c r="G1538" s="38"/>
      <c r="H1538" s="38"/>
      <c r="I1538" s="38"/>
      <c r="J1538" s="38"/>
      <c r="K1538" s="38"/>
    </row>
    <row r="1539" ht="14.4" spans="2:11">
      <c r="B1539" s="38"/>
      <c r="C1539" s="38"/>
      <c r="D1539" s="38"/>
      <c r="E1539" s="38"/>
      <c r="F1539" s="38"/>
      <c r="G1539" s="38"/>
      <c r="H1539" s="38"/>
      <c r="I1539" s="38"/>
      <c r="J1539" s="38"/>
      <c r="K1539" s="38"/>
    </row>
    <row r="1540" ht="14.4" spans="2:11">
      <c r="B1540" s="38"/>
      <c r="C1540" s="38"/>
      <c r="D1540" s="38"/>
      <c r="E1540" s="38"/>
      <c r="F1540" s="38"/>
      <c r="G1540" s="38"/>
      <c r="H1540" s="38"/>
      <c r="I1540" s="38"/>
      <c r="J1540" s="38"/>
      <c r="K1540" s="38"/>
    </row>
    <row r="1541" ht="14.4" spans="2:11">
      <c r="B1541" s="38"/>
      <c r="C1541" s="38"/>
      <c r="D1541" s="38"/>
      <c r="E1541" s="38"/>
      <c r="F1541" s="38"/>
      <c r="G1541" s="38"/>
      <c r="H1541" s="38"/>
      <c r="I1541" s="38"/>
      <c r="J1541" s="38"/>
      <c r="K1541" s="38"/>
    </row>
    <row r="1542" ht="14.4" spans="2:11">
      <c r="B1542" s="38"/>
      <c r="C1542" s="38"/>
      <c r="D1542" s="38"/>
      <c r="E1542" s="38"/>
      <c r="F1542" s="38"/>
      <c r="G1542" s="38"/>
      <c r="H1542" s="38"/>
      <c r="I1542" s="38"/>
      <c r="J1542" s="38"/>
      <c r="K1542" s="38"/>
    </row>
    <row r="1543" ht="14.4" spans="2:11">
      <c r="B1543" s="38"/>
      <c r="C1543" s="38"/>
      <c r="D1543" s="38"/>
      <c r="E1543" s="38"/>
      <c r="F1543" s="38"/>
      <c r="G1543" s="38"/>
      <c r="H1543" s="38"/>
      <c r="I1543" s="38"/>
      <c r="J1543" s="38"/>
      <c r="K1543" s="38"/>
    </row>
    <row r="1544" ht="14.4" spans="2:11">
      <c r="B1544" s="38"/>
      <c r="C1544" s="38"/>
      <c r="D1544" s="38"/>
      <c r="E1544" s="38"/>
      <c r="F1544" s="38"/>
      <c r="G1544" s="38"/>
      <c r="H1544" s="38"/>
      <c r="I1544" s="38"/>
      <c r="J1544" s="38"/>
      <c r="K1544" s="38"/>
    </row>
    <row r="1545" ht="14.4" spans="2:11">
      <c r="B1545" s="38"/>
      <c r="C1545" s="38"/>
      <c r="D1545" s="38"/>
      <c r="E1545" s="38"/>
      <c r="F1545" s="38"/>
      <c r="G1545" s="38"/>
      <c r="H1545" s="38"/>
      <c r="I1545" s="38"/>
      <c r="J1545" s="38"/>
      <c r="K1545" s="38"/>
    </row>
    <row r="1546" ht="14.4" spans="2:11">
      <c r="B1546" s="38"/>
      <c r="C1546" s="38"/>
      <c r="D1546" s="38"/>
      <c r="E1546" s="38"/>
      <c r="F1546" s="38"/>
      <c r="G1546" s="38"/>
      <c r="H1546" s="38"/>
      <c r="I1546" s="38"/>
      <c r="J1546" s="38"/>
      <c r="K1546" s="38"/>
    </row>
    <row r="1547" ht="14.4" spans="2:11">
      <c r="B1547" s="38"/>
      <c r="C1547" s="38"/>
      <c r="D1547" s="38"/>
      <c r="E1547" s="38"/>
      <c r="F1547" s="38"/>
      <c r="G1547" s="38"/>
      <c r="H1547" s="38"/>
      <c r="I1547" s="38"/>
      <c r="J1547" s="38"/>
      <c r="K1547" s="38"/>
    </row>
    <row r="1548" ht="14.4" spans="2:11">
      <c r="B1548" s="38"/>
      <c r="C1548" s="38"/>
      <c r="D1548" s="38"/>
      <c r="E1548" s="38"/>
      <c r="F1548" s="38"/>
      <c r="G1548" s="38"/>
      <c r="H1548" s="38"/>
      <c r="I1548" s="38"/>
      <c r="J1548" s="38"/>
      <c r="K1548" s="38"/>
    </row>
    <row r="1549" ht="14.4" spans="2:11">
      <c r="B1549" s="38"/>
      <c r="C1549" s="38"/>
      <c r="D1549" s="38"/>
      <c r="E1549" s="38"/>
      <c r="F1549" s="38"/>
      <c r="G1549" s="38"/>
      <c r="H1549" s="38"/>
      <c r="I1549" s="38"/>
      <c r="J1549" s="38"/>
      <c r="K1549" s="38"/>
    </row>
    <row r="1550" ht="14.4" spans="2:11">
      <c r="B1550" s="38"/>
      <c r="C1550" s="38"/>
      <c r="D1550" s="38"/>
      <c r="E1550" s="38"/>
      <c r="F1550" s="38"/>
      <c r="G1550" s="38"/>
      <c r="H1550" s="38"/>
      <c r="I1550" s="38"/>
      <c r="J1550" s="38"/>
      <c r="K1550" s="38"/>
    </row>
    <row r="1551" ht="14.4" spans="2:11">
      <c r="B1551" s="38"/>
      <c r="C1551" s="38"/>
      <c r="D1551" s="38"/>
      <c r="E1551" s="38"/>
      <c r="F1551" s="38"/>
      <c r="G1551" s="38"/>
      <c r="H1551" s="38"/>
      <c r="I1551" s="38"/>
      <c r="J1551" s="38"/>
      <c r="K1551" s="38"/>
    </row>
    <row r="1552" ht="14.4" spans="2:11">
      <c r="B1552" s="38"/>
      <c r="C1552" s="38"/>
      <c r="D1552" s="38"/>
      <c r="E1552" s="38"/>
      <c r="F1552" s="38"/>
      <c r="G1552" s="38"/>
      <c r="H1552" s="38"/>
      <c r="I1552" s="38"/>
      <c r="J1552" s="38"/>
      <c r="K1552" s="38"/>
    </row>
    <row r="1553" ht="14.4" spans="2:11">
      <c r="B1553" s="38"/>
      <c r="C1553" s="38"/>
      <c r="D1553" s="38"/>
      <c r="E1553" s="38"/>
      <c r="F1553" s="38"/>
      <c r="G1553" s="38"/>
      <c r="H1553" s="38"/>
      <c r="I1553" s="38"/>
      <c r="J1553" s="38"/>
      <c r="K1553" s="38"/>
    </row>
    <row r="1554" ht="14.4" spans="2:11">
      <c r="B1554" s="38"/>
      <c r="C1554" s="38"/>
      <c r="D1554" s="38"/>
      <c r="E1554" s="38"/>
      <c r="F1554" s="38"/>
      <c r="G1554" s="38"/>
      <c r="H1554" s="38"/>
      <c r="I1554" s="38"/>
      <c r="J1554" s="38"/>
      <c r="K1554" s="38"/>
    </row>
    <row r="1555" ht="14.4" spans="2:11">
      <c r="B1555" s="38"/>
      <c r="C1555" s="38"/>
      <c r="D1555" s="38"/>
      <c r="E1555" s="38"/>
      <c r="F1555" s="38"/>
      <c r="G1555" s="38"/>
      <c r="H1555" s="38"/>
      <c r="I1555" s="38"/>
      <c r="J1555" s="38"/>
      <c r="K1555" s="38"/>
    </row>
    <row r="1556" ht="14.4" spans="2:11">
      <c r="B1556" s="38"/>
      <c r="C1556" s="38"/>
      <c r="D1556" s="38"/>
      <c r="E1556" s="38"/>
      <c r="F1556" s="38"/>
      <c r="G1556" s="38"/>
      <c r="H1556" s="38"/>
      <c r="I1556" s="38"/>
      <c r="J1556" s="38"/>
      <c r="K1556" s="38"/>
    </row>
    <row r="1557" ht="14.4" spans="2:11">
      <c r="B1557" s="38"/>
      <c r="C1557" s="38"/>
      <c r="D1557" s="38"/>
      <c r="E1557" s="38"/>
      <c r="F1557" s="38"/>
      <c r="G1557" s="38"/>
      <c r="H1557" s="38"/>
      <c r="I1557" s="38"/>
      <c r="J1557" s="38"/>
      <c r="K1557" s="38"/>
    </row>
    <row r="1558" ht="14.4" spans="2:11">
      <c r="B1558" s="38"/>
      <c r="C1558" s="38"/>
      <c r="D1558" s="38"/>
      <c r="E1558" s="38"/>
      <c r="F1558" s="38"/>
      <c r="G1558" s="38"/>
      <c r="H1558" s="38"/>
      <c r="I1558" s="38"/>
      <c r="J1558" s="38"/>
      <c r="K1558" s="38"/>
    </row>
    <row r="1559" ht="14.4" spans="2:11">
      <c r="B1559" s="38"/>
      <c r="C1559" s="38"/>
      <c r="D1559" s="38"/>
      <c r="E1559" s="38"/>
      <c r="F1559" s="38"/>
      <c r="G1559" s="38"/>
      <c r="H1559" s="38"/>
      <c r="I1559" s="38"/>
      <c r="J1559" s="38"/>
      <c r="K1559" s="38"/>
    </row>
    <row r="1560" ht="14.4" spans="2:11">
      <c r="B1560" s="38"/>
      <c r="C1560" s="38"/>
      <c r="D1560" s="38"/>
      <c r="E1560" s="38"/>
      <c r="F1560" s="38"/>
      <c r="G1560" s="38"/>
      <c r="H1560" s="38"/>
      <c r="I1560" s="38"/>
      <c r="J1560" s="38"/>
      <c r="K1560" s="38"/>
    </row>
    <row r="1561" ht="14.4" spans="2:11">
      <c r="B1561" s="38"/>
      <c r="C1561" s="38"/>
      <c r="D1561" s="38"/>
      <c r="E1561" s="38"/>
      <c r="F1561" s="38"/>
      <c r="G1561" s="38"/>
      <c r="H1561" s="38"/>
      <c r="I1561" s="38"/>
      <c r="J1561" s="38"/>
      <c r="K1561" s="38"/>
    </row>
    <row r="1562" ht="14.4" spans="2:11">
      <c r="B1562" s="38"/>
      <c r="C1562" s="38"/>
      <c r="D1562" s="38"/>
      <c r="E1562" s="38"/>
      <c r="F1562" s="38"/>
      <c r="G1562" s="38"/>
      <c r="H1562" s="38"/>
      <c r="I1562" s="38"/>
      <c r="J1562" s="38"/>
      <c r="K1562" s="38"/>
    </row>
    <row r="1563" ht="14.4" spans="2:11">
      <c r="B1563" s="38"/>
      <c r="C1563" s="38"/>
      <c r="D1563" s="38"/>
      <c r="E1563" s="38"/>
      <c r="F1563" s="38"/>
      <c r="G1563" s="38"/>
      <c r="H1563" s="38"/>
      <c r="I1563" s="38"/>
      <c r="J1563" s="38"/>
      <c r="K1563" s="38"/>
    </row>
    <row r="1564" ht="14.4" spans="2:11">
      <c r="B1564" s="38"/>
      <c r="C1564" s="38"/>
      <c r="D1564" s="38"/>
      <c r="E1564" s="38"/>
      <c r="F1564" s="38"/>
      <c r="G1564" s="38"/>
      <c r="H1564" s="38"/>
      <c r="I1564" s="38"/>
      <c r="J1564" s="38"/>
      <c r="K1564" s="38"/>
    </row>
    <row r="1565" ht="14.4" spans="2:11"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</row>
    <row r="1566" ht="14.4" spans="2:11">
      <c r="B1566" s="38"/>
      <c r="C1566" s="38"/>
      <c r="D1566" s="38"/>
      <c r="E1566" s="38"/>
      <c r="F1566" s="38"/>
      <c r="G1566" s="38"/>
      <c r="H1566" s="38"/>
      <c r="I1566" s="38"/>
      <c r="J1566" s="38"/>
      <c r="K1566" s="38"/>
    </row>
    <row r="1567" ht="14.4" spans="2:11">
      <c r="B1567" s="38"/>
      <c r="C1567" s="38"/>
      <c r="D1567" s="38"/>
      <c r="E1567" s="38"/>
      <c r="F1567" s="38"/>
      <c r="G1567" s="38"/>
      <c r="H1567" s="38"/>
      <c r="I1567" s="38"/>
      <c r="J1567" s="38"/>
      <c r="K1567" s="38"/>
    </row>
    <row r="1568" ht="14.4" spans="2:11">
      <c r="B1568" s="38"/>
      <c r="C1568" s="38"/>
      <c r="D1568" s="38"/>
      <c r="E1568" s="38"/>
      <c r="F1568" s="38"/>
      <c r="G1568" s="38"/>
      <c r="H1568" s="38"/>
      <c r="I1568" s="38"/>
      <c r="J1568" s="38"/>
      <c r="K1568" s="38"/>
    </row>
    <row r="1569" ht="14.4" spans="2:11">
      <c r="B1569" s="38"/>
      <c r="C1569" s="38"/>
      <c r="D1569" s="38"/>
      <c r="E1569" s="38"/>
      <c r="F1569" s="38"/>
      <c r="G1569" s="38"/>
      <c r="H1569" s="38"/>
      <c r="I1569" s="38"/>
      <c r="J1569" s="38"/>
      <c r="K1569" s="38"/>
    </row>
    <row r="1570" ht="14.4" spans="2:11">
      <c r="B1570" s="38"/>
      <c r="C1570" s="38"/>
      <c r="D1570" s="38"/>
      <c r="E1570" s="38"/>
      <c r="F1570" s="38"/>
      <c r="G1570" s="38"/>
      <c r="H1570" s="38"/>
      <c r="I1570" s="38"/>
      <c r="J1570" s="38"/>
      <c r="K1570" s="38"/>
    </row>
    <row r="1571" ht="14.4" spans="2:11">
      <c r="B1571" s="38"/>
      <c r="C1571" s="38"/>
      <c r="D1571" s="38"/>
      <c r="E1571" s="38"/>
      <c r="F1571" s="38"/>
      <c r="G1571" s="38"/>
      <c r="H1571" s="38"/>
      <c r="I1571" s="38"/>
      <c r="J1571" s="38"/>
      <c r="K1571" s="38"/>
    </row>
    <row r="1572" ht="14.4" spans="2:11">
      <c r="B1572" s="38"/>
      <c r="C1572" s="38"/>
      <c r="D1572" s="38"/>
      <c r="E1572" s="38"/>
      <c r="F1572" s="38"/>
      <c r="G1572" s="38"/>
      <c r="H1572" s="38"/>
      <c r="I1572" s="38"/>
      <c r="J1572" s="38"/>
      <c r="K1572" s="38"/>
    </row>
    <row r="1573" ht="14.4" spans="2:11">
      <c r="B1573" s="38"/>
      <c r="C1573" s="38"/>
      <c r="D1573" s="38"/>
      <c r="E1573" s="38"/>
      <c r="F1573" s="38"/>
      <c r="G1573" s="38"/>
      <c r="H1573" s="38"/>
      <c r="I1573" s="38"/>
      <c r="J1573" s="38"/>
      <c r="K1573" s="38"/>
    </row>
    <row r="1574" ht="14.4" spans="2:11">
      <c r="B1574" s="38"/>
      <c r="C1574" s="38"/>
      <c r="D1574" s="38"/>
      <c r="E1574" s="38"/>
      <c r="F1574" s="38"/>
      <c r="G1574" s="38"/>
      <c r="H1574" s="38"/>
      <c r="I1574" s="38"/>
      <c r="J1574" s="38"/>
      <c r="K1574" s="38"/>
    </row>
    <row r="1575" ht="14.4" spans="2:11">
      <c r="B1575" s="38"/>
      <c r="C1575" s="38"/>
      <c r="D1575" s="38"/>
      <c r="E1575" s="38"/>
      <c r="F1575" s="38"/>
      <c r="G1575" s="38"/>
      <c r="H1575" s="38"/>
      <c r="I1575" s="38"/>
      <c r="J1575" s="38"/>
      <c r="K1575" s="38"/>
    </row>
    <row r="1576" ht="14.4" spans="2:11">
      <c r="B1576" s="38"/>
      <c r="C1576" s="38"/>
      <c r="D1576" s="38"/>
      <c r="E1576" s="38"/>
      <c r="F1576" s="38"/>
      <c r="G1576" s="38"/>
      <c r="H1576" s="38"/>
      <c r="I1576" s="38"/>
      <c r="J1576" s="38"/>
      <c r="K1576" s="38"/>
    </row>
    <row r="1577" ht="14.4" spans="2:11">
      <c r="B1577" s="38"/>
      <c r="C1577" s="38"/>
      <c r="D1577" s="38"/>
      <c r="E1577" s="38"/>
      <c r="F1577" s="38"/>
      <c r="G1577" s="38"/>
      <c r="H1577" s="38"/>
      <c r="I1577" s="38"/>
      <c r="J1577" s="38"/>
      <c r="K1577" s="38"/>
    </row>
    <row r="1578" ht="14.4" spans="2:11">
      <c r="B1578" s="38"/>
      <c r="C1578" s="38"/>
      <c r="D1578" s="38"/>
      <c r="E1578" s="38"/>
      <c r="F1578" s="38"/>
      <c r="G1578" s="38"/>
      <c r="H1578" s="38"/>
      <c r="I1578" s="38"/>
      <c r="J1578" s="38"/>
      <c r="K1578" s="38"/>
    </row>
    <row r="1579" ht="14.4" spans="2:11">
      <c r="B1579" s="38"/>
      <c r="C1579" s="38"/>
      <c r="D1579" s="38"/>
      <c r="E1579" s="38"/>
      <c r="F1579" s="38"/>
      <c r="G1579" s="38"/>
      <c r="H1579" s="38"/>
      <c r="I1579" s="38"/>
      <c r="J1579" s="38"/>
      <c r="K1579" s="38"/>
    </row>
    <row r="1580" ht="14.4" spans="2:11">
      <c r="B1580" s="38"/>
      <c r="C1580" s="38"/>
      <c r="D1580" s="38"/>
      <c r="E1580" s="38"/>
      <c r="F1580" s="38"/>
      <c r="G1580" s="38"/>
      <c r="H1580" s="38"/>
      <c r="I1580" s="38"/>
      <c r="J1580" s="38"/>
      <c r="K1580" s="38"/>
    </row>
    <row r="1581" ht="14.4" spans="2:11">
      <c r="B1581" s="38"/>
      <c r="C1581" s="38"/>
      <c r="D1581" s="38"/>
      <c r="E1581" s="38"/>
      <c r="F1581" s="38"/>
      <c r="G1581" s="38"/>
      <c r="H1581" s="38"/>
      <c r="I1581" s="38"/>
      <c r="J1581" s="38"/>
      <c r="K1581" s="38"/>
    </row>
    <row r="1582" ht="14.4" spans="2:11">
      <c r="B1582" s="38"/>
      <c r="C1582" s="38"/>
      <c r="D1582" s="38"/>
      <c r="E1582" s="38"/>
      <c r="F1582" s="38"/>
      <c r="G1582" s="38"/>
      <c r="H1582" s="38"/>
      <c r="I1582" s="38"/>
      <c r="J1582" s="38"/>
      <c r="K1582" s="38"/>
    </row>
    <row r="1583" ht="14.4" spans="2:11">
      <c r="B1583" s="38"/>
      <c r="C1583" s="38"/>
      <c r="D1583" s="38"/>
      <c r="E1583" s="38"/>
      <c r="F1583" s="38"/>
      <c r="G1583" s="38"/>
      <c r="H1583" s="38"/>
      <c r="I1583" s="38"/>
      <c r="J1583" s="38"/>
      <c r="K1583" s="38"/>
    </row>
    <row r="1584" ht="14.4" spans="2:11">
      <c r="B1584" s="38"/>
      <c r="C1584" s="38"/>
      <c r="D1584" s="38"/>
      <c r="E1584" s="38"/>
      <c r="F1584" s="38"/>
      <c r="G1584" s="38"/>
      <c r="H1584" s="38"/>
      <c r="I1584" s="38"/>
      <c r="J1584" s="38"/>
      <c r="K1584" s="38"/>
    </row>
    <row r="1585" ht="14.4" spans="2:11">
      <c r="B1585" s="38"/>
      <c r="C1585" s="38"/>
      <c r="D1585" s="38"/>
      <c r="E1585" s="38"/>
      <c r="F1585" s="38"/>
      <c r="G1585" s="38"/>
      <c r="H1585" s="38"/>
      <c r="I1585" s="38"/>
      <c r="J1585" s="38"/>
      <c r="K1585" s="38"/>
    </row>
    <row r="1586" ht="14.4" spans="2:11">
      <c r="B1586" s="38"/>
      <c r="C1586" s="38"/>
      <c r="D1586" s="38"/>
      <c r="E1586" s="38"/>
      <c r="F1586" s="38"/>
      <c r="G1586" s="38"/>
      <c r="H1586" s="38"/>
      <c r="I1586" s="38"/>
      <c r="J1586" s="38"/>
      <c r="K1586" s="38"/>
    </row>
    <row r="1587" ht="14.4" spans="2:11">
      <c r="B1587" s="38"/>
      <c r="C1587" s="38"/>
      <c r="D1587" s="38"/>
      <c r="E1587" s="38"/>
      <c r="F1587" s="38"/>
      <c r="G1587" s="38"/>
      <c r="H1587" s="38"/>
      <c r="I1587" s="38"/>
      <c r="J1587" s="38"/>
      <c r="K1587" s="38"/>
    </row>
    <row r="1588" ht="14.4" spans="2:11">
      <c r="B1588" s="38"/>
      <c r="C1588" s="38"/>
      <c r="D1588" s="38"/>
      <c r="E1588" s="38"/>
      <c r="F1588" s="38"/>
      <c r="G1588" s="38"/>
      <c r="H1588" s="38"/>
      <c r="I1588" s="38"/>
      <c r="J1588" s="38"/>
      <c r="K1588" s="38"/>
    </row>
    <row r="1589" ht="14.4" spans="2:11">
      <c r="B1589" s="38"/>
      <c r="C1589" s="38"/>
      <c r="D1589" s="38"/>
      <c r="E1589" s="38"/>
      <c r="F1589" s="38"/>
      <c r="G1589" s="38"/>
      <c r="H1589" s="38"/>
      <c r="I1589" s="38"/>
      <c r="J1589" s="38"/>
      <c r="K1589" s="3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062"/>
  <sheetViews>
    <sheetView showGridLines="0" workbookViewId="0">
      <pane ySplit="1" topLeftCell="A2" activePane="bottomLeft" state="frozen"/>
      <selection/>
      <selection pane="bottomLeft" activeCell="B3" sqref="B3"/>
    </sheetView>
  </sheetViews>
  <sheetFormatPr defaultColWidth="14.4259259259259" defaultRowHeight="15" customHeight="1"/>
  <cols>
    <col min="1" max="1" width="89.5740740740741" customWidth="1"/>
    <col min="15" max="15" width="38.8611111111111" customWidth="1"/>
    <col min="16" max="16" width="24" customWidth="1"/>
    <col min="17" max="17" width="27.712962962963" customWidth="1"/>
    <col min="19" max="19" width="17.5740740740741" customWidth="1"/>
    <col min="20" max="20" width="30.4259259259259" customWidth="1"/>
    <col min="21" max="21" width="34.1388888888889" customWidth="1"/>
  </cols>
  <sheetData>
    <row r="1" ht="22.5" customHeight="1" spans="1:21">
      <c r="A1" s="1" t="s">
        <v>0</v>
      </c>
      <c r="B1" s="1" t="s">
        <v>1590</v>
      </c>
      <c r="C1" s="5" t="s">
        <v>1591</v>
      </c>
      <c r="O1" s="14" t="s">
        <v>9</v>
      </c>
      <c r="P1" s="14" t="s">
        <v>1592</v>
      </c>
      <c r="Q1" s="14" t="s">
        <v>1593</v>
      </c>
      <c r="S1" s="14" t="s">
        <v>9</v>
      </c>
      <c r="T1" s="14" t="s">
        <v>1594</v>
      </c>
      <c r="U1" s="14" t="s">
        <v>1595</v>
      </c>
    </row>
    <row r="2" ht="22.5" customHeight="1" spans="1:21">
      <c r="A2" s="1" t="s">
        <v>1306</v>
      </c>
      <c r="B2" s="1">
        <v>62</v>
      </c>
      <c r="C2" s="20">
        <v>3.4890965451585e-6</v>
      </c>
      <c r="O2" s="16" t="s">
        <v>26</v>
      </c>
      <c r="P2" s="16">
        <v>193</v>
      </c>
      <c r="Q2" s="19">
        <v>0.181220657276995</v>
      </c>
      <c r="S2" s="16" t="s">
        <v>26</v>
      </c>
      <c r="T2" s="16">
        <v>6799546</v>
      </c>
      <c r="U2" s="19">
        <v>0.362689070968588</v>
      </c>
    </row>
    <row r="3" ht="22.5" customHeight="1" spans="1:21">
      <c r="A3" s="1" t="s">
        <v>894</v>
      </c>
      <c r="B3" s="1">
        <v>622</v>
      </c>
      <c r="C3" s="20">
        <v>3.50035169530418e-5</v>
      </c>
      <c r="O3" s="16" t="s">
        <v>63</v>
      </c>
      <c r="P3" s="16">
        <v>170</v>
      </c>
      <c r="Q3" s="19">
        <v>0.15962441314554</v>
      </c>
      <c r="S3" s="16" t="s">
        <v>19</v>
      </c>
      <c r="T3" s="16">
        <v>3279556</v>
      </c>
      <c r="U3" s="19">
        <v>0.17493213794413</v>
      </c>
    </row>
    <row r="4" ht="22.5" customHeight="1" spans="1:21">
      <c r="A4" s="1" t="s">
        <v>1020</v>
      </c>
      <c r="B4" s="1">
        <v>348</v>
      </c>
      <c r="C4" s="20">
        <v>1.95839612534703e-5</v>
      </c>
      <c r="O4" s="16" t="s">
        <v>54</v>
      </c>
      <c r="P4" s="16">
        <v>132</v>
      </c>
      <c r="Q4" s="19">
        <v>0.123943661971831</v>
      </c>
      <c r="S4" s="16" t="s">
        <v>30</v>
      </c>
      <c r="T4" s="16">
        <v>2545725</v>
      </c>
      <c r="U4" s="19">
        <v>0.135789453471086</v>
      </c>
    </row>
    <row r="5" ht="22.5" customHeight="1" spans="1:21">
      <c r="A5" s="1" t="s">
        <v>1284</v>
      </c>
      <c r="B5" s="1">
        <v>72</v>
      </c>
      <c r="C5" s="20">
        <v>4.05185405244213e-6</v>
      </c>
      <c r="O5" s="16" t="s">
        <v>30</v>
      </c>
      <c r="P5" s="16">
        <v>108</v>
      </c>
      <c r="Q5" s="19">
        <v>0.101408450704225</v>
      </c>
      <c r="S5" s="16" t="s">
        <v>54</v>
      </c>
      <c r="T5" s="16">
        <v>1488024</v>
      </c>
      <c r="U5" s="19">
        <v>0.0793714818811378</v>
      </c>
    </row>
    <row r="6" ht="22.5" customHeight="1" spans="1:21">
      <c r="A6" s="1" t="s">
        <v>383</v>
      </c>
      <c r="B6" s="1">
        <v>6336</v>
      </c>
      <c r="C6" s="20">
        <v>0.000356563156614908</v>
      </c>
      <c r="O6" s="16" t="s">
        <v>58</v>
      </c>
      <c r="P6" s="16">
        <v>77</v>
      </c>
      <c r="Q6" s="19">
        <v>0.0723004694835681</v>
      </c>
      <c r="S6" s="16" t="s">
        <v>63</v>
      </c>
      <c r="T6" s="16">
        <v>1255737</v>
      </c>
      <c r="U6" s="19">
        <v>0.0669812493232464</v>
      </c>
    </row>
    <row r="7" ht="22.5" customHeight="1" spans="1:21">
      <c r="A7" s="1" t="s">
        <v>1197</v>
      </c>
      <c r="B7" s="1">
        <v>134</v>
      </c>
      <c r="C7" s="20">
        <v>7.54095059760064e-6</v>
      </c>
      <c r="O7" s="16" t="s">
        <v>19</v>
      </c>
      <c r="P7" s="16">
        <v>69</v>
      </c>
      <c r="Q7" s="19">
        <v>0.0647887323943662</v>
      </c>
      <c r="S7" s="16" t="s">
        <v>38</v>
      </c>
      <c r="T7" s="16">
        <v>1235541</v>
      </c>
      <c r="U7" s="19">
        <v>0.0659039908596252</v>
      </c>
    </row>
    <row r="8" ht="22.5" customHeight="1" spans="1:21">
      <c r="A8" s="1" t="s">
        <v>1382</v>
      </c>
      <c r="B8" s="1">
        <v>26</v>
      </c>
      <c r="C8" s="20">
        <v>1.46316951893744e-6</v>
      </c>
      <c r="O8" s="16" t="s">
        <v>126</v>
      </c>
      <c r="P8" s="16">
        <v>65</v>
      </c>
      <c r="Q8" s="19">
        <v>0.0610328638497653</v>
      </c>
      <c r="S8" s="16" t="s">
        <v>58</v>
      </c>
      <c r="T8" s="16">
        <v>643923</v>
      </c>
      <c r="U8" s="19">
        <v>0.0343469747311521</v>
      </c>
    </row>
    <row r="9" ht="22.5" customHeight="1" spans="1:21">
      <c r="A9" s="1" t="s">
        <v>700</v>
      </c>
      <c r="B9" s="1">
        <v>1191</v>
      </c>
      <c r="C9" s="20">
        <v>6.70244191174803e-5</v>
      </c>
      <c r="O9" s="16" t="s">
        <v>132</v>
      </c>
      <c r="P9" s="16">
        <v>63</v>
      </c>
      <c r="Q9" s="19">
        <v>0.0591549295774648</v>
      </c>
      <c r="S9" s="16" t="s">
        <v>46</v>
      </c>
      <c r="T9" s="16">
        <v>554246</v>
      </c>
      <c r="U9" s="19">
        <v>0.0295635865729942</v>
      </c>
    </row>
    <row r="10" ht="22.5" customHeight="1" spans="1:21">
      <c r="A10" s="1" t="s">
        <v>1220</v>
      </c>
      <c r="B10" s="1">
        <v>118</v>
      </c>
      <c r="C10" s="20">
        <v>6.64053858594683e-6</v>
      </c>
      <c r="O10" s="16" t="s">
        <v>211</v>
      </c>
      <c r="P10" s="16">
        <v>53</v>
      </c>
      <c r="Q10" s="19">
        <v>0.0497652582159624</v>
      </c>
      <c r="S10" s="16" t="s">
        <v>83</v>
      </c>
      <c r="T10" s="16">
        <v>311971</v>
      </c>
      <c r="U10" s="19">
        <v>0.016640592204118</v>
      </c>
    </row>
    <row r="11" ht="22.5" customHeight="1" spans="1:21">
      <c r="A11" s="1" t="s">
        <v>1360</v>
      </c>
      <c r="B11" s="1">
        <v>18</v>
      </c>
      <c r="C11" s="20">
        <v>1.01296351311053e-6</v>
      </c>
      <c r="O11" s="16" t="s">
        <v>374</v>
      </c>
      <c r="P11" s="16">
        <v>35</v>
      </c>
      <c r="Q11" s="19">
        <v>0.0328638497652582</v>
      </c>
      <c r="S11" s="16" t="s">
        <v>132</v>
      </c>
      <c r="T11" s="16">
        <v>215861</v>
      </c>
      <c r="U11" s="19">
        <v>0.011514066608028</v>
      </c>
    </row>
    <row r="12" ht="22.5" customHeight="1" spans="1:21">
      <c r="A12" s="1" t="s">
        <v>519</v>
      </c>
      <c r="B12" s="1">
        <v>3048</v>
      </c>
      <c r="C12" s="20">
        <v>0.00017152848822005</v>
      </c>
      <c r="O12" s="16" t="s">
        <v>83</v>
      </c>
      <c r="P12" s="16">
        <v>32</v>
      </c>
      <c r="Q12" s="19">
        <v>0.0300469483568075</v>
      </c>
      <c r="S12" s="16" t="s">
        <v>126</v>
      </c>
      <c r="T12" s="16">
        <v>151569</v>
      </c>
      <c r="U12" s="19">
        <v>0.00808471915590217</v>
      </c>
    </row>
    <row r="13" ht="22.5" customHeight="1" spans="1:21">
      <c r="A13" s="1" t="s">
        <v>1086</v>
      </c>
      <c r="B13" s="1">
        <v>253</v>
      </c>
      <c r="C13" s="20">
        <v>1.42377649342758e-5</v>
      </c>
      <c r="O13" s="16" t="s">
        <v>187</v>
      </c>
      <c r="P13" s="16">
        <v>29</v>
      </c>
      <c r="Q13" s="19">
        <v>0.0272300469483568</v>
      </c>
      <c r="S13" s="16" t="s">
        <v>187</v>
      </c>
      <c r="T13" s="16">
        <v>136206</v>
      </c>
      <c r="U13" s="19">
        <v>0.00726525382729193</v>
      </c>
    </row>
    <row r="14" ht="22.5" customHeight="1" spans="1:21">
      <c r="A14" s="1" t="s">
        <v>748</v>
      </c>
      <c r="B14" s="1">
        <v>1147</v>
      </c>
      <c r="C14" s="20">
        <v>6.45482860854323e-5</v>
      </c>
      <c r="O14" s="16" t="s">
        <v>38</v>
      </c>
      <c r="P14" s="16">
        <v>20</v>
      </c>
      <c r="Q14" s="19">
        <v>0.0187793427230047</v>
      </c>
      <c r="S14" s="16" t="s">
        <v>211</v>
      </c>
      <c r="T14" s="16">
        <v>70340</v>
      </c>
      <c r="U14" s="19">
        <v>0.00375194891716749</v>
      </c>
    </row>
    <row r="15" ht="22.5" customHeight="1" spans="1:21">
      <c r="A15" s="1" t="s">
        <v>333</v>
      </c>
      <c r="B15" s="1">
        <v>8778</v>
      </c>
      <c r="C15" s="20">
        <v>0.00049398853989357</v>
      </c>
      <c r="O15" s="16" t="s">
        <v>421</v>
      </c>
      <c r="P15" s="16">
        <v>6</v>
      </c>
      <c r="Q15" s="19">
        <v>0.00563380281690141</v>
      </c>
      <c r="S15" s="16" t="s">
        <v>264</v>
      </c>
      <c r="T15" s="16">
        <v>16626</v>
      </c>
      <c r="U15" s="19">
        <v>0.000886833987728556</v>
      </c>
    </row>
    <row r="16" ht="22.5" customHeight="1" spans="1:21">
      <c r="A16" s="1" t="s">
        <v>770</v>
      </c>
      <c r="B16" s="1">
        <v>1054</v>
      </c>
      <c r="C16" s="20">
        <v>5.93146412676946e-5</v>
      </c>
      <c r="O16" s="16" t="s">
        <v>46</v>
      </c>
      <c r="P16" s="16">
        <v>5</v>
      </c>
      <c r="Q16" s="19">
        <v>0.00469483568075117</v>
      </c>
      <c r="S16" s="16" t="s">
        <v>259</v>
      </c>
      <c r="T16" s="16">
        <v>15533</v>
      </c>
      <c r="U16" s="19">
        <v>0.000828533160795601</v>
      </c>
    </row>
    <row r="17" ht="22.5" customHeight="1" spans="1:21">
      <c r="A17" s="1" t="s">
        <v>1105</v>
      </c>
      <c r="B17" s="1">
        <v>234</v>
      </c>
      <c r="C17" s="20">
        <v>1.31685256704369e-5</v>
      </c>
      <c r="O17" s="16" t="s">
        <v>264</v>
      </c>
      <c r="P17" s="16">
        <v>2</v>
      </c>
      <c r="Q17" s="19">
        <v>0.00187793427230047</v>
      </c>
      <c r="S17" s="16" t="s">
        <v>421</v>
      </c>
      <c r="T17" s="16">
        <v>11416</v>
      </c>
      <c r="U17" s="19">
        <v>0.000608931601341826</v>
      </c>
    </row>
    <row r="18" ht="22.5" customHeight="1" spans="1:21">
      <c r="A18" s="1" t="s">
        <v>1152</v>
      </c>
      <c r="B18" s="1">
        <v>187</v>
      </c>
      <c r="C18" s="20">
        <v>1.05235653862039e-5</v>
      </c>
      <c r="O18" s="16" t="s">
        <v>647</v>
      </c>
      <c r="P18" s="16">
        <v>2</v>
      </c>
      <c r="Q18" s="19">
        <v>0.00187793427230047</v>
      </c>
      <c r="S18" s="16" t="s">
        <v>374</v>
      </c>
      <c r="T18" s="16">
        <v>11134</v>
      </c>
      <c r="U18" s="19">
        <v>0.000593889667951987</v>
      </c>
    </row>
    <row r="19" ht="22.5" customHeight="1" spans="1:21">
      <c r="A19" s="1" t="s">
        <v>677</v>
      </c>
      <c r="B19" s="1">
        <v>1490</v>
      </c>
      <c r="C19" s="20">
        <v>8.38508685852608e-5</v>
      </c>
      <c r="O19" s="16" t="s">
        <v>259</v>
      </c>
      <c r="P19" s="16">
        <v>1</v>
      </c>
      <c r="Q19" s="19">
        <v>0.000938967136150235</v>
      </c>
      <c r="S19" s="16" t="s">
        <v>647</v>
      </c>
      <c r="T19" s="16">
        <v>2490</v>
      </c>
      <c r="U19" s="19">
        <v>0.000132817071420913</v>
      </c>
    </row>
    <row r="20" ht="22.5" customHeight="1" spans="1:21">
      <c r="A20" s="1" t="s">
        <v>675</v>
      </c>
      <c r="B20" s="1">
        <v>1520</v>
      </c>
      <c r="C20" s="20">
        <v>8.55391411071117e-5</v>
      </c>
      <c r="O20" s="16" t="s">
        <v>1144</v>
      </c>
      <c r="P20" s="16">
        <v>1</v>
      </c>
      <c r="Q20" s="19">
        <v>0.000938967136150235</v>
      </c>
      <c r="S20" s="16" t="s">
        <v>621</v>
      </c>
      <c r="T20" s="16">
        <v>1931</v>
      </c>
      <c r="U20" s="19">
        <v>0.000102999905587865</v>
      </c>
    </row>
    <row r="21" ht="22.5" customHeight="1" spans="1:21">
      <c r="A21" s="1" t="s">
        <v>848</v>
      </c>
      <c r="B21" s="1">
        <v>778</v>
      </c>
      <c r="C21" s="20">
        <v>4.37825340666664e-5</v>
      </c>
      <c r="O21" s="16" t="s">
        <v>1401</v>
      </c>
      <c r="P21" s="16">
        <v>1</v>
      </c>
      <c r="Q21" s="19">
        <v>0.000938967136150235</v>
      </c>
      <c r="S21" s="16" t="s">
        <v>1144</v>
      </c>
      <c r="T21" s="16">
        <v>195</v>
      </c>
      <c r="U21" s="19">
        <v>1.04013369185053e-5</v>
      </c>
    </row>
    <row r="22" ht="22.5" customHeight="1" spans="1:21">
      <c r="A22" s="1" t="s">
        <v>28</v>
      </c>
      <c r="B22" s="1">
        <v>1506199</v>
      </c>
      <c r="C22" s="20">
        <v>0.0847624794713096</v>
      </c>
      <c r="O22" s="16" t="s">
        <v>621</v>
      </c>
      <c r="P22" s="16">
        <v>1</v>
      </c>
      <c r="Q22" s="19">
        <v>0.000938967136150235</v>
      </c>
      <c r="S22" s="16" t="s">
        <v>1401</v>
      </c>
      <c r="T22" s="16">
        <v>20</v>
      </c>
      <c r="U22" s="19">
        <v>1.06680378651336e-6</v>
      </c>
    </row>
    <row r="23" ht="22.5" customHeight="1" spans="1:21">
      <c r="A23" s="1" t="s">
        <v>671</v>
      </c>
      <c r="B23" s="1">
        <v>1539</v>
      </c>
      <c r="C23" s="20">
        <v>8.66083803709506e-5</v>
      </c>
      <c r="O23" s="16" t="s">
        <v>1596</v>
      </c>
      <c r="P23" s="16" t="s">
        <v>1597</v>
      </c>
      <c r="Q23" s="19" t="s">
        <v>1598</v>
      </c>
      <c r="S23" s="16" t="s">
        <v>1596</v>
      </c>
      <c r="T23" s="16" t="s">
        <v>1599</v>
      </c>
      <c r="U23" s="19" t="s">
        <v>1598</v>
      </c>
    </row>
    <row r="24" spans="1:21">
      <c r="A24" s="1" t="s">
        <v>442</v>
      </c>
      <c r="B24" s="1">
        <v>4351</v>
      </c>
      <c r="C24" s="20">
        <v>0.000244855791419107</v>
      </c>
    </row>
    <row r="25" spans="1:21">
      <c r="A25" s="1" t="s">
        <v>107</v>
      </c>
      <c r="B25" s="1">
        <v>62367</v>
      </c>
      <c r="C25" s="20">
        <v>0.00350974974567581</v>
      </c>
    </row>
    <row r="26" spans="1:21">
      <c r="A26" s="1" t="s">
        <v>527</v>
      </c>
      <c r="B26" s="1">
        <v>2973</v>
      </c>
      <c r="C26" s="20">
        <v>0.000167307806915423</v>
      </c>
    </row>
    <row r="27" spans="1:21">
      <c r="A27" s="1" t="s">
        <v>1246</v>
      </c>
      <c r="B27" s="1">
        <v>102</v>
      </c>
      <c r="C27" s="20">
        <v>5.74012657429302e-6</v>
      </c>
    </row>
    <row r="28" spans="1:21">
      <c r="A28" s="1" t="s">
        <v>1427</v>
      </c>
      <c r="B28" s="1">
        <v>6</v>
      </c>
      <c r="C28" s="20">
        <v>3.37654504370178e-7</v>
      </c>
    </row>
    <row r="29" spans="1:21">
      <c r="A29" s="1" t="s">
        <v>1072</v>
      </c>
      <c r="B29" s="1">
        <v>278</v>
      </c>
      <c r="C29" s="20">
        <v>1.56446587024849e-5</v>
      </c>
    </row>
    <row r="30" spans="1:21">
      <c r="A30" s="1" t="s">
        <v>1303</v>
      </c>
      <c r="B30" s="1">
        <v>63</v>
      </c>
      <c r="C30" s="20">
        <v>3.54537229588687e-6</v>
      </c>
    </row>
    <row r="31" spans="1:21">
      <c r="A31" s="1" t="s">
        <v>1436</v>
      </c>
      <c r="B31" s="1">
        <v>9853</v>
      </c>
      <c r="C31" s="20">
        <v>0.00055448497192656</v>
      </c>
    </row>
    <row r="32" spans="1:21">
      <c r="A32" s="1" t="s">
        <v>1438</v>
      </c>
      <c r="B32" s="1">
        <v>0</v>
      </c>
      <c r="C32" s="20">
        <v>0</v>
      </c>
    </row>
    <row r="33" spans="1:3">
      <c r="A33" s="1" t="s">
        <v>1212</v>
      </c>
      <c r="B33" s="1">
        <v>126</v>
      </c>
      <c r="C33" s="20">
        <v>7.09074459177373e-6</v>
      </c>
    </row>
    <row r="34" spans="1:3">
      <c r="A34" s="1" t="s">
        <v>975</v>
      </c>
      <c r="B34" s="1">
        <v>424</v>
      </c>
      <c r="C34" s="20">
        <v>2.38609183088259e-5</v>
      </c>
    </row>
    <row r="35" spans="1:3">
      <c r="A35" s="1" t="s">
        <v>1084</v>
      </c>
      <c r="B35" s="1">
        <v>257</v>
      </c>
      <c r="C35" s="20">
        <v>1.44628679371893e-5</v>
      </c>
    </row>
    <row r="36" spans="1:3">
      <c r="A36" s="1" t="s">
        <v>389</v>
      </c>
      <c r="B36" s="1">
        <v>5879</v>
      </c>
      <c r="C36" s="20">
        <v>0.000330845138532046</v>
      </c>
    </row>
    <row r="37" spans="1:3">
      <c r="A37" s="1" t="s">
        <v>424</v>
      </c>
      <c r="B37" s="1">
        <v>4732</v>
      </c>
      <c r="C37" s="20">
        <v>0.000266296852446614</v>
      </c>
    </row>
    <row r="38" spans="1:3">
      <c r="A38" s="1" t="s">
        <v>304</v>
      </c>
      <c r="B38" s="1">
        <v>7982</v>
      </c>
      <c r="C38" s="20">
        <v>0.000449193042313793</v>
      </c>
    </row>
    <row r="39" spans="1:3">
      <c r="A39" s="1" t="s">
        <v>252</v>
      </c>
      <c r="B39" s="1">
        <v>13886</v>
      </c>
      <c r="C39" s="20">
        <v>0.000781445074614048</v>
      </c>
    </row>
    <row r="40" spans="1:3">
      <c r="A40" s="1" t="s">
        <v>600</v>
      </c>
      <c r="B40" s="1">
        <v>2170</v>
      </c>
      <c r="C40" s="20">
        <v>0.000122118379080548</v>
      </c>
    </row>
    <row r="41" spans="1:3">
      <c r="A41" s="1" t="s">
        <v>517</v>
      </c>
      <c r="B41" s="1">
        <v>3077</v>
      </c>
      <c r="C41" s="20">
        <v>0.000173160484991173</v>
      </c>
    </row>
    <row r="42" spans="1:3">
      <c r="A42" s="1" t="s">
        <v>443</v>
      </c>
      <c r="B42" s="1">
        <v>3943</v>
      </c>
      <c r="C42" s="20">
        <v>0.000221895285121935</v>
      </c>
    </row>
    <row r="43" spans="1:3">
      <c r="A43" s="1" t="s">
        <v>1124</v>
      </c>
      <c r="B43" s="1">
        <v>201</v>
      </c>
      <c r="C43" s="20">
        <v>1.1311425896401e-5</v>
      </c>
    </row>
    <row r="44" spans="1:3">
      <c r="A44" s="1" t="s">
        <v>1189</v>
      </c>
      <c r="B44" s="1">
        <v>146</v>
      </c>
      <c r="C44" s="20">
        <v>8.21625960634099e-6</v>
      </c>
    </row>
    <row r="45" spans="1:3">
      <c r="A45" s="1" t="s">
        <v>1441</v>
      </c>
      <c r="B45" s="1">
        <v>146</v>
      </c>
      <c r="C45" s="20">
        <v>8.21625960634099e-6</v>
      </c>
    </row>
    <row r="46" spans="1:3">
      <c r="A46" s="1" t="s">
        <v>308</v>
      </c>
      <c r="B46" s="1">
        <v>9541</v>
      </c>
      <c r="C46" s="20">
        <v>0.000536926937699311</v>
      </c>
    </row>
    <row r="47" spans="1:3">
      <c r="A47" s="1" t="s">
        <v>1080</v>
      </c>
      <c r="B47" s="1">
        <v>215</v>
      </c>
      <c r="C47" s="20">
        <v>1.2099286406598e-5</v>
      </c>
    </row>
    <row r="48" spans="1:3">
      <c r="A48" s="1" t="s">
        <v>614</v>
      </c>
      <c r="B48" s="1">
        <v>1929</v>
      </c>
      <c r="C48" s="20">
        <v>0.000108555923155012</v>
      </c>
    </row>
    <row r="49" spans="1:3">
      <c r="A49" s="1" t="s">
        <v>351</v>
      </c>
      <c r="B49" s="1">
        <v>7741</v>
      </c>
      <c r="C49" s="20">
        <v>0.000435630586388258</v>
      </c>
    </row>
    <row r="50" spans="1:3">
      <c r="A50" s="1" t="s">
        <v>130</v>
      </c>
      <c r="B50" s="1">
        <v>38975</v>
      </c>
      <c r="C50" s="20">
        <v>0.00219334738463795</v>
      </c>
    </row>
    <row r="51" spans="1:3">
      <c r="A51" s="1" t="s">
        <v>344</v>
      </c>
      <c r="B51" s="1">
        <v>7993</v>
      </c>
      <c r="C51" s="20">
        <v>0.000449812075571805</v>
      </c>
    </row>
    <row r="52" spans="1:3">
      <c r="A52" s="1" t="s">
        <v>1442</v>
      </c>
      <c r="B52" s="1">
        <v>10459</v>
      </c>
      <c r="C52" s="20">
        <v>0.000588588076867948</v>
      </c>
    </row>
    <row r="53" spans="1:3">
      <c r="A53" s="1" t="s">
        <v>928</v>
      </c>
      <c r="B53" s="1">
        <v>493</v>
      </c>
      <c r="C53" s="20">
        <v>2.77439451090829e-5</v>
      </c>
    </row>
    <row r="54" spans="1:3">
      <c r="A54" s="1" t="s">
        <v>1046</v>
      </c>
      <c r="B54" s="1">
        <v>304</v>
      </c>
      <c r="C54" s="20">
        <v>1.71078282214223e-5</v>
      </c>
    </row>
    <row r="55" spans="1:3">
      <c r="A55" s="1" t="s">
        <v>1170</v>
      </c>
      <c r="B55" s="1">
        <v>156</v>
      </c>
      <c r="C55" s="20">
        <v>8.77901711362462e-6</v>
      </c>
    </row>
    <row r="56" spans="1:3">
      <c r="A56" s="1" t="s">
        <v>1308</v>
      </c>
      <c r="B56" s="1">
        <v>32</v>
      </c>
      <c r="C56" s="20">
        <v>1.80082402330762e-6</v>
      </c>
    </row>
    <row r="57" spans="1:3">
      <c r="A57" s="1" t="s">
        <v>1066</v>
      </c>
      <c r="B57" s="1">
        <v>240</v>
      </c>
      <c r="C57" s="20">
        <v>1.35061801748071e-5</v>
      </c>
    </row>
    <row r="58" spans="1:3">
      <c r="A58" s="1" t="s">
        <v>859</v>
      </c>
      <c r="B58" s="1">
        <v>729</v>
      </c>
      <c r="C58" s="20">
        <v>4.10250222809766e-5</v>
      </c>
    </row>
    <row r="59" spans="1:3">
      <c r="A59" s="1" t="s">
        <v>318</v>
      </c>
      <c r="B59" s="1">
        <v>9039</v>
      </c>
      <c r="C59" s="20">
        <v>0.000508676510833673</v>
      </c>
    </row>
    <row r="60" spans="1:3">
      <c r="A60" s="1" t="s">
        <v>393</v>
      </c>
      <c r="B60" s="1">
        <v>5782</v>
      </c>
      <c r="C60" s="20">
        <v>0.000325386390711395</v>
      </c>
    </row>
    <row r="61" spans="1:3">
      <c r="A61" s="1" t="s">
        <v>730</v>
      </c>
      <c r="B61" s="1">
        <v>1227</v>
      </c>
      <c r="C61" s="20">
        <v>6.90503461437014e-5</v>
      </c>
    </row>
    <row r="62" spans="1:3">
      <c r="A62" s="1" t="s">
        <v>479</v>
      </c>
      <c r="B62" s="1">
        <v>3655</v>
      </c>
      <c r="C62" s="20">
        <v>0.000205687868912167</v>
      </c>
    </row>
    <row r="63" spans="1:3">
      <c r="A63" s="1" t="s">
        <v>139</v>
      </c>
      <c r="B63" s="1">
        <v>37570</v>
      </c>
      <c r="C63" s="20">
        <v>0.0021142799548646</v>
      </c>
    </row>
    <row r="64" spans="1:3">
      <c r="A64" s="1" t="s">
        <v>1125</v>
      </c>
      <c r="B64" s="1">
        <v>213</v>
      </c>
      <c r="C64" s="20">
        <v>1.19867349051413e-5</v>
      </c>
    </row>
    <row r="65" spans="1:3">
      <c r="A65" s="1" t="s">
        <v>299</v>
      </c>
      <c r="B65" s="1">
        <v>10233</v>
      </c>
      <c r="C65" s="20">
        <v>0.000575869757203338</v>
      </c>
    </row>
    <row r="66" spans="1:3">
      <c r="A66" s="1" t="s">
        <v>1444</v>
      </c>
      <c r="B66" s="1">
        <v>283</v>
      </c>
      <c r="C66" s="20">
        <v>1.59260374561267e-5</v>
      </c>
    </row>
    <row r="67" spans="1:3">
      <c r="A67" s="1" t="s">
        <v>189</v>
      </c>
      <c r="B67" s="1">
        <v>28349</v>
      </c>
      <c r="C67" s="20">
        <v>0.00159536125739836</v>
      </c>
    </row>
    <row r="68" spans="1:3">
      <c r="A68" s="1" t="s">
        <v>1285</v>
      </c>
      <c r="B68" s="1">
        <v>72</v>
      </c>
      <c r="C68" s="20">
        <v>4.05185405244213e-6</v>
      </c>
    </row>
    <row r="69" spans="1:3">
      <c r="A69" s="1" t="s">
        <v>1346</v>
      </c>
      <c r="B69" s="1">
        <v>45</v>
      </c>
      <c r="C69" s="20">
        <v>2.53240878277633e-6</v>
      </c>
    </row>
    <row r="70" spans="1:3">
      <c r="A70" s="1" t="s">
        <v>1023</v>
      </c>
      <c r="B70" s="1">
        <v>347</v>
      </c>
      <c r="C70" s="20">
        <v>1.9527685502742e-5</v>
      </c>
    </row>
    <row r="71" spans="1:3">
      <c r="A71" s="1" t="s">
        <v>1311</v>
      </c>
      <c r="B71" s="1">
        <v>59</v>
      </c>
      <c r="C71" s="20">
        <v>3.32026929297342e-6</v>
      </c>
    </row>
    <row r="72" spans="1:3">
      <c r="A72" s="1" t="s">
        <v>618</v>
      </c>
      <c r="B72" s="1">
        <v>1935</v>
      </c>
      <c r="C72" s="20">
        <v>0.000108893577659382</v>
      </c>
    </row>
    <row r="73" spans="1:3">
      <c r="A73" s="1" t="s">
        <v>300</v>
      </c>
      <c r="B73" s="1">
        <v>5148</v>
      </c>
      <c r="C73" s="20">
        <v>0.000289707564749613</v>
      </c>
    </row>
    <row r="74" spans="1:3">
      <c r="A74" s="1" t="s">
        <v>828</v>
      </c>
      <c r="B74" s="1">
        <v>816</v>
      </c>
      <c r="C74" s="20">
        <v>4.59210125943442e-5</v>
      </c>
    </row>
    <row r="75" spans="1:3">
      <c r="A75" s="1" t="s">
        <v>462</v>
      </c>
      <c r="B75" s="1">
        <v>1926</v>
      </c>
      <c r="C75" s="20">
        <v>0.000108387095902827</v>
      </c>
    </row>
    <row r="76" spans="1:3">
      <c r="A76" s="1" t="s">
        <v>1068</v>
      </c>
      <c r="B76" s="1">
        <v>281</v>
      </c>
      <c r="C76" s="20">
        <v>1.581348595467e-5</v>
      </c>
    </row>
    <row r="77" spans="1:3">
      <c r="A77" s="1" t="s">
        <v>502</v>
      </c>
      <c r="B77" s="1">
        <v>3270</v>
      </c>
      <c r="C77" s="20">
        <v>0.000184021704881747</v>
      </c>
    </row>
    <row r="78" spans="1:3">
      <c r="A78" s="1" t="s">
        <v>841</v>
      </c>
      <c r="B78" s="1">
        <v>804</v>
      </c>
      <c r="C78" s="20">
        <v>4.52457035856038e-5</v>
      </c>
    </row>
    <row r="79" spans="1:3">
      <c r="A79" s="1" t="s">
        <v>1230</v>
      </c>
      <c r="B79" s="1">
        <v>109</v>
      </c>
      <c r="C79" s="20">
        <v>6.13405682939156e-6</v>
      </c>
    </row>
    <row r="80" spans="1:3">
      <c r="A80" s="1" t="s">
        <v>1241</v>
      </c>
      <c r="B80" s="1">
        <v>102</v>
      </c>
      <c r="C80" s="20">
        <v>5.74012657429302e-6</v>
      </c>
    </row>
    <row r="81" spans="1:3">
      <c r="A81" s="1" t="s">
        <v>1338</v>
      </c>
      <c r="B81" s="1">
        <v>42</v>
      </c>
      <c r="C81" s="20">
        <v>2.36358153059125e-6</v>
      </c>
    </row>
    <row r="82" spans="1:3">
      <c r="A82" s="1" t="s">
        <v>866</v>
      </c>
      <c r="B82" s="1">
        <v>698</v>
      </c>
      <c r="C82" s="20">
        <v>3.92804740083974e-5</v>
      </c>
    </row>
    <row r="83" spans="1:3">
      <c r="A83" s="1" t="s">
        <v>704</v>
      </c>
      <c r="B83" s="1">
        <v>1343</v>
      </c>
      <c r="C83" s="20">
        <v>7.55783332281915e-5</v>
      </c>
    </row>
    <row r="84" spans="1:3">
      <c r="A84" s="1" t="s">
        <v>426</v>
      </c>
      <c r="B84" s="1">
        <v>4569</v>
      </c>
      <c r="C84" s="20">
        <v>0.00025712390507789</v>
      </c>
    </row>
    <row r="85" spans="1:3">
      <c r="A85" s="1" t="s">
        <v>441</v>
      </c>
      <c r="B85" s="1">
        <v>4312</v>
      </c>
      <c r="C85" s="20">
        <v>0.000242661037140701</v>
      </c>
    </row>
    <row r="86" spans="1:3">
      <c r="A86" s="1" t="s">
        <v>990</v>
      </c>
      <c r="B86" s="1">
        <v>418</v>
      </c>
      <c r="C86" s="20">
        <v>2.35232638044557e-5</v>
      </c>
    </row>
    <row r="87" spans="1:3">
      <c r="A87" s="1" t="s">
        <v>1011</v>
      </c>
      <c r="B87" s="1">
        <v>361</v>
      </c>
      <c r="C87" s="20">
        <v>2.0315546012939e-5</v>
      </c>
    </row>
    <row r="88" spans="1:3">
      <c r="A88" s="1" t="s">
        <v>958</v>
      </c>
      <c r="B88" s="1">
        <v>459</v>
      </c>
      <c r="C88" s="20">
        <v>2.58305695843186e-5</v>
      </c>
    </row>
    <row r="89" spans="1:3">
      <c r="A89" s="1" t="s">
        <v>1377</v>
      </c>
      <c r="B89" s="1">
        <v>19</v>
      </c>
      <c r="C89" s="20">
        <v>1.0692392638389e-6</v>
      </c>
    </row>
    <row r="90" spans="1:3">
      <c r="A90" s="1" t="s">
        <v>635</v>
      </c>
      <c r="B90" s="1">
        <v>1779</v>
      </c>
      <c r="C90" s="20">
        <v>0.000100114560545758</v>
      </c>
    </row>
    <row r="91" spans="1:3">
      <c r="A91" s="1" t="s">
        <v>661</v>
      </c>
      <c r="B91" s="1">
        <v>1595</v>
      </c>
      <c r="C91" s="20">
        <v>8.97598224117389e-5</v>
      </c>
    </row>
    <row r="92" spans="1:3">
      <c r="A92" s="1" t="s">
        <v>516</v>
      </c>
      <c r="B92" s="1">
        <v>3128</v>
      </c>
      <c r="C92" s="20">
        <v>0.000176030548278319</v>
      </c>
    </row>
    <row r="93" spans="1:3">
      <c r="A93" s="1" t="s">
        <v>820</v>
      </c>
      <c r="B93" s="1">
        <v>854</v>
      </c>
      <c r="C93" s="20">
        <v>4.8059491122022e-5</v>
      </c>
    </row>
    <row r="94" spans="1:3">
      <c r="A94" s="1" t="s">
        <v>329</v>
      </c>
      <c r="B94" s="1">
        <v>9020</v>
      </c>
      <c r="C94" s="20">
        <v>0.000507607271569834</v>
      </c>
    </row>
    <row r="95" spans="1:3">
      <c r="A95" s="1" t="s">
        <v>960</v>
      </c>
      <c r="B95" s="1">
        <v>308</v>
      </c>
      <c r="C95" s="20">
        <v>1.73329312243358e-5</v>
      </c>
    </row>
    <row r="96" spans="1:3">
      <c r="A96" s="1" t="s">
        <v>1446</v>
      </c>
      <c r="B96" s="1">
        <v>0</v>
      </c>
      <c r="C96" s="20">
        <v>0</v>
      </c>
    </row>
    <row r="97" spans="1:3">
      <c r="A97" s="1" t="s">
        <v>708</v>
      </c>
      <c r="B97" s="1">
        <v>1318</v>
      </c>
      <c r="C97" s="20">
        <v>7.41714394599824e-5</v>
      </c>
    </row>
    <row r="98" spans="1:3">
      <c r="A98" s="1" t="s">
        <v>1154</v>
      </c>
      <c r="B98" s="1">
        <v>119</v>
      </c>
      <c r="C98" s="20">
        <v>6.69681433667519e-6</v>
      </c>
    </row>
    <row r="99" spans="1:3">
      <c r="A99" s="1" t="s">
        <v>860</v>
      </c>
      <c r="B99" s="1">
        <v>720</v>
      </c>
      <c r="C99" s="20">
        <v>4.05185405244213e-5</v>
      </c>
    </row>
    <row r="100" spans="1:3">
      <c r="A100" s="1" t="s">
        <v>1009</v>
      </c>
      <c r="B100" s="1">
        <v>319</v>
      </c>
      <c r="C100" s="20">
        <v>1.79519644823478e-5</v>
      </c>
    </row>
    <row r="101" spans="1:3">
      <c r="A101" s="1" t="s">
        <v>13</v>
      </c>
      <c r="B101" s="1">
        <v>2352092</v>
      </c>
      <c r="C101" s="20">
        <v>0.132365743082177</v>
      </c>
    </row>
    <row r="102" spans="1:3">
      <c r="A102" s="1" t="s">
        <v>777</v>
      </c>
      <c r="B102" s="1">
        <v>1006</v>
      </c>
      <c r="C102" s="20">
        <v>5.66134052327332e-5</v>
      </c>
    </row>
    <row r="103" spans="1:3">
      <c r="A103" s="1" t="s">
        <v>888</v>
      </c>
      <c r="B103" s="1">
        <v>586</v>
      </c>
      <c r="C103" s="20">
        <v>3.29775899268207e-5</v>
      </c>
    </row>
    <row r="104" spans="1:3">
      <c r="A104" s="1" t="s">
        <v>537</v>
      </c>
      <c r="B104" s="1">
        <v>2846</v>
      </c>
      <c r="C104" s="20">
        <v>0.000160160786572921</v>
      </c>
    </row>
    <row r="105" spans="1:3">
      <c r="A105" s="1" t="s">
        <v>1314</v>
      </c>
      <c r="B105" s="1">
        <v>57</v>
      </c>
      <c r="C105" s="20">
        <v>3.20771779151669e-6</v>
      </c>
    </row>
    <row r="106" spans="1:3">
      <c r="A106" s="1" t="s">
        <v>162</v>
      </c>
      <c r="B106" s="1">
        <v>10722</v>
      </c>
      <c r="C106" s="20">
        <v>0.000603388599309508</v>
      </c>
    </row>
    <row r="107" spans="1:3">
      <c r="A107" s="1" t="s">
        <v>624</v>
      </c>
      <c r="B107" s="1">
        <v>1178</v>
      </c>
      <c r="C107" s="20">
        <v>6.62928343580116e-5</v>
      </c>
    </row>
    <row r="108" spans="1:3">
      <c r="A108" s="1" t="s">
        <v>633</v>
      </c>
      <c r="B108" s="1">
        <v>1787</v>
      </c>
      <c r="C108" s="20">
        <v>0.000100564766551585</v>
      </c>
    </row>
    <row r="109" spans="1:3">
      <c r="A109" s="1" t="s">
        <v>350</v>
      </c>
      <c r="B109" s="1">
        <v>7357</v>
      </c>
      <c r="C109" s="20">
        <v>0.000414020698108566</v>
      </c>
    </row>
    <row r="110" spans="1:3">
      <c r="A110" s="1" t="s">
        <v>103</v>
      </c>
      <c r="B110" s="1">
        <v>66514</v>
      </c>
      <c r="C110" s="20">
        <v>0.00374312528394633</v>
      </c>
    </row>
    <row r="111" spans="1:3">
      <c r="A111" s="1" t="s">
        <v>1031</v>
      </c>
      <c r="B111" s="1">
        <v>326</v>
      </c>
      <c r="C111" s="20">
        <v>1.83458947374463e-5</v>
      </c>
    </row>
    <row r="112" spans="1:3">
      <c r="A112" s="1" t="s">
        <v>1256</v>
      </c>
      <c r="B112" s="1">
        <v>91</v>
      </c>
      <c r="C112" s="20">
        <v>5.12109331628103e-6</v>
      </c>
    </row>
    <row r="113" spans="1:3">
      <c r="A113" s="1" t="s">
        <v>1235</v>
      </c>
      <c r="B113" s="1">
        <v>113</v>
      </c>
      <c r="C113" s="20">
        <v>6.35915983230502e-6</v>
      </c>
    </row>
    <row r="114" spans="1:3">
      <c r="A114" s="1" t="s">
        <v>1447</v>
      </c>
      <c r="B114" s="1">
        <v>25</v>
      </c>
      <c r="C114" s="20">
        <v>1.40689376820907e-6</v>
      </c>
    </row>
    <row r="115" spans="1:3">
      <c r="A115" s="1" t="s">
        <v>1038</v>
      </c>
      <c r="B115" s="1">
        <v>319</v>
      </c>
      <c r="C115" s="20">
        <v>1.79519644823478e-5</v>
      </c>
    </row>
    <row r="116" spans="1:3">
      <c r="A116" s="1" t="s">
        <v>629</v>
      </c>
      <c r="B116" s="1">
        <v>1703</v>
      </c>
      <c r="C116" s="20">
        <v>9.58376034904021e-5</v>
      </c>
    </row>
    <row r="117" spans="1:3">
      <c r="A117" s="1" t="s">
        <v>199</v>
      </c>
      <c r="B117" s="1">
        <v>25885</v>
      </c>
      <c r="C117" s="20">
        <v>0.00145669780760368</v>
      </c>
    </row>
    <row r="118" spans="1:3">
      <c r="A118" s="1" t="s">
        <v>744</v>
      </c>
      <c r="B118" s="1">
        <v>1137</v>
      </c>
      <c r="C118" s="20">
        <v>6.39855285781487e-5</v>
      </c>
    </row>
    <row r="119" spans="1:3">
      <c r="A119" s="1" t="s">
        <v>833</v>
      </c>
      <c r="B119" s="1">
        <v>793</v>
      </c>
      <c r="C119" s="20">
        <v>4.46266703275918e-5</v>
      </c>
    </row>
    <row r="120" spans="1:3">
      <c r="A120" s="1" t="s">
        <v>226</v>
      </c>
      <c r="B120" s="1">
        <v>19185</v>
      </c>
      <c r="C120" s="20">
        <v>0.00107965027772364</v>
      </c>
    </row>
    <row r="121" spans="1:3">
      <c r="A121" s="1" t="s">
        <v>182</v>
      </c>
      <c r="B121" s="1">
        <v>28344</v>
      </c>
      <c r="C121" s="20">
        <v>0.00159507987864472</v>
      </c>
    </row>
    <row r="122" spans="1:3">
      <c r="A122" s="1" t="s">
        <v>949</v>
      </c>
      <c r="B122" s="1">
        <v>432</v>
      </c>
      <c r="C122" s="20">
        <v>2.43111243146528e-5</v>
      </c>
    </row>
    <row r="123" spans="1:3">
      <c r="A123" s="1" t="s">
        <v>491</v>
      </c>
      <c r="B123" s="1">
        <v>3511</v>
      </c>
      <c r="C123" s="20">
        <v>0.000197584160807282</v>
      </c>
    </row>
    <row r="124" spans="1:3">
      <c r="A124" s="1" t="s">
        <v>320</v>
      </c>
      <c r="B124" s="1">
        <v>9302</v>
      </c>
      <c r="C124" s="20">
        <v>0.000523477033275232</v>
      </c>
    </row>
    <row r="125" spans="1:3">
      <c r="A125" s="1" t="s">
        <v>579</v>
      </c>
      <c r="B125" s="1">
        <v>2414</v>
      </c>
      <c r="C125" s="20">
        <v>0.000135849662258268</v>
      </c>
    </row>
    <row r="126" spans="1:3">
      <c r="A126" s="1" t="s">
        <v>538</v>
      </c>
      <c r="B126" s="1">
        <v>2807</v>
      </c>
      <c r="C126" s="20">
        <v>0.000157966032294515</v>
      </c>
    </row>
    <row r="127" spans="1:3">
      <c r="A127" s="1" t="s">
        <v>1293</v>
      </c>
      <c r="B127" s="1">
        <v>70</v>
      </c>
      <c r="C127" s="20">
        <v>3.93930255098541e-6</v>
      </c>
    </row>
    <row r="128" spans="1:3">
      <c r="A128" s="1" t="s">
        <v>1310</v>
      </c>
      <c r="B128" s="1">
        <v>57</v>
      </c>
      <c r="C128" s="20">
        <v>3.20771779151669e-6</v>
      </c>
    </row>
    <row r="129" spans="1:3">
      <c r="A129" s="1" t="s">
        <v>498</v>
      </c>
      <c r="B129" s="1">
        <v>3356</v>
      </c>
      <c r="C129" s="20">
        <v>0.000188861419444386</v>
      </c>
    </row>
    <row r="130" spans="1:3">
      <c r="A130" s="1" t="s">
        <v>341</v>
      </c>
      <c r="B130" s="1">
        <v>8212</v>
      </c>
      <c r="C130" s="20">
        <v>0.000462136464981317</v>
      </c>
    </row>
    <row r="131" spans="1:3">
      <c r="A131" s="1" t="s">
        <v>1191</v>
      </c>
      <c r="B131" s="1">
        <v>147</v>
      </c>
      <c r="C131" s="20">
        <v>8.27253535706936e-6</v>
      </c>
    </row>
    <row r="132" spans="1:3">
      <c r="A132" s="1" t="s">
        <v>171</v>
      </c>
      <c r="B132" s="1">
        <v>30557</v>
      </c>
      <c r="C132" s="20">
        <v>0.00171961811500659</v>
      </c>
    </row>
    <row r="133" spans="1:3">
      <c r="A133" s="1" t="s">
        <v>921</v>
      </c>
      <c r="B133" s="1">
        <v>551</v>
      </c>
      <c r="C133" s="20">
        <v>3.1007938651328e-5</v>
      </c>
    </row>
    <row r="134" spans="1:3">
      <c r="A134" s="1" t="s">
        <v>1114</v>
      </c>
      <c r="B134" s="1">
        <v>224</v>
      </c>
      <c r="C134" s="20">
        <v>1.26057681631533e-5</v>
      </c>
    </row>
    <row r="135" spans="1:3">
      <c r="A135" s="1" t="s">
        <v>845</v>
      </c>
      <c r="B135" s="1">
        <v>786</v>
      </c>
      <c r="C135" s="20">
        <v>4.42327400724933e-5</v>
      </c>
    </row>
    <row r="136" spans="1:3">
      <c r="A136" s="1" t="s">
        <v>1336</v>
      </c>
      <c r="B136" s="1">
        <v>48</v>
      </c>
      <c r="C136" s="20">
        <v>2.70123603496142e-6</v>
      </c>
    </row>
    <row r="137" spans="1:3">
      <c r="A137" s="1" t="s">
        <v>784</v>
      </c>
      <c r="B137" s="1">
        <v>987</v>
      </c>
      <c r="C137" s="20">
        <v>5.55441659688943e-5</v>
      </c>
    </row>
    <row r="138" spans="1:3">
      <c r="A138" s="1" t="s">
        <v>1250</v>
      </c>
      <c r="B138" s="1">
        <v>98</v>
      </c>
      <c r="C138" s="20">
        <v>5.51502357137957e-6</v>
      </c>
    </row>
    <row r="139" spans="1:3">
      <c r="A139" s="1" t="s">
        <v>858</v>
      </c>
      <c r="B139" s="1">
        <v>741</v>
      </c>
      <c r="C139" s="20">
        <v>4.1700331289717e-5</v>
      </c>
    </row>
    <row r="140" spans="1:3">
      <c r="A140" s="1" t="s">
        <v>1217</v>
      </c>
      <c r="B140" s="1">
        <v>122</v>
      </c>
      <c r="C140" s="20">
        <v>6.86564158886028e-6</v>
      </c>
    </row>
    <row r="141" spans="1:3">
      <c r="A141" s="1" t="s">
        <v>1450</v>
      </c>
      <c r="B141" s="1">
        <v>0</v>
      </c>
      <c r="C141" s="20">
        <v>0</v>
      </c>
    </row>
    <row r="142" spans="1:3">
      <c r="A142" s="1" t="s">
        <v>887</v>
      </c>
      <c r="B142" s="1">
        <v>634</v>
      </c>
      <c r="C142" s="20">
        <v>3.56788259617821e-5</v>
      </c>
    </row>
    <row r="143" spans="1:3">
      <c r="A143" s="1" t="s">
        <v>452</v>
      </c>
      <c r="B143" s="1">
        <v>4140</v>
      </c>
      <c r="C143" s="20">
        <v>0.000232981608015423</v>
      </c>
    </row>
    <row r="144" spans="1:3">
      <c r="A144" s="1" t="s">
        <v>245</v>
      </c>
      <c r="B144" s="1">
        <v>14825</v>
      </c>
      <c r="C144" s="20">
        <v>0.000834288004547981</v>
      </c>
    </row>
    <row r="145" spans="1:3">
      <c r="A145" s="1" t="s">
        <v>202</v>
      </c>
      <c r="B145" s="1">
        <v>24363</v>
      </c>
      <c r="C145" s="20">
        <v>0.00137104611499511</v>
      </c>
    </row>
    <row r="146" spans="1:3">
      <c r="A146" s="1" t="s">
        <v>487</v>
      </c>
      <c r="B146" s="1">
        <v>3505</v>
      </c>
      <c r="C146" s="20">
        <v>0.000197246506302912</v>
      </c>
    </row>
    <row r="147" spans="1:3">
      <c r="A147" s="1" t="s">
        <v>1167</v>
      </c>
      <c r="B147" s="1">
        <v>170</v>
      </c>
      <c r="C147" s="20">
        <v>9.56687762382171e-6</v>
      </c>
    </row>
    <row r="148" spans="1:3">
      <c r="A148" s="1" t="s">
        <v>242</v>
      </c>
      <c r="B148" s="1">
        <v>17616</v>
      </c>
      <c r="C148" s="20">
        <v>0.000991353624830842</v>
      </c>
    </row>
    <row r="149" spans="1:3">
      <c r="A149" s="1" t="s">
        <v>907</v>
      </c>
      <c r="B149" s="1">
        <v>484</v>
      </c>
      <c r="C149" s="20">
        <v>2.72374633525277e-5</v>
      </c>
    </row>
    <row r="150" spans="1:3">
      <c r="A150" s="1" t="s">
        <v>805</v>
      </c>
      <c r="B150" s="1">
        <v>768</v>
      </c>
      <c r="C150" s="20">
        <v>4.32197765593828e-5</v>
      </c>
    </row>
    <row r="151" spans="1:3">
      <c r="A151" s="1" t="s">
        <v>1044</v>
      </c>
      <c r="B151" s="1">
        <v>305</v>
      </c>
      <c r="C151" s="20">
        <v>1.71641039721507e-5</v>
      </c>
    </row>
    <row r="152" spans="1:3">
      <c r="A152" s="1" t="s">
        <v>714</v>
      </c>
      <c r="B152" s="1">
        <v>1286</v>
      </c>
      <c r="C152" s="20">
        <v>7.23706154366748e-5</v>
      </c>
    </row>
    <row r="153" spans="1:3">
      <c r="A153" s="1" t="s">
        <v>1203</v>
      </c>
      <c r="B153" s="1">
        <v>136</v>
      </c>
      <c r="C153" s="20">
        <v>7.65350209905737e-6</v>
      </c>
    </row>
    <row r="154" spans="1:3">
      <c r="A154" s="1" t="s">
        <v>445</v>
      </c>
      <c r="B154" s="1">
        <v>4303</v>
      </c>
      <c r="C154" s="20">
        <v>0.000242154555384146</v>
      </c>
    </row>
    <row r="155" spans="1:3">
      <c r="A155" s="1" t="s">
        <v>1347</v>
      </c>
      <c r="B155" s="1">
        <v>43</v>
      </c>
      <c r="C155" s="20">
        <v>2.41985728131961e-6</v>
      </c>
    </row>
    <row r="156" spans="1:3">
      <c r="A156" s="1" t="s">
        <v>480</v>
      </c>
      <c r="B156" s="1">
        <v>3646</v>
      </c>
      <c r="C156" s="20">
        <v>0.000205181387155611</v>
      </c>
    </row>
    <row r="157" spans="1:3">
      <c r="A157" s="1" t="s">
        <v>56</v>
      </c>
      <c r="B157" s="1">
        <v>252278</v>
      </c>
      <c r="C157" s="20">
        <v>0.01419713384225</v>
      </c>
    </row>
    <row r="158" spans="1:3">
      <c r="A158" s="1" t="s">
        <v>94</v>
      </c>
      <c r="B158" s="1">
        <v>99981</v>
      </c>
      <c r="C158" s="20">
        <v>0.00562650583357246</v>
      </c>
    </row>
    <row r="159" spans="1:3">
      <c r="A159" s="1" t="s">
        <v>1266</v>
      </c>
      <c r="B159" s="1">
        <v>86</v>
      </c>
      <c r="C159" s="20">
        <v>4.83971456263922e-6</v>
      </c>
    </row>
    <row r="160" spans="1:3">
      <c r="A160" s="1" t="s">
        <v>489</v>
      </c>
      <c r="B160" s="1">
        <v>3545</v>
      </c>
      <c r="C160" s="20">
        <v>0.000199497536332047</v>
      </c>
    </row>
    <row r="161" spans="1:3">
      <c r="A161" s="1" t="s">
        <v>1453</v>
      </c>
      <c r="B161" s="1">
        <v>7528</v>
      </c>
      <c r="C161" s="20">
        <v>0.000423643851483116</v>
      </c>
    </row>
    <row r="162" spans="1:3">
      <c r="A162" s="1" t="s">
        <v>674</v>
      </c>
      <c r="B162" s="1">
        <v>1521</v>
      </c>
      <c r="C162" s="20">
        <v>8.55954168578401e-5</v>
      </c>
    </row>
    <row r="163" spans="1:3">
      <c r="A163" s="1" t="s">
        <v>253</v>
      </c>
      <c r="B163" s="1">
        <v>15725</v>
      </c>
      <c r="C163" s="20">
        <v>0.000884936180203508</v>
      </c>
    </row>
    <row r="164" spans="1:3">
      <c r="A164" s="1" t="s">
        <v>580</v>
      </c>
      <c r="B164" s="1">
        <v>2427</v>
      </c>
      <c r="C164" s="20">
        <v>0.000136581247017737</v>
      </c>
    </row>
    <row r="165" spans="1:3">
      <c r="A165" s="1" t="s">
        <v>165</v>
      </c>
      <c r="B165" s="1">
        <v>32086</v>
      </c>
      <c r="C165" s="20">
        <v>0.00180566373787025</v>
      </c>
    </row>
    <row r="166" spans="1:3">
      <c r="A166" s="1" t="s">
        <v>277</v>
      </c>
      <c r="B166" s="1">
        <v>13623</v>
      </c>
      <c r="C166" s="20">
        <v>0.000766644552172489</v>
      </c>
    </row>
    <row r="167" spans="1:3">
      <c r="A167" s="1" t="s">
        <v>1166</v>
      </c>
      <c r="B167" s="1">
        <v>172</v>
      </c>
      <c r="C167" s="20">
        <v>9.67942912527843e-6</v>
      </c>
    </row>
    <row r="168" spans="1:3">
      <c r="A168" s="1" t="s">
        <v>1294</v>
      </c>
      <c r="B168" s="1">
        <v>68</v>
      </c>
      <c r="C168" s="20">
        <v>3.82675104952868e-6</v>
      </c>
    </row>
    <row r="169" spans="1:3">
      <c r="A169" s="1" t="s">
        <v>1160</v>
      </c>
      <c r="B169" s="1">
        <v>180</v>
      </c>
      <c r="C169" s="20">
        <v>1.01296351311053e-5</v>
      </c>
    </row>
    <row r="170" spans="1:3">
      <c r="A170" s="1" t="s">
        <v>1385</v>
      </c>
      <c r="B170" s="1">
        <v>25</v>
      </c>
      <c r="C170" s="20">
        <v>1.40689376820907e-6</v>
      </c>
    </row>
    <row r="171" spans="1:3">
      <c r="A171" s="1" t="s">
        <v>1185</v>
      </c>
      <c r="B171" s="1">
        <v>154</v>
      </c>
      <c r="C171" s="20">
        <v>8.6664656121679e-6</v>
      </c>
    </row>
    <row r="172" spans="1:3">
      <c r="A172" s="1" t="s">
        <v>948</v>
      </c>
      <c r="B172" s="1">
        <v>473</v>
      </c>
      <c r="C172" s="20">
        <v>2.66184300945157e-5</v>
      </c>
    </row>
    <row r="173" spans="1:3">
      <c r="A173" s="1" t="s">
        <v>80</v>
      </c>
      <c r="B173" s="1">
        <v>134487</v>
      </c>
      <c r="C173" s="20">
        <v>0.00756835688820535</v>
      </c>
    </row>
    <row r="174" spans="1:3">
      <c r="A174" s="1" t="s">
        <v>381</v>
      </c>
      <c r="B174" s="1">
        <v>6415</v>
      </c>
      <c r="C174" s="20">
        <v>0.000361008940922449</v>
      </c>
    </row>
    <row r="175" spans="1:3">
      <c r="A175" s="1" t="s">
        <v>108</v>
      </c>
      <c r="B175" s="1">
        <v>60325</v>
      </c>
      <c r="C175" s="20">
        <v>0.0033948346626885</v>
      </c>
    </row>
    <row r="176" spans="1:3">
      <c r="A176" s="1" t="s">
        <v>115</v>
      </c>
      <c r="B176" s="1">
        <v>25849</v>
      </c>
      <c r="C176" s="20">
        <v>0.00145467188057745</v>
      </c>
    </row>
    <row r="177" spans="1:3">
      <c r="A177" s="1" t="s">
        <v>240</v>
      </c>
      <c r="B177" s="1">
        <v>17837</v>
      </c>
      <c r="C177" s="20">
        <v>0.00100379056574181</v>
      </c>
    </row>
    <row r="178" spans="1:3">
      <c r="A178" s="1" t="s">
        <v>994</v>
      </c>
      <c r="B178" s="1">
        <v>406</v>
      </c>
      <c r="C178" s="20">
        <v>2.28479547957154e-5</v>
      </c>
    </row>
    <row r="179" spans="1:3">
      <c r="A179" s="1" t="s">
        <v>313</v>
      </c>
      <c r="B179" s="1">
        <v>9465</v>
      </c>
      <c r="C179" s="20">
        <v>0.000532649980643956</v>
      </c>
    </row>
    <row r="180" spans="1:3">
      <c r="A180" s="1" t="s">
        <v>346</v>
      </c>
      <c r="B180" s="1">
        <v>7985</v>
      </c>
      <c r="C180" s="20">
        <v>0.000449361869565978</v>
      </c>
    </row>
    <row r="181" spans="1:3">
      <c r="A181" s="1" t="s">
        <v>985</v>
      </c>
      <c r="B181" s="1">
        <v>424</v>
      </c>
      <c r="C181" s="20">
        <v>2.38609183088259e-5</v>
      </c>
    </row>
    <row r="182" spans="1:3">
      <c r="A182" s="1" t="s">
        <v>692</v>
      </c>
      <c r="B182" s="1">
        <v>1388</v>
      </c>
      <c r="C182" s="20">
        <v>7.81107420109678e-5</v>
      </c>
    </row>
    <row r="183" spans="1:3">
      <c r="A183" s="1" t="s">
        <v>400</v>
      </c>
      <c r="B183" s="1">
        <v>5055</v>
      </c>
      <c r="C183" s="20">
        <v>0.000284473919931875</v>
      </c>
    </row>
    <row r="184" spans="1:3">
      <c r="A184" s="1" t="s">
        <v>760</v>
      </c>
      <c r="B184" s="1">
        <v>1099</v>
      </c>
      <c r="C184" s="20">
        <v>6.18470500504709e-5</v>
      </c>
    </row>
    <row r="185" spans="1:3">
      <c r="A185" s="1" t="s">
        <v>1153</v>
      </c>
      <c r="B185" s="1">
        <v>181</v>
      </c>
      <c r="C185" s="20">
        <v>1.01859108818337e-5</v>
      </c>
    </row>
    <row r="186" spans="1:3">
      <c r="A186" s="1" t="s">
        <v>1355</v>
      </c>
      <c r="B186" s="1">
        <v>39</v>
      </c>
      <c r="C186" s="20">
        <v>2.19475427840616e-6</v>
      </c>
    </row>
    <row r="187" spans="1:3">
      <c r="A187" s="1" t="s">
        <v>637</v>
      </c>
      <c r="B187" s="1">
        <v>1790</v>
      </c>
      <c r="C187" s="20">
        <v>0.00010073359380377</v>
      </c>
    </row>
    <row r="188" spans="1:3">
      <c r="A188" s="1" t="s">
        <v>998</v>
      </c>
      <c r="B188" s="1">
        <v>382</v>
      </c>
      <c r="C188" s="20">
        <v>2.14973367782347e-5</v>
      </c>
    </row>
    <row r="189" spans="1:3">
      <c r="A189" s="1" t="s">
        <v>1128</v>
      </c>
      <c r="B189" s="1">
        <v>206</v>
      </c>
      <c r="C189" s="20">
        <v>1.15928046500428e-5</v>
      </c>
    </row>
    <row r="190" spans="1:3">
      <c r="A190" s="1" t="s">
        <v>1373</v>
      </c>
      <c r="B190" s="1">
        <v>28</v>
      </c>
      <c r="C190" s="20">
        <v>1.57572102039416e-6</v>
      </c>
    </row>
    <row r="191" spans="1:3">
      <c r="A191" s="1" t="s">
        <v>1287</v>
      </c>
      <c r="B191" s="1">
        <v>72</v>
      </c>
      <c r="C191" s="20">
        <v>4.05185405244213e-6</v>
      </c>
    </row>
    <row r="192" spans="1:3">
      <c r="A192" s="1" t="s">
        <v>1380</v>
      </c>
      <c r="B192" s="1">
        <v>27</v>
      </c>
      <c r="C192" s="20">
        <v>1.5194452696658e-6</v>
      </c>
    </row>
    <row r="193" spans="1:3">
      <c r="A193" s="1" t="s">
        <v>1274</v>
      </c>
      <c r="B193" s="1">
        <v>69</v>
      </c>
      <c r="C193" s="20">
        <v>3.88302680025705e-6</v>
      </c>
    </row>
    <row r="194" spans="1:3">
      <c r="A194" s="1" t="s">
        <v>321</v>
      </c>
      <c r="B194" s="1">
        <v>9389</v>
      </c>
      <c r="C194" s="20">
        <v>0.0005283730235886</v>
      </c>
    </row>
    <row r="195" spans="1:3">
      <c r="A195" s="1" t="s">
        <v>110</v>
      </c>
      <c r="B195" s="1">
        <v>58455</v>
      </c>
      <c r="C195" s="20">
        <v>0.00328959900882646</v>
      </c>
    </row>
    <row r="196" spans="1:3">
      <c r="A196" s="1" t="s">
        <v>626</v>
      </c>
      <c r="B196" s="1">
        <v>1830</v>
      </c>
      <c r="C196" s="20">
        <v>0.000102984623832904</v>
      </c>
    </row>
    <row r="197" spans="1:3">
      <c r="A197" s="1" t="s">
        <v>257</v>
      </c>
      <c r="B197" s="1">
        <v>14062</v>
      </c>
      <c r="C197" s="20">
        <v>0.00079134960674224</v>
      </c>
    </row>
    <row r="198" spans="1:3">
      <c r="A198" s="1" t="s">
        <v>952</v>
      </c>
      <c r="B198" s="1">
        <v>460</v>
      </c>
      <c r="C198" s="20">
        <v>2.5886845335047e-5</v>
      </c>
    </row>
    <row r="199" spans="1:3">
      <c r="A199" s="1" t="s">
        <v>1198</v>
      </c>
      <c r="B199" s="1">
        <v>139</v>
      </c>
      <c r="C199" s="20">
        <v>7.82232935124245e-6</v>
      </c>
    </row>
    <row r="200" spans="1:3">
      <c r="A200" s="1" t="s">
        <v>934</v>
      </c>
      <c r="B200" s="1">
        <v>531</v>
      </c>
      <c r="C200" s="20">
        <v>2.98824236367607e-5</v>
      </c>
    </row>
    <row r="201" spans="1:3">
      <c r="A201" s="1" t="s">
        <v>1146</v>
      </c>
      <c r="B201" s="1">
        <v>193</v>
      </c>
      <c r="C201" s="20">
        <v>1.08612198905741e-5</v>
      </c>
    </row>
    <row r="202" spans="1:3">
      <c r="A202" s="1" t="s">
        <v>838</v>
      </c>
      <c r="B202" s="1">
        <v>819</v>
      </c>
      <c r="C202" s="20">
        <v>4.60898398465293e-5</v>
      </c>
    </row>
    <row r="203" spans="1:3">
      <c r="A203" s="1" t="s">
        <v>1201</v>
      </c>
      <c r="B203" s="1">
        <v>137</v>
      </c>
      <c r="C203" s="20">
        <v>7.70977784978573e-6</v>
      </c>
    </row>
    <row r="204" spans="1:3">
      <c r="A204" s="1" t="s">
        <v>737</v>
      </c>
      <c r="B204" s="1">
        <v>1201</v>
      </c>
      <c r="C204" s="20">
        <v>6.75871766247639e-5</v>
      </c>
    </row>
    <row r="205" spans="1:3">
      <c r="A205" s="1" t="s">
        <v>353</v>
      </c>
      <c r="B205" s="1">
        <v>7668</v>
      </c>
      <c r="C205" s="20">
        <v>0.000431522456585087</v>
      </c>
    </row>
    <row r="206" spans="1:3">
      <c r="A206" s="1" t="s">
        <v>961</v>
      </c>
      <c r="B206" s="1">
        <v>457</v>
      </c>
      <c r="C206" s="20">
        <v>2.57180180828619e-5</v>
      </c>
    </row>
    <row r="207" spans="1:3">
      <c r="A207" s="1" t="s">
        <v>642</v>
      </c>
      <c r="B207" s="1">
        <v>1772</v>
      </c>
      <c r="C207" s="20">
        <v>9.97206302906592e-5</v>
      </c>
    </row>
    <row r="208" spans="1:3">
      <c r="A208" s="1" t="s">
        <v>1232</v>
      </c>
      <c r="B208" s="1">
        <v>112</v>
      </c>
      <c r="C208" s="20">
        <v>6.30288408157665e-6</v>
      </c>
    </row>
    <row r="209" spans="1:3">
      <c r="A209" s="1" t="s">
        <v>208</v>
      </c>
      <c r="B209" s="1">
        <v>23158</v>
      </c>
      <c r="C209" s="20">
        <v>0.00130323383536743</v>
      </c>
    </row>
    <row r="210" spans="1:3">
      <c r="A210" s="1" t="s">
        <v>408</v>
      </c>
      <c r="B210" s="1">
        <v>5159</v>
      </c>
      <c r="C210" s="20">
        <v>0.000290326598007625</v>
      </c>
    </row>
    <row r="211" spans="1:3">
      <c r="A211" s="1" t="s">
        <v>493</v>
      </c>
      <c r="B211" s="1">
        <v>3475</v>
      </c>
      <c r="C211" s="20">
        <v>0.000195558233781061</v>
      </c>
    </row>
    <row r="212" spans="1:3">
      <c r="A212" s="1" t="s">
        <v>66</v>
      </c>
      <c r="B212" s="1">
        <v>184646</v>
      </c>
      <c r="C212" s="20">
        <v>0.0103910922689893</v>
      </c>
    </row>
    <row r="213" spans="1:3">
      <c r="A213" s="1" t="s">
        <v>639</v>
      </c>
      <c r="B213" s="1">
        <v>1783</v>
      </c>
      <c r="C213" s="20">
        <v>0.000100339663548671</v>
      </c>
    </row>
    <row r="214" spans="1:3">
      <c r="A214" s="1" t="s">
        <v>279</v>
      </c>
      <c r="B214" s="1">
        <v>12604</v>
      </c>
      <c r="C214" s="20">
        <v>0.000709299562180287</v>
      </c>
    </row>
    <row r="215" spans="1:3">
      <c r="A215" s="1" t="s">
        <v>706</v>
      </c>
      <c r="B215" s="1">
        <v>847</v>
      </c>
      <c r="C215" s="20">
        <v>4.76655608669234e-5</v>
      </c>
    </row>
    <row r="216" spans="1:3">
      <c r="A216" s="1" t="s">
        <v>595</v>
      </c>
      <c r="B216" s="1">
        <v>2259</v>
      </c>
      <c r="C216" s="20">
        <v>0.000127126920895372</v>
      </c>
    </row>
    <row r="217" spans="1:3">
      <c r="A217" s="1" t="s">
        <v>1455</v>
      </c>
      <c r="B217" s="1">
        <v>3789</v>
      </c>
      <c r="C217" s="20">
        <v>0.000213228819509767</v>
      </c>
    </row>
    <row r="218" spans="1:3">
      <c r="A218" s="1" t="s">
        <v>145</v>
      </c>
      <c r="B218" s="1">
        <v>37362</v>
      </c>
      <c r="C218" s="20">
        <v>0.0021025745987131</v>
      </c>
    </row>
    <row r="219" spans="1:3">
      <c r="A219" s="1" t="s">
        <v>332</v>
      </c>
      <c r="B219" s="1">
        <v>8791</v>
      </c>
      <c r="C219" s="20">
        <v>0.000494720124653039</v>
      </c>
    </row>
    <row r="220" spans="1:3">
      <c r="A220" s="1" t="s">
        <v>296</v>
      </c>
      <c r="B220" s="1">
        <v>10304</v>
      </c>
      <c r="C220" s="20">
        <v>0.000579865335505052</v>
      </c>
    </row>
    <row r="221" spans="1:3">
      <c r="A221" s="1" t="s">
        <v>1177</v>
      </c>
      <c r="B221" s="1">
        <v>161</v>
      </c>
      <c r="C221" s="20">
        <v>9.06039586726644e-6</v>
      </c>
    </row>
    <row r="222" spans="1:3">
      <c r="A222" s="1" t="s">
        <v>1316</v>
      </c>
      <c r="B222" s="1">
        <v>57</v>
      </c>
      <c r="C222" s="20">
        <v>3.20771779151669e-6</v>
      </c>
    </row>
    <row r="223" spans="1:3">
      <c r="A223" s="1" t="s">
        <v>1136</v>
      </c>
      <c r="B223" s="1">
        <v>198</v>
      </c>
      <c r="C223" s="20">
        <v>1.11425986442159e-5</v>
      </c>
    </row>
    <row r="224" spans="1:3">
      <c r="A224" s="1" t="s">
        <v>1325</v>
      </c>
      <c r="B224" s="1">
        <v>50</v>
      </c>
      <c r="C224" s="20">
        <v>2.81378753641815e-6</v>
      </c>
    </row>
    <row r="225" spans="1:3">
      <c r="A225" s="1" t="s">
        <v>521</v>
      </c>
      <c r="B225" s="1">
        <v>3032</v>
      </c>
      <c r="C225" s="20">
        <v>0.000170628076208397</v>
      </c>
    </row>
    <row r="226" spans="1:3">
      <c r="A226" s="1" t="s">
        <v>1110</v>
      </c>
      <c r="B226" s="1">
        <v>140</v>
      </c>
      <c r="C226" s="20">
        <v>7.87860510197082e-6</v>
      </c>
    </row>
    <row r="227" spans="1:3">
      <c r="A227" s="1" t="s">
        <v>176</v>
      </c>
      <c r="B227" s="1">
        <v>30336</v>
      </c>
      <c r="C227" s="20">
        <v>0.00170718117409562</v>
      </c>
    </row>
    <row r="228" spans="1:3">
      <c r="A228" s="1" t="s">
        <v>1344</v>
      </c>
      <c r="B228" s="1">
        <v>44</v>
      </c>
      <c r="C228" s="20">
        <v>2.47613303204797e-6</v>
      </c>
    </row>
    <row r="229" spans="1:3">
      <c r="A229" s="1" t="s">
        <v>1006</v>
      </c>
      <c r="B229" s="1">
        <v>371</v>
      </c>
      <c r="C229" s="20">
        <v>2.08783035202227e-5</v>
      </c>
    </row>
    <row r="230" spans="1:3">
      <c r="A230" s="1" t="s">
        <v>1082</v>
      </c>
      <c r="B230" s="1">
        <v>256</v>
      </c>
      <c r="C230" s="20">
        <v>1.44065921864609e-5</v>
      </c>
    </row>
    <row r="231" spans="1:3">
      <c r="A231" s="1" t="s">
        <v>1278</v>
      </c>
      <c r="B231" s="1">
        <v>77</v>
      </c>
      <c r="C231" s="20">
        <v>4.33323280608395e-6</v>
      </c>
    </row>
    <row r="232" spans="1:3">
      <c r="A232" s="1" t="s">
        <v>759</v>
      </c>
      <c r="B232" s="1">
        <v>1100</v>
      </c>
      <c r="C232" s="20">
        <v>6.19033258011993e-5</v>
      </c>
    </row>
    <row r="233" spans="1:3">
      <c r="A233" s="1" t="s">
        <v>1173</v>
      </c>
      <c r="B233" s="1">
        <v>136</v>
      </c>
      <c r="C233" s="20">
        <v>7.65350209905737e-6</v>
      </c>
    </row>
    <row r="234" spans="1:3">
      <c r="A234" s="1" t="s">
        <v>1457</v>
      </c>
      <c r="B234" s="1">
        <v>0</v>
      </c>
      <c r="C234" s="20">
        <v>0</v>
      </c>
    </row>
    <row r="235" spans="1:3">
      <c r="A235" s="1" t="s">
        <v>1226</v>
      </c>
      <c r="B235" s="1">
        <v>115</v>
      </c>
      <c r="C235" s="20">
        <v>6.47171133376174e-6</v>
      </c>
    </row>
    <row r="236" spans="1:3">
      <c r="A236" s="1" t="s">
        <v>577</v>
      </c>
      <c r="B236" s="1">
        <v>2484</v>
      </c>
      <c r="C236" s="20">
        <v>0.000139788964809254</v>
      </c>
    </row>
    <row r="237" spans="1:3">
      <c r="A237" s="1" t="s">
        <v>290</v>
      </c>
      <c r="B237" s="1">
        <v>10149</v>
      </c>
      <c r="C237" s="20">
        <v>0.000571142594142156</v>
      </c>
    </row>
    <row r="238" spans="1:3">
      <c r="A238" s="1" t="s">
        <v>800</v>
      </c>
      <c r="B238" s="1">
        <v>521</v>
      </c>
      <c r="C238" s="20">
        <v>2.93196661294771e-5</v>
      </c>
    </row>
    <row r="239" spans="1:3">
      <c r="A239" s="1" t="s">
        <v>503</v>
      </c>
      <c r="B239" s="1">
        <v>1408</v>
      </c>
      <c r="C239" s="20">
        <v>7.92362570255351e-5</v>
      </c>
    </row>
    <row r="240" spans="1:3">
      <c r="A240" s="1" t="s">
        <v>1156</v>
      </c>
      <c r="B240" s="1">
        <v>177</v>
      </c>
      <c r="C240" s="20">
        <v>9.96080787892025e-6</v>
      </c>
    </row>
    <row r="241" spans="1:3">
      <c r="A241" s="1" t="s">
        <v>330</v>
      </c>
      <c r="B241" s="1">
        <v>3565</v>
      </c>
      <c r="C241" s="20">
        <v>0.000200623051346614</v>
      </c>
    </row>
    <row r="242" spans="1:3">
      <c r="A242" s="1" t="s">
        <v>767</v>
      </c>
      <c r="B242" s="1">
        <v>1052</v>
      </c>
      <c r="C242" s="20">
        <v>5.92020897662379e-5</v>
      </c>
    </row>
    <row r="243" spans="1:3">
      <c r="A243" s="1" t="s">
        <v>794</v>
      </c>
      <c r="B243" s="1">
        <v>961</v>
      </c>
      <c r="C243" s="20">
        <v>5.40809964499568e-5</v>
      </c>
    </row>
    <row r="244" spans="1:3">
      <c r="A244" s="1" t="s">
        <v>1204</v>
      </c>
      <c r="B244" s="1">
        <v>97</v>
      </c>
      <c r="C244" s="20">
        <v>5.45874782065121e-6</v>
      </c>
    </row>
    <row r="245" spans="1:3">
      <c r="A245" s="1" t="s">
        <v>943</v>
      </c>
      <c r="B245" s="1">
        <v>432</v>
      </c>
      <c r="C245" s="20">
        <v>2.43111243146528e-5</v>
      </c>
    </row>
    <row r="246" spans="1:3">
      <c r="A246" s="1" t="s">
        <v>284</v>
      </c>
      <c r="B246" s="1">
        <v>9108</v>
      </c>
      <c r="C246" s="20">
        <v>0.00051255953763393</v>
      </c>
    </row>
    <row r="247" spans="1:3">
      <c r="A247" s="1" t="s">
        <v>605</v>
      </c>
      <c r="B247" s="1">
        <v>1707</v>
      </c>
      <c r="C247" s="20">
        <v>9.60627064933156e-5</v>
      </c>
    </row>
    <row r="248" spans="1:3">
      <c r="A248" s="1" t="s">
        <v>1078</v>
      </c>
      <c r="B248" s="1">
        <v>241</v>
      </c>
      <c r="C248" s="20">
        <v>1.35624559255355e-5</v>
      </c>
    </row>
    <row r="249" spans="1:3">
      <c r="A249" s="1" t="s">
        <v>243</v>
      </c>
      <c r="B249" s="1">
        <v>11351</v>
      </c>
      <c r="C249" s="20">
        <v>0.000638786046517648</v>
      </c>
    </row>
    <row r="250" spans="1:3">
      <c r="A250" s="1" t="s">
        <v>1376</v>
      </c>
      <c r="B250" s="1">
        <v>28</v>
      </c>
      <c r="C250" s="20">
        <v>1.57572102039416e-6</v>
      </c>
    </row>
    <row r="251" spans="1:3">
      <c r="A251" s="1" t="s">
        <v>1458</v>
      </c>
      <c r="B251" s="1">
        <v>225</v>
      </c>
      <c r="C251" s="20">
        <v>1.26620439138817e-5</v>
      </c>
    </row>
    <row r="252" spans="1:3">
      <c r="A252" s="1" t="s">
        <v>954</v>
      </c>
      <c r="B252" s="1">
        <v>402</v>
      </c>
      <c r="C252" s="20">
        <v>2.26228517928019e-5</v>
      </c>
    </row>
    <row r="253" spans="1:3">
      <c r="A253" s="1" t="s">
        <v>423</v>
      </c>
      <c r="B253" s="1">
        <v>2936</v>
      </c>
      <c r="C253" s="20">
        <v>0.000165225604138474</v>
      </c>
    </row>
    <row r="254" spans="1:3">
      <c r="A254" s="1" t="s">
        <v>1224</v>
      </c>
      <c r="B254" s="1">
        <v>116</v>
      </c>
      <c r="C254" s="20">
        <v>6.52798708449011e-6</v>
      </c>
    </row>
    <row r="255" spans="1:3">
      <c r="A255" s="1" t="s">
        <v>545</v>
      </c>
      <c r="B255" s="1">
        <v>1403</v>
      </c>
      <c r="C255" s="20">
        <v>7.89548782718933e-5</v>
      </c>
    </row>
    <row r="256" spans="1:3">
      <c r="A256" s="1" t="s">
        <v>1379</v>
      </c>
      <c r="B256" s="1">
        <v>24</v>
      </c>
      <c r="C256" s="20">
        <v>1.35061801748071e-6</v>
      </c>
    </row>
    <row r="257" spans="1:3">
      <c r="A257" s="1" t="s">
        <v>743</v>
      </c>
      <c r="B257" s="1">
        <v>840</v>
      </c>
      <c r="C257" s="20">
        <v>4.72716306118249e-5</v>
      </c>
    </row>
    <row r="258" spans="1:3">
      <c r="A258" s="1" t="s">
        <v>684</v>
      </c>
      <c r="B258" s="1">
        <v>1159</v>
      </c>
      <c r="C258" s="20">
        <v>6.52235950941727e-5</v>
      </c>
    </row>
    <row r="259" spans="1:3">
      <c r="A259" s="1" t="s">
        <v>752</v>
      </c>
      <c r="B259" s="1">
        <v>845</v>
      </c>
      <c r="C259" s="20">
        <v>4.75530093654667e-5</v>
      </c>
    </row>
    <row r="260" spans="1:3">
      <c r="A260" s="1" t="s">
        <v>44</v>
      </c>
      <c r="B260" s="1">
        <v>229898</v>
      </c>
      <c r="C260" s="20">
        <v>0.0129376825409492</v>
      </c>
    </row>
    <row r="261" spans="1:3">
      <c r="A261" s="1" t="s">
        <v>554</v>
      </c>
      <c r="B261" s="1">
        <v>2729</v>
      </c>
      <c r="C261" s="20">
        <v>0.000153576523737703</v>
      </c>
    </row>
    <row r="262" spans="1:3">
      <c r="A262" s="1" t="s">
        <v>415</v>
      </c>
      <c r="B262" s="1">
        <v>3726</v>
      </c>
      <c r="C262" s="20">
        <v>0.00020968344721388</v>
      </c>
    </row>
    <row r="263" spans="1:3">
      <c r="A263" s="1" t="s">
        <v>215</v>
      </c>
      <c r="B263" s="1">
        <v>14071</v>
      </c>
      <c r="C263" s="20">
        <v>0.000791856088498795</v>
      </c>
    </row>
    <row r="264" spans="1:3">
      <c r="A264" s="1" t="s">
        <v>123</v>
      </c>
      <c r="B264" s="1">
        <v>22483</v>
      </c>
      <c r="C264" s="20">
        <v>0.00126524770362578</v>
      </c>
    </row>
    <row r="265" spans="1:3">
      <c r="A265" s="1" t="s">
        <v>560</v>
      </c>
      <c r="B265" s="1">
        <v>2587</v>
      </c>
      <c r="C265" s="20">
        <v>0.000145585367134275</v>
      </c>
    </row>
    <row r="266" spans="1:3">
      <c r="A266" s="1" t="s">
        <v>386</v>
      </c>
      <c r="B266" s="1">
        <v>4369</v>
      </c>
      <c r="C266" s="20">
        <v>0.000245868754932218</v>
      </c>
    </row>
    <row r="267" spans="1:3">
      <c r="A267" s="1" t="s">
        <v>956</v>
      </c>
      <c r="B267" s="1">
        <v>440</v>
      </c>
      <c r="C267" s="20">
        <v>2.47613303204797e-5</v>
      </c>
    </row>
    <row r="268" spans="1:3">
      <c r="A268" s="1" t="s">
        <v>1425</v>
      </c>
      <c r="B268" s="1">
        <v>10</v>
      </c>
      <c r="C268" s="20">
        <v>5.6275750728363e-7</v>
      </c>
    </row>
    <row r="269" spans="1:3">
      <c r="A269" s="1" t="s">
        <v>611</v>
      </c>
      <c r="B269" s="1">
        <v>1495</v>
      </c>
      <c r="C269" s="20">
        <v>8.41322473389026e-5</v>
      </c>
    </row>
    <row r="270" spans="1:3">
      <c r="A270" s="1" t="s">
        <v>206</v>
      </c>
      <c r="B270" s="1">
        <v>15333</v>
      </c>
      <c r="C270" s="20">
        <v>0.00086287608591799</v>
      </c>
    </row>
    <row r="271" spans="1:3">
      <c r="A271" s="1" t="s">
        <v>1117</v>
      </c>
      <c r="B271" s="1">
        <v>220</v>
      </c>
      <c r="C271" s="20">
        <v>1.23806651602399e-5</v>
      </c>
    </row>
    <row r="272" spans="1:3">
      <c r="A272" s="1" t="s">
        <v>283</v>
      </c>
      <c r="B272" s="1">
        <v>7656</v>
      </c>
      <c r="C272" s="20">
        <v>0.000430847147576347</v>
      </c>
    </row>
    <row r="273" spans="1:3">
      <c r="A273" s="1" t="s">
        <v>1115</v>
      </c>
      <c r="B273" s="1">
        <v>224</v>
      </c>
      <c r="C273" s="20">
        <v>1.26057681631533e-5</v>
      </c>
    </row>
    <row r="274" spans="1:3">
      <c r="A274" s="1" t="s">
        <v>89</v>
      </c>
      <c r="B274" s="1">
        <v>88022</v>
      </c>
      <c r="C274" s="20">
        <v>0.00495350413061197</v>
      </c>
    </row>
    <row r="275" spans="1:3">
      <c r="A275" s="1" t="s">
        <v>1089</v>
      </c>
      <c r="B275" s="1">
        <v>235</v>
      </c>
      <c r="C275" s="20">
        <v>1.32248014211653e-5</v>
      </c>
    </row>
    <row r="276" spans="1:3">
      <c r="A276" s="1" t="s">
        <v>1206</v>
      </c>
      <c r="B276" s="1">
        <v>61</v>
      </c>
      <c r="C276" s="20">
        <v>3.43282079443014e-6</v>
      </c>
    </row>
    <row r="277" spans="1:3">
      <c r="A277" s="1" t="s">
        <v>773</v>
      </c>
      <c r="B277" s="1">
        <v>768</v>
      </c>
      <c r="C277" s="20">
        <v>4.32197765593828e-5</v>
      </c>
    </row>
    <row r="278" spans="1:3">
      <c r="A278" s="1" t="s">
        <v>552</v>
      </c>
      <c r="B278" s="1">
        <v>2260</v>
      </c>
      <c r="C278" s="20">
        <v>0.0001271831966461</v>
      </c>
    </row>
    <row r="279" spans="1:3">
      <c r="A279" s="1" t="s">
        <v>765</v>
      </c>
      <c r="B279" s="1">
        <v>953</v>
      </c>
      <c r="C279" s="20">
        <v>5.36307904441299e-5</v>
      </c>
    </row>
    <row r="280" spans="1:3">
      <c r="A280" s="1" t="s">
        <v>507</v>
      </c>
      <c r="B280" s="1">
        <v>2757</v>
      </c>
      <c r="C280" s="20">
        <v>0.000155152244758097</v>
      </c>
    </row>
    <row r="281" spans="1:3">
      <c r="A281" s="1" t="s">
        <v>1312</v>
      </c>
      <c r="B281" s="1">
        <v>24</v>
      </c>
      <c r="C281" s="20">
        <v>1.35061801748071e-6</v>
      </c>
    </row>
    <row r="282" spans="1:3">
      <c r="A282" s="1" t="s">
        <v>836</v>
      </c>
      <c r="B282" s="1">
        <v>830</v>
      </c>
      <c r="C282" s="20">
        <v>4.67088731045413e-5</v>
      </c>
    </row>
    <row r="283" spans="1:3">
      <c r="A283" s="1" t="s">
        <v>1304</v>
      </c>
      <c r="B283" s="1">
        <v>61</v>
      </c>
      <c r="C283" s="20">
        <v>3.43282079443014e-6</v>
      </c>
    </row>
    <row r="284" spans="1:3">
      <c r="A284" s="1" t="s">
        <v>565</v>
      </c>
      <c r="B284" s="1">
        <v>538</v>
      </c>
      <c r="C284" s="20">
        <v>3.02763538918593e-5</v>
      </c>
    </row>
    <row r="285" spans="1:3">
      <c r="A285" s="1" t="s">
        <v>1077</v>
      </c>
      <c r="B285" s="1">
        <v>194</v>
      </c>
      <c r="C285" s="20">
        <v>1.09174956413024e-5</v>
      </c>
    </row>
    <row r="286" spans="1:3">
      <c r="A286" s="1" t="s">
        <v>1095</v>
      </c>
      <c r="B286" s="1">
        <v>184</v>
      </c>
      <c r="C286" s="20">
        <v>1.03547381340188e-5</v>
      </c>
    </row>
    <row r="287" spans="1:3">
      <c r="A287" s="1" t="s">
        <v>645</v>
      </c>
      <c r="B287" s="1">
        <v>1615</v>
      </c>
      <c r="C287" s="20">
        <v>9.08853374263062e-5</v>
      </c>
    </row>
    <row r="288" spans="1:3">
      <c r="A288" s="1" t="s">
        <v>1257</v>
      </c>
      <c r="B288" s="1">
        <v>86</v>
      </c>
      <c r="C288" s="20">
        <v>4.83971456263922e-6</v>
      </c>
    </row>
    <row r="289" spans="1:3">
      <c r="A289" s="1" t="s">
        <v>465</v>
      </c>
      <c r="B289" s="1">
        <v>3550</v>
      </c>
      <c r="C289" s="20">
        <v>0.000199778915085689</v>
      </c>
    </row>
    <row r="290" spans="1:3">
      <c r="A290" s="1" t="s">
        <v>475</v>
      </c>
      <c r="B290" s="1">
        <v>2819</v>
      </c>
      <c r="C290" s="20">
        <v>0.000158641341303255</v>
      </c>
    </row>
    <row r="291" spans="1:3">
      <c r="A291" s="1" t="s">
        <v>1162</v>
      </c>
      <c r="B291" s="1">
        <v>145</v>
      </c>
      <c r="C291" s="20">
        <v>8.15998385561263e-6</v>
      </c>
    </row>
    <row r="292" spans="1:3">
      <c r="A292" s="1" t="s">
        <v>1155</v>
      </c>
      <c r="B292" s="1">
        <v>174</v>
      </c>
      <c r="C292" s="20">
        <v>9.79198062673516e-6</v>
      </c>
    </row>
    <row r="293" spans="1:3">
      <c r="A293" s="1" t="s">
        <v>1113</v>
      </c>
      <c r="B293" s="1">
        <v>227</v>
      </c>
      <c r="C293" s="20">
        <v>1.27745954153384e-5</v>
      </c>
    </row>
    <row r="294" spans="1:3">
      <c r="A294" s="1" t="s">
        <v>1460</v>
      </c>
      <c r="B294" s="1">
        <v>1126</v>
      </c>
      <c r="C294" s="20">
        <v>6.33664953201367e-5</v>
      </c>
    </row>
    <row r="295" spans="1:3">
      <c r="A295" s="1" t="s">
        <v>1277</v>
      </c>
      <c r="B295" s="1">
        <v>61</v>
      </c>
      <c r="C295" s="20">
        <v>3.43282079443014e-6</v>
      </c>
    </row>
    <row r="296" spans="1:3">
      <c r="A296" s="1" t="s">
        <v>1056</v>
      </c>
      <c r="B296" s="1">
        <v>60</v>
      </c>
      <c r="C296" s="20">
        <v>3.37654504370178e-6</v>
      </c>
    </row>
    <row r="297" spans="1:3">
      <c r="A297" s="1" t="s">
        <v>294</v>
      </c>
      <c r="B297" s="1">
        <v>4493</v>
      </c>
      <c r="C297" s="20">
        <v>0.000252846948022535</v>
      </c>
    </row>
    <row r="298" spans="1:3">
      <c r="A298" s="1" t="s">
        <v>718</v>
      </c>
      <c r="B298" s="1">
        <v>509</v>
      </c>
      <c r="C298" s="20">
        <v>2.86443571207368e-5</v>
      </c>
    </row>
    <row r="299" spans="1:3">
      <c r="A299" s="1" t="s">
        <v>530</v>
      </c>
      <c r="B299" s="1">
        <v>2202</v>
      </c>
      <c r="C299" s="20">
        <v>0.000123919203103855</v>
      </c>
    </row>
    <row r="300" spans="1:3">
      <c r="A300" s="1" t="s">
        <v>872</v>
      </c>
      <c r="B300" s="1">
        <v>278</v>
      </c>
      <c r="C300" s="20">
        <v>1.56446587024849e-5</v>
      </c>
    </row>
    <row r="301" spans="1:3">
      <c r="A301" s="1" t="s">
        <v>377</v>
      </c>
      <c r="B301" s="1">
        <v>6515</v>
      </c>
      <c r="C301" s="20">
        <v>0.000366636515995285</v>
      </c>
    </row>
    <row r="302" spans="1:3">
      <c r="A302" s="1" t="s">
        <v>384</v>
      </c>
      <c r="B302" s="1">
        <v>2476</v>
      </c>
      <c r="C302" s="20">
        <v>0.000139338758803427</v>
      </c>
    </row>
    <row r="303" spans="1:3">
      <c r="A303" s="1" t="s">
        <v>640</v>
      </c>
      <c r="B303" s="1">
        <v>1296</v>
      </c>
      <c r="C303" s="20">
        <v>7.29333729439584e-5</v>
      </c>
    </row>
    <row r="304" spans="1:3">
      <c r="A304" s="1" t="s">
        <v>1329</v>
      </c>
      <c r="B304" s="1">
        <v>50</v>
      </c>
      <c r="C304" s="20">
        <v>2.81378753641815e-6</v>
      </c>
    </row>
    <row r="305" spans="1:3">
      <c r="A305" s="1" t="s">
        <v>512</v>
      </c>
      <c r="B305" s="1">
        <v>3170</v>
      </c>
      <c r="C305" s="20">
        <v>0.000178394129808911</v>
      </c>
    </row>
    <row r="306" spans="1:3">
      <c r="A306" s="1" t="s">
        <v>1412</v>
      </c>
      <c r="B306" s="1">
        <v>17</v>
      </c>
      <c r="C306" s="20">
        <v>9.56687762382171e-7</v>
      </c>
    </row>
    <row r="307" spans="1:3">
      <c r="A307" s="1" t="s">
        <v>839</v>
      </c>
      <c r="B307" s="1">
        <v>805</v>
      </c>
      <c r="C307" s="20">
        <v>4.53019793363322e-5</v>
      </c>
    </row>
    <row r="308" spans="1:3">
      <c r="A308" s="1" t="s">
        <v>719</v>
      </c>
      <c r="B308" s="1">
        <v>1230</v>
      </c>
      <c r="C308" s="20">
        <v>6.92191733958865e-5</v>
      </c>
    </row>
    <row r="309" spans="1:3">
      <c r="A309" s="1" t="s">
        <v>930</v>
      </c>
      <c r="B309" s="1">
        <v>546</v>
      </c>
      <c r="C309" s="20">
        <v>3.07265598976862e-5</v>
      </c>
    </row>
    <row r="310" spans="1:3">
      <c r="A310" s="1" t="s">
        <v>146</v>
      </c>
      <c r="B310" s="1">
        <v>36357</v>
      </c>
      <c r="C310" s="20">
        <v>0.00204601746923109</v>
      </c>
    </row>
    <row r="311" spans="1:3">
      <c r="A311" s="1" t="s">
        <v>842</v>
      </c>
      <c r="B311" s="1">
        <v>798</v>
      </c>
      <c r="C311" s="20">
        <v>4.49080490812337e-5</v>
      </c>
    </row>
    <row r="312" spans="1:3">
      <c r="A312" s="1" t="s">
        <v>499</v>
      </c>
      <c r="B312" s="1">
        <v>3353</v>
      </c>
      <c r="C312" s="20">
        <v>0.000188692592192201</v>
      </c>
    </row>
    <row r="313" spans="1:3">
      <c r="A313" s="1" t="s">
        <v>352</v>
      </c>
      <c r="B313" s="1">
        <v>7749</v>
      </c>
      <c r="C313" s="20">
        <v>0.000436080792394085</v>
      </c>
    </row>
    <row r="314" spans="1:3">
      <c r="A314" s="1" t="s">
        <v>827</v>
      </c>
      <c r="B314" s="1">
        <v>739</v>
      </c>
      <c r="C314" s="20">
        <v>4.15877797882602e-5</v>
      </c>
    </row>
    <row r="315" spans="1:3">
      <c r="A315" s="1" t="s">
        <v>898</v>
      </c>
      <c r="B315" s="1">
        <v>558</v>
      </c>
      <c r="C315" s="20">
        <v>3.14018689064265e-5</v>
      </c>
    </row>
    <row r="316" spans="1:3">
      <c r="A316" s="1" t="s">
        <v>968</v>
      </c>
      <c r="B316" s="1">
        <v>431</v>
      </c>
      <c r="C316" s="20">
        <v>2.42548485639244e-5</v>
      </c>
    </row>
    <row r="317" spans="1:3">
      <c r="A317" s="1" t="s">
        <v>397</v>
      </c>
      <c r="B317" s="1">
        <v>5593</v>
      </c>
      <c r="C317" s="20">
        <v>0.000314750273823734</v>
      </c>
    </row>
    <row r="318" spans="1:3">
      <c r="A318" s="1" t="s">
        <v>1461</v>
      </c>
      <c r="B318" s="1">
        <v>26513</v>
      </c>
      <c r="C318" s="20">
        <v>0.00149203897906109</v>
      </c>
    </row>
    <row r="319" spans="1:3">
      <c r="A319" s="1" t="s">
        <v>1032</v>
      </c>
      <c r="B319" s="1">
        <v>329</v>
      </c>
      <c r="C319" s="20">
        <v>1.85147219896314e-5</v>
      </c>
    </row>
    <row r="320" spans="1:3">
      <c r="A320" s="1" t="s">
        <v>726</v>
      </c>
      <c r="B320" s="1">
        <v>1237</v>
      </c>
      <c r="C320" s="20">
        <v>6.9613103650985e-5</v>
      </c>
    </row>
    <row r="321" spans="1:3">
      <c r="A321" s="1" t="s">
        <v>835</v>
      </c>
      <c r="B321" s="1">
        <v>829</v>
      </c>
      <c r="C321" s="20">
        <v>4.66525973538129e-5</v>
      </c>
    </row>
    <row r="322" spans="1:3">
      <c r="A322" s="1" t="s">
        <v>656</v>
      </c>
      <c r="B322" s="1">
        <v>1685</v>
      </c>
      <c r="C322" s="20">
        <v>9.48246399772916e-5</v>
      </c>
    </row>
    <row r="323" spans="1:3">
      <c r="A323" s="1" t="s">
        <v>1172</v>
      </c>
      <c r="B323" s="1">
        <v>160</v>
      </c>
      <c r="C323" s="20">
        <v>9.00412011653808e-6</v>
      </c>
    </row>
    <row r="324" spans="1:3">
      <c r="A324" s="1" t="s">
        <v>1362</v>
      </c>
      <c r="B324" s="1">
        <v>36</v>
      </c>
      <c r="C324" s="20">
        <v>2.02592702622107e-6</v>
      </c>
    </row>
    <row r="325" spans="1:3">
      <c r="A325" s="1" t="s">
        <v>301</v>
      </c>
      <c r="B325" s="1">
        <v>10178</v>
      </c>
      <c r="C325" s="20">
        <v>0.000572774590913278</v>
      </c>
    </row>
    <row r="326" spans="1:3">
      <c r="A326" s="1" t="s">
        <v>523</v>
      </c>
      <c r="B326" s="1">
        <v>3026</v>
      </c>
      <c r="C326" s="20">
        <v>0.000170290421704026</v>
      </c>
    </row>
    <row r="327" spans="1:3">
      <c r="A327" s="1" t="s">
        <v>1052</v>
      </c>
      <c r="B327" s="1">
        <v>300</v>
      </c>
      <c r="C327" s="20">
        <v>1.68827252185089e-5</v>
      </c>
    </row>
    <row r="328" spans="1:3">
      <c r="A328" s="1" t="s">
        <v>1075</v>
      </c>
      <c r="B328" s="1">
        <v>273</v>
      </c>
      <c r="C328" s="20">
        <v>1.53632799488431e-5</v>
      </c>
    </row>
    <row r="329" spans="1:3">
      <c r="A329" s="1" t="s">
        <v>806</v>
      </c>
      <c r="B329" s="1">
        <v>844</v>
      </c>
      <c r="C329" s="20">
        <v>4.74967336147384e-5</v>
      </c>
    </row>
    <row r="330" spans="1:3">
      <c r="A330" s="1" t="s">
        <v>461</v>
      </c>
      <c r="B330" s="1">
        <v>3790</v>
      </c>
      <c r="C330" s="20">
        <v>0.000213285095260496</v>
      </c>
    </row>
    <row r="331" spans="1:3">
      <c r="A331" s="1" t="s">
        <v>650</v>
      </c>
      <c r="B331" s="1">
        <v>1762</v>
      </c>
      <c r="C331" s="20">
        <v>9.91578727833756e-5</v>
      </c>
    </row>
    <row r="332" spans="1:3">
      <c r="A332" s="1" t="s">
        <v>205</v>
      </c>
      <c r="B332" s="1">
        <v>23269</v>
      </c>
      <c r="C332" s="20">
        <v>0.00261896088739656</v>
      </c>
    </row>
    <row r="333" spans="1:3">
      <c r="A333" s="1" t="s">
        <v>418</v>
      </c>
      <c r="B333" s="1">
        <v>4794</v>
      </c>
      <c r="C333" s="20">
        <v>0.000269785948991772</v>
      </c>
    </row>
    <row r="334" spans="1:3">
      <c r="A334" s="1" t="s">
        <v>912</v>
      </c>
      <c r="B334" s="1">
        <v>527</v>
      </c>
      <c r="C334" s="20">
        <v>2.96573206338473e-5</v>
      </c>
    </row>
    <row r="335" spans="1:3">
      <c r="A335" s="1" t="s">
        <v>987</v>
      </c>
      <c r="B335" s="1">
        <v>423</v>
      </c>
      <c r="C335" s="20">
        <v>2.38046425580975e-5</v>
      </c>
    </row>
    <row r="336" spans="1:3">
      <c r="A336" s="1" t="s">
        <v>971</v>
      </c>
      <c r="B336" s="1">
        <v>435</v>
      </c>
      <c r="C336" s="20">
        <v>2.44799515668379e-5</v>
      </c>
    </row>
    <row r="337" spans="1:3">
      <c r="A337" s="1" t="s">
        <v>539</v>
      </c>
      <c r="B337" s="1">
        <v>2829</v>
      </c>
      <c r="C337" s="20">
        <v>0.000159204098810539</v>
      </c>
    </row>
    <row r="338" spans="1:3">
      <c r="A338" s="1" t="s">
        <v>739</v>
      </c>
      <c r="B338" s="1">
        <v>999</v>
      </c>
      <c r="C338" s="20">
        <v>5.62194749776346e-5</v>
      </c>
    </row>
    <row r="339" spans="1:3">
      <c r="A339" s="1" t="s">
        <v>1429</v>
      </c>
      <c r="B339" s="1">
        <v>5</v>
      </c>
      <c r="C339" s="20">
        <v>2.81378753641815e-7</v>
      </c>
    </row>
    <row r="340" spans="1:3">
      <c r="A340" s="1" t="s">
        <v>1012</v>
      </c>
      <c r="B340" s="1">
        <v>355</v>
      </c>
      <c r="C340" s="20">
        <v>1.99778915085689e-5</v>
      </c>
    </row>
    <row r="341" spans="1:3">
      <c r="A341" s="1" t="s">
        <v>1069</v>
      </c>
      <c r="B341" s="1">
        <v>274</v>
      </c>
      <c r="C341" s="20">
        <v>1.54195556995715e-5</v>
      </c>
    </row>
    <row r="342" spans="1:3">
      <c r="A342" s="1" t="s">
        <v>1121</v>
      </c>
      <c r="B342" s="1">
        <v>219</v>
      </c>
      <c r="C342" s="20">
        <v>1.23243894095115e-5</v>
      </c>
    </row>
    <row r="343" spans="1:3">
      <c r="A343" s="1" t="s">
        <v>1463</v>
      </c>
      <c r="B343" s="1">
        <v>91</v>
      </c>
      <c r="C343" s="20">
        <v>5.12109331628103e-6</v>
      </c>
    </row>
    <row r="344" spans="1:3">
      <c r="A344" s="1" t="s">
        <v>1404</v>
      </c>
      <c r="B344" s="1">
        <v>18</v>
      </c>
      <c r="C344" s="20">
        <v>1.01296351311053e-6</v>
      </c>
    </row>
    <row r="345" spans="1:3">
      <c r="A345" s="1" t="s">
        <v>1466</v>
      </c>
      <c r="B345" s="1">
        <v>73</v>
      </c>
      <c r="C345" s="20">
        <v>4.1081298031705e-6</v>
      </c>
    </row>
    <row r="346" spans="1:3">
      <c r="A346" s="1" t="s">
        <v>1433</v>
      </c>
      <c r="B346" s="1">
        <v>2</v>
      </c>
      <c r="C346" s="20">
        <v>1.12551501456726e-7</v>
      </c>
    </row>
    <row r="347" spans="1:3">
      <c r="A347" s="1" t="s">
        <v>1468</v>
      </c>
      <c r="B347" s="1">
        <v>25</v>
      </c>
      <c r="C347" s="20">
        <v>1.40689376820907e-6</v>
      </c>
    </row>
    <row r="348" spans="1:3">
      <c r="A348" s="1" t="s">
        <v>1420</v>
      </c>
      <c r="B348" s="1">
        <v>12</v>
      </c>
      <c r="C348" s="20">
        <v>6.75309008740356e-7</v>
      </c>
    </row>
    <row r="349" spans="1:3">
      <c r="A349" s="1" t="s">
        <v>515</v>
      </c>
      <c r="B349" s="1">
        <v>3145</v>
      </c>
      <c r="C349" s="20">
        <v>0.000176987236040702</v>
      </c>
    </row>
    <row r="350" spans="1:3">
      <c r="A350" s="1" t="s">
        <v>1111</v>
      </c>
      <c r="B350" s="1">
        <v>44</v>
      </c>
      <c r="C350" s="20">
        <v>2.47613303204797e-6</v>
      </c>
    </row>
    <row r="351" spans="1:3">
      <c r="A351" s="1" t="s">
        <v>470</v>
      </c>
      <c r="B351" s="1">
        <v>3770</v>
      </c>
      <c r="C351" s="20">
        <v>0.000212159580245928</v>
      </c>
    </row>
    <row r="352" spans="1:3">
      <c r="A352" s="1" t="s">
        <v>1275</v>
      </c>
      <c r="B352" s="1">
        <v>80</v>
      </c>
      <c r="C352" s="20">
        <v>4.50206005826904e-6</v>
      </c>
    </row>
    <row r="353" spans="1:3">
      <c r="A353" s="1" t="s">
        <v>810</v>
      </c>
      <c r="B353" s="1">
        <v>908</v>
      </c>
      <c r="C353" s="20">
        <v>5.10983816613536e-5</v>
      </c>
    </row>
    <row r="354" spans="1:3">
      <c r="A354" s="1" t="s">
        <v>1081</v>
      </c>
      <c r="B354" s="1">
        <v>245</v>
      </c>
      <c r="C354" s="20">
        <v>1.37875589284489e-5</v>
      </c>
    </row>
    <row r="355" spans="1:3">
      <c r="A355" s="1" t="s">
        <v>379</v>
      </c>
      <c r="B355" s="1">
        <v>517</v>
      </c>
      <c r="C355" s="20">
        <v>2.90945631265637e-5</v>
      </c>
    </row>
    <row r="356" spans="1:3">
      <c r="A356" s="1" t="s">
        <v>509</v>
      </c>
      <c r="B356" s="1">
        <v>2970</v>
      </c>
      <c r="C356" s="20">
        <v>0.000167138979663238</v>
      </c>
    </row>
    <row r="357" spans="1:3">
      <c r="A357" s="1" t="s">
        <v>1365</v>
      </c>
      <c r="B357" s="1">
        <v>34</v>
      </c>
      <c r="C357" s="20">
        <v>1.91337552476434e-6</v>
      </c>
    </row>
    <row r="358" spans="1:3">
      <c r="A358" s="1" t="s">
        <v>591</v>
      </c>
      <c r="B358" s="1">
        <v>1751</v>
      </c>
      <c r="C358" s="20">
        <v>9.85388395253636e-5</v>
      </c>
    </row>
    <row r="359" spans="1:3">
      <c r="A359" s="1" t="s">
        <v>696</v>
      </c>
      <c r="B359" s="1">
        <v>1320</v>
      </c>
      <c r="C359" s="20">
        <v>7.42839909614391e-5</v>
      </c>
    </row>
    <row r="360" spans="1:3">
      <c r="A360" s="1" t="s">
        <v>490</v>
      </c>
      <c r="B360" s="1">
        <v>3526</v>
      </c>
      <c r="C360" s="20">
        <v>0.000198428297068208</v>
      </c>
    </row>
    <row r="361" spans="1:3">
      <c r="A361" s="1" t="s">
        <v>1088</v>
      </c>
      <c r="B361" s="1">
        <v>256</v>
      </c>
      <c r="C361" s="20">
        <v>1.44065921864609e-5</v>
      </c>
    </row>
    <row r="362" spans="1:3">
      <c r="A362" s="1" t="s">
        <v>1180</v>
      </c>
      <c r="B362" s="1">
        <v>156</v>
      </c>
      <c r="C362" s="20">
        <v>8.77901711362462e-6</v>
      </c>
    </row>
    <row r="363" spans="1:3">
      <c r="A363" s="1" t="s">
        <v>693</v>
      </c>
      <c r="B363" s="1">
        <v>1396</v>
      </c>
      <c r="C363" s="20">
        <v>7.85609480167947e-5</v>
      </c>
    </row>
    <row r="364" spans="1:3">
      <c r="A364" s="1" t="s">
        <v>942</v>
      </c>
      <c r="B364" s="1">
        <v>483</v>
      </c>
      <c r="C364" s="20">
        <v>2.71811876017993e-5</v>
      </c>
    </row>
    <row r="365" spans="1:3">
      <c r="A365" s="1" t="s">
        <v>745</v>
      </c>
      <c r="B365" s="1">
        <v>1020</v>
      </c>
      <c r="C365" s="20">
        <v>5.74012657429302e-5</v>
      </c>
    </row>
    <row r="366" spans="1:3">
      <c r="A366" s="1" t="s">
        <v>1164</v>
      </c>
      <c r="B366" s="1">
        <v>175</v>
      </c>
      <c r="C366" s="20">
        <v>9.84825637746352e-6</v>
      </c>
    </row>
    <row r="367" spans="1:3">
      <c r="A367" s="1" t="s">
        <v>1242</v>
      </c>
      <c r="B367" s="1">
        <v>101</v>
      </c>
      <c r="C367" s="20">
        <v>5.68385082356466e-6</v>
      </c>
    </row>
    <row r="368" spans="1:3">
      <c r="A368" s="1" t="s">
        <v>1319</v>
      </c>
      <c r="B368" s="1">
        <v>56</v>
      </c>
      <c r="C368" s="20">
        <v>3.15144204078833e-6</v>
      </c>
    </row>
    <row r="369" spans="1:3">
      <c r="A369" s="1" t="s">
        <v>268</v>
      </c>
      <c r="B369" s="1">
        <v>14830</v>
      </c>
      <c r="C369" s="20">
        <v>0.000834569383301623</v>
      </c>
    </row>
    <row r="370" spans="1:3">
      <c r="A370" s="1" t="s">
        <v>1264</v>
      </c>
      <c r="B370" s="1">
        <v>75</v>
      </c>
      <c r="C370" s="20">
        <v>4.22068130462722e-6</v>
      </c>
    </row>
    <row r="371" spans="1:3">
      <c r="A371" s="1" t="s">
        <v>576</v>
      </c>
      <c r="B371" s="1">
        <v>2464</v>
      </c>
      <c r="C371" s="20">
        <v>0.000138663449794686</v>
      </c>
    </row>
    <row r="372" spans="1:3">
      <c r="A372" s="1" t="s">
        <v>1106</v>
      </c>
      <c r="B372" s="1">
        <v>231</v>
      </c>
      <c r="C372" s="20">
        <v>1.29996984182518e-5</v>
      </c>
    </row>
    <row r="373" spans="1:3">
      <c r="A373" s="1" t="s">
        <v>361</v>
      </c>
      <c r="B373" s="1">
        <v>7216</v>
      </c>
      <c r="C373" s="20">
        <v>0.000406085817255867</v>
      </c>
    </row>
    <row r="374" spans="1:3">
      <c r="A374" s="1" t="s">
        <v>1471</v>
      </c>
      <c r="B374" s="1">
        <v>299</v>
      </c>
      <c r="C374" s="20">
        <v>1.68264494677805e-5</v>
      </c>
    </row>
    <row r="375" spans="1:3">
      <c r="A375" s="1" t="s">
        <v>1263</v>
      </c>
      <c r="B375" s="1">
        <v>73</v>
      </c>
      <c r="C375" s="20">
        <v>4.1081298031705e-6</v>
      </c>
    </row>
    <row r="376" spans="1:3">
      <c r="A376" s="1" t="s">
        <v>734</v>
      </c>
      <c r="B376" s="1">
        <v>1216</v>
      </c>
      <c r="C376" s="20">
        <v>6.84313128856894e-5</v>
      </c>
    </row>
    <row r="377" spans="1:3">
      <c r="A377" s="1" t="s">
        <v>821</v>
      </c>
      <c r="B377" s="1">
        <v>776</v>
      </c>
      <c r="C377" s="20">
        <v>4.36699825652097e-5</v>
      </c>
    </row>
    <row r="378" spans="1:3">
      <c r="A378" s="1" t="s">
        <v>787</v>
      </c>
      <c r="B378" s="1">
        <v>908</v>
      </c>
      <c r="C378" s="20">
        <v>5.10983816613536e-5</v>
      </c>
    </row>
    <row r="379" spans="1:3">
      <c r="A379" s="1" t="s">
        <v>275</v>
      </c>
      <c r="B379" s="1">
        <v>13255</v>
      </c>
      <c r="C379" s="20">
        <v>0.000745935075904451</v>
      </c>
    </row>
    <row r="380" spans="1:3">
      <c r="A380" s="1" t="s">
        <v>940</v>
      </c>
      <c r="B380" s="1">
        <v>267</v>
      </c>
      <c r="C380" s="20">
        <v>1.50256254444729e-5</v>
      </c>
    </row>
    <row r="381" spans="1:3">
      <c r="A381" s="1" t="s">
        <v>387</v>
      </c>
      <c r="B381" s="1">
        <v>4129</v>
      </c>
      <c r="C381" s="20">
        <v>0.000232362574757411</v>
      </c>
    </row>
    <row r="382" spans="1:3">
      <c r="A382" s="1" t="s">
        <v>1019</v>
      </c>
      <c r="B382" s="1">
        <v>104</v>
      </c>
      <c r="C382" s="20">
        <v>5.85267807574975e-6</v>
      </c>
    </row>
    <row r="383" spans="1:3">
      <c r="A383" s="1" t="s">
        <v>824</v>
      </c>
      <c r="B383" s="1">
        <v>865</v>
      </c>
      <c r="C383" s="20">
        <v>4.8678524380034e-5</v>
      </c>
    </row>
    <row r="384" spans="1:3">
      <c r="A384" s="1" t="s">
        <v>1151</v>
      </c>
      <c r="B384" s="1">
        <v>190</v>
      </c>
      <c r="C384" s="20">
        <v>1.0692392638389e-5</v>
      </c>
    </row>
    <row r="385" spans="1:3">
      <c r="A385" s="1" t="s">
        <v>1473</v>
      </c>
      <c r="B385" s="1">
        <v>1635</v>
      </c>
      <c r="C385" s="20">
        <v>9.20108524408735e-5</v>
      </c>
    </row>
    <row r="386" spans="1:3">
      <c r="A386" s="1" t="s">
        <v>1061</v>
      </c>
      <c r="B386" s="1">
        <v>286</v>
      </c>
      <c r="C386" s="20">
        <v>1.60948647083118e-5</v>
      </c>
    </row>
    <row r="387" spans="1:3">
      <c r="A387" s="1" t="s">
        <v>1348</v>
      </c>
      <c r="B387" s="1">
        <v>43</v>
      </c>
      <c r="C387" s="20">
        <v>2.41985728131961e-6</v>
      </c>
    </row>
    <row r="388" spans="1:3">
      <c r="A388" s="1" t="s">
        <v>504</v>
      </c>
      <c r="B388" s="1">
        <v>2688</v>
      </c>
      <c r="C388" s="20">
        <v>0.00015126921795784</v>
      </c>
    </row>
    <row r="389" spans="1:3">
      <c r="A389" s="1" t="s">
        <v>742</v>
      </c>
      <c r="B389" s="1">
        <v>1168</v>
      </c>
      <c r="C389" s="20">
        <v>6.5730076850728e-5</v>
      </c>
    </row>
    <row r="390" spans="1:3">
      <c r="A390" s="1" t="s">
        <v>562</v>
      </c>
      <c r="B390" s="1">
        <v>2601</v>
      </c>
      <c r="C390" s="20">
        <v>0.000146373227644472</v>
      </c>
    </row>
    <row r="391" spans="1:3">
      <c r="A391" s="1" t="s">
        <v>1422</v>
      </c>
      <c r="B391" s="1">
        <v>12</v>
      </c>
      <c r="C391" s="20">
        <v>6.75309008740356e-7</v>
      </c>
    </row>
    <row r="392" spans="1:3">
      <c r="A392" s="1" t="s">
        <v>965</v>
      </c>
      <c r="B392" s="1">
        <v>451</v>
      </c>
      <c r="C392" s="20">
        <v>2.53803635784917e-5</v>
      </c>
    </row>
    <row r="393" spans="1:3">
      <c r="A393" s="1" t="s">
        <v>1249</v>
      </c>
      <c r="B393" s="1">
        <v>100</v>
      </c>
      <c r="C393" s="20">
        <v>5.6275750728363e-6</v>
      </c>
    </row>
    <row r="394" spans="1:3">
      <c r="A394" s="1" t="s">
        <v>1289</v>
      </c>
      <c r="B394" s="1">
        <v>61</v>
      </c>
      <c r="C394" s="20">
        <v>3.43282079443014e-6</v>
      </c>
    </row>
    <row r="395" spans="1:3">
      <c r="A395" s="1" t="s">
        <v>847</v>
      </c>
      <c r="B395" s="1">
        <v>763</v>
      </c>
      <c r="C395" s="20">
        <v>4.29383978057409e-5</v>
      </c>
    </row>
    <row r="396" spans="1:3">
      <c r="A396" s="1" t="s">
        <v>434</v>
      </c>
      <c r="B396" s="1">
        <v>4474</v>
      </c>
      <c r="C396" s="20">
        <v>0.000251777708758696</v>
      </c>
    </row>
    <row r="397" spans="1:3">
      <c r="A397" s="1" t="s">
        <v>849</v>
      </c>
      <c r="B397" s="1">
        <v>755</v>
      </c>
      <c r="C397" s="20">
        <v>4.2488191799914e-5</v>
      </c>
    </row>
    <row r="398" spans="1:3">
      <c r="A398" s="1" t="s">
        <v>799</v>
      </c>
      <c r="B398" s="1">
        <v>892</v>
      </c>
      <c r="C398" s="20">
        <v>5.01979696496998e-5</v>
      </c>
    </row>
    <row r="399" spans="1:3">
      <c r="A399" s="1" t="s">
        <v>1367</v>
      </c>
      <c r="B399" s="1">
        <v>34</v>
      </c>
      <c r="C399" s="20">
        <v>1.91337552476434e-6</v>
      </c>
    </row>
    <row r="400" spans="1:3">
      <c r="A400" s="1" t="s">
        <v>682</v>
      </c>
      <c r="B400" s="1">
        <v>1417</v>
      </c>
      <c r="C400" s="20">
        <v>7.97427387820903e-5</v>
      </c>
    </row>
    <row r="401" spans="1:3">
      <c r="A401" s="1" t="s">
        <v>978</v>
      </c>
      <c r="B401" s="1">
        <v>420</v>
      </c>
      <c r="C401" s="20">
        <v>2.36358153059125e-5</v>
      </c>
    </row>
    <row r="402" spans="1:3">
      <c r="A402" s="1" t="s">
        <v>1067</v>
      </c>
      <c r="B402" s="1">
        <v>276</v>
      </c>
      <c r="C402" s="20">
        <v>1.55321072010282e-5</v>
      </c>
    </row>
    <row r="403" spans="1:3">
      <c r="A403" s="1" t="s">
        <v>357</v>
      </c>
      <c r="B403" s="1">
        <v>5493</v>
      </c>
      <c r="C403" s="20">
        <v>0.000309122698750898</v>
      </c>
    </row>
    <row r="404" spans="1:3">
      <c r="A404" s="1" t="s">
        <v>1272</v>
      </c>
      <c r="B404" s="1">
        <v>81</v>
      </c>
      <c r="C404" s="20">
        <v>4.5583358089974e-6</v>
      </c>
    </row>
    <row r="405" spans="1:3">
      <c r="A405" s="1" t="s">
        <v>1296</v>
      </c>
      <c r="B405" s="1">
        <v>66</v>
      </c>
      <c r="C405" s="20">
        <v>3.71419954807196e-6</v>
      </c>
    </row>
    <row r="406" spans="1:3">
      <c r="A406" s="1" t="s">
        <v>547</v>
      </c>
      <c r="B406" s="1">
        <v>2707</v>
      </c>
      <c r="C406" s="20">
        <v>0.000152338457221679</v>
      </c>
    </row>
    <row r="407" spans="1:3">
      <c r="A407" s="1" t="s">
        <v>865</v>
      </c>
      <c r="B407" s="1">
        <v>705</v>
      </c>
      <c r="C407" s="20">
        <v>3.96744042634959e-5</v>
      </c>
    </row>
    <row r="408" spans="1:3">
      <c r="A408" s="1" t="s">
        <v>658</v>
      </c>
      <c r="B408" s="1">
        <v>1609</v>
      </c>
      <c r="C408" s="20">
        <v>9.0547682921936e-5</v>
      </c>
    </row>
    <row r="409" spans="1:3">
      <c r="A409" s="1" t="s">
        <v>1024</v>
      </c>
      <c r="B409" s="1">
        <v>339</v>
      </c>
      <c r="C409" s="20">
        <v>1.9077479496915e-5</v>
      </c>
    </row>
    <row r="410" spans="1:3">
      <c r="A410" s="1" t="s">
        <v>996</v>
      </c>
      <c r="B410" s="1">
        <v>379</v>
      </c>
      <c r="C410" s="20">
        <v>2.13285095260496e-5</v>
      </c>
    </row>
    <row r="411" spans="1:3">
      <c r="A411" s="1" t="s">
        <v>1053</v>
      </c>
      <c r="B411" s="1">
        <v>289</v>
      </c>
      <c r="C411" s="20">
        <v>1.62636919604969e-5</v>
      </c>
    </row>
    <row r="412" spans="1:3">
      <c r="A412" s="1" t="s">
        <v>497</v>
      </c>
      <c r="B412" s="1">
        <v>3384</v>
      </c>
      <c r="C412" s="20">
        <v>0.00019043714046478</v>
      </c>
    </row>
    <row r="413" spans="1:3">
      <c r="A413" s="1" t="s">
        <v>1087</v>
      </c>
      <c r="B413" s="1">
        <v>253</v>
      </c>
      <c r="C413" s="20">
        <v>1.42377649342758e-5</v>
      </c>
    </row>
    <row r="414" spans="1:3">
      <c r="A414" s="1" t="s">
        <v>1083</v>
      </c>
      <c r="B414" s="1">
        <v>258</v>
      </c>
      <c r="C414" s="20">
        <v>1.45191436879176e-5</v>
      </c>
    </row>
    <row r="415" spans="1:3">
      <c r="A415" s="1" t="s">
        <v>713</v>
      </c>
      <c r="B415" s="1">
        <v>1286</v>
      </c>
      <c r="C415" s="20">
        <v>7.23706154366748e-5</v>
      </c>
    </row>
    <row r="416" spans="1:3">
      <c r="A416" s="1" t="s">
        <v>825</v>
      </c>
      <c r="B416" s="1">
        <v>855</v>
      </c>
      <c r="C416" s="20">
        <v>4.81157668727503e-5</v>
      </c>
    </row>
    <row r="417" spans="1:3">
      <c r="A417" s="1" t="s">
        <v>879</v>
      </c>
      <c r="B417" s="1">
        <v>566</v>
      </c>
      <c r="C417" s="20">
        <v>3.18520749122534e-5</v>
      </c>
    </row>
    <row r="418" spans="1:3">
      <c r="A418" s="1" t="s">
        <v>1388</v>
      </c>
      <c r="B418" s="1">
        <v>24</v>
      </c>
      <c r="C418" s="20">
        <v>1.35061801748071e-6</v>
      </c>
    </row>
    <row r="419" spans="1:3">
      <c r="A419" s="1" t="s">
        <v>485</v>
      </c>
      <c r="B419" s="1">
        <v>3565</v>
      </c>
      <c r="C419" s="20">
        <v>0.000200623051346614</v>
      </c>
    </row>
    <row r="420" spans="1:3">
      <c r="A420" s="1" t="s">
        <v>951</v>
      </c>
      <c r="B420" s="1">
        <v>431</v>
      </c>
      <c r="C420" s="20">
        <v>2.42548485639244e-5</v>
      </c>
    </row>
    <row r="421" spans="1:3">
      <c r="A421" s="1" t="s">
        <v>989</v>
      </c>
      <c r="B421" s="1">
        <v>368</v>
      </c>
      <c r="C421" s="20">
        <v>2.07094762680376e-5</v>
      </c>
    </row>
    <row r="422" spans="1:3">
      <c r="A422" s="1" t="s">
        <v>367</v>
      </c>
      <c r="B422" s="1">
        <v>6970</v>
      </c>
      <c r="C422" s="20">
        <v>0.00039224198257669</v>
      </c>
    </row>
    <row r="423" spans="1:3">
      <c r="A423" s="1" t="s">
        <v>152</v>
      </c>
      <c r="B423" s="1">
        <v>34685</v>
      </c>
      <c r="C423" s="20">
        <v>0.00195192441401327</v>
      </c>
    </row>
    <row r="424" spans="1:3">
      <c r="A424" s="1" t="s">
        <v>1074</v>
      </c>
      <c r="B424" s="1">
        <v>272</v>
      </c>
      <c r="C424" s="20">
        <v>1.53070041981147e-5</v>
      </c>
    </row>
    <row r="425" spans="1:3">
      <c r="A425" s="1" t="s">
        <v>916</v>
      </c>
      <c r="B425" s="1">
        <v>569</v>
      </c>
      <c r="C425" s="20">
        <v>3.20209021644385e-5</v>
      </c>
    </row>
    <row r="426" spans="1:3">
      <c r="A426" s="1" t="s">
        <v>905</v>
      </c>
      <c r="B426" s="1">
        <v>596</v>
      </c>
      <c r="C426" s="20">
        <v>3.35403474341043e-5</v>
      </c>
    </row>
    <row r="427" spans="1:3">
      <c r="A427" s="1" t="s">
        <v>1149</v>
      </c>
      <c r="B427" s="1">
        <v>193</v>
      </c>
      <c r="C427" s="20">
        <v>1.08612198905741e-5</v>
      </c>
    </row>
    <row r="428" spans="1:3">
      <c r="A428" s="1" t="s">
        <v>1339</v>
      </c>
      <c r="B428" s="1">
        <v>44</v>
      </c>
      <c r="C428" s="20">
        <v>2.47613303204797e-6</v>
      </c>
    </row>
    <row r="429" spans="1:3">
      <c r="A429" s="1" t="s">
        <v>34</v>
      </c>
      <c r="B429" s="1">
        <v>492015</v>
      </c>
      <c r="C429" s="20">
        <v>0.055377026989231</v>
      </c>
    </row>
    <row r="430" spans="1:3">
      <c r="A430" s="1" t="s">
        <v>1003</v>
      </c>
      <c r="B430" s="1">
        <v>377</v>
      </c>
      <c r="C430" s="20">
        <v>2.12159580245928e-5</v>
      </c>
    </row>
    <row r="431" spans="1:3">
      <c r="A431" s="1" t="s">
        <v>1033</v>
      </c>
      <c r="B431" s="1">
        <v>331</v>
      </c>
      <c r="C431" s="20">
        <v>1.86272734910881e-5</v>
      </c>
    </row>
    <row r="432" spans="1:3">
      <c r="A432" s="1" t="s">
        <v>413</v>
      </c>
      <c r="B432" s="1">
        <v>4966</v>
      </c>
      <c r="C432" s="20">
        <v>0.000279465378117051</v>
      </c>
    </row>
    <row r="433" spans="1:3">
      <c r="A433" s="1" t="s">
        <v>1475</v>
      </c>
      <c r="B433" s="1">
        <v>1049</v>
      </c>
      <c r="C433" s="20">
        <v>5.90332625140528e-5</v>
      </c>
    </row>
    <row r="434" spans="1:3">
      <c r="A434" s="1" t="s">
        <v>534</v>
      </c>
      <c r="B434" s="1">
        <v>2816</v>
      </c>
      <c r="C434" s="20">
        <v>0.00015847251405107</v>
      </c>
    </row>
    <row r="435" spans="1:3">
      <c r="A435" s="1" t="s">
        <v>143</v>
      </c>
      <c r="B435" s="1">
        <v>34481</v>
      </c>
      <c r="C435" s="20">
        <v>0.00194044416086468</v>
      </c>
    </row>
    <row r="436" spans="1:3">
      <c r="A436" s="1" t="s">
        <v>790</v>
      </c>
      <c r="B436" s="1">
        <v>891</v>
      </c>
      <c r="C436" s="20">
        <v>5.01416938989714e-5</v>
      </c>
    </row>
    <row r="437" spans="1:3">
      <c r="A437" s="1" t="s">
        <v>1270</v>
      </c>
      <c r="B437" s="1">
        <v>81</v>
      </c>
      <c r="C437" s="20">
        <v>4.5583358089974e-6</v>
      </c>
    </row>
    <row r="438" spans="1:3">
      <c r="A438" s="1" t="s">
        <v>98</v>
      </c>
      <c r="B438" s="1">
        <v>83853</v>
      </c>
      <c r="C438" s="20">
        <v>0.00471889052582542</v>
      </c>
    </row>
    <row r="439" spans="1:3">
      <c r="A439" s="1" t="s">
        <v>1057</v>
      </c>
      <c r="B439" s="1">
        <v>289</v>
      </c>
      <c r="C439" s="20">
        <v>1.62636919604969e-5</v>
      </c>
    </row>
    <row r="440" spans="1:3">
      <c r="A440" s="1" t="s">
        <v>782</v>
      </c>
      <c r="B440" s="1">
        <v>987</v>
      </c>
      <c r="C440" s="20">
        <v>5.55441659688943e-5</v>
      </c>
    </row>
    <row r="441" spans="1:3">
      <c r="A441" s="1" t="s">
        <v>1209</v>
      </c>
      <c r="B441" s="1">
        <v>125</v>
      </c>
      <c r="C441" s="20">
        <v>7.03446884104537e-6</v>
      </c>
    </row>
    <row r="442" spans="1:3">
      <c r="A442" s="1" t="s">
        <v>910</v>
      </c>
      <c r="B442" s="1">
        <v>599</v>
      </c>
      <c r="C442" s="20">
        <v>3.37091746862894e-5</v>
      </c>
    </row>
    <row r="443" spans="1:3">
      <c r="A443" s="1" t="s">
        <v>292</v>
      </c>
      <c r="B443" s="1">
        <v>11090</v>
      </c>
      <c r="C443" s="20">
        <v>0.000624098075577545</v>
      </c>
    </row>
    <row r="444" spans="1:3">
      <c r="A444" s="1" t="s">
        <v>711</v>
      </c>
      <c r="B444" s="1">
        <v>1310</v>
      </c>
      <c r="C444" s="20">
        <v>7.37212334541555e-5</v>
      </c>
    </row>
    <row r="445" spans="1:3">
      <c r="A445" s="1" t="s">
        <v>613</v>
      </c>
      <c r="B445" s="1">
        <v>1968</v>
      </c>
      <c r="C445" s="20">
        <v>0.000110750677433418</v>
      </c>
    </row>
    <row r="446" spans="1:3">
      <c r="A446" s="1" t="s">
        <v>273</v>
      </c>
      <c r="B446" s="1">
        <v>13735</v>
      </c>
      <c r="C446" s="20">
        <v>0.000772947436254065</v>
      </c>
    </row>
    <row r="447" spans="1:3">
      <c r="A447" s="1" t="s">
        <v>433</v>
      </c>
      <c r="B447" s="1">
        <v>4121</v>
      </c>
      <c r="C447" s="20">
        <v>0.000231912368751584</v>
      </c>
    </row>
    <row r="448" spans="1:3">
      <c r="A448" s="1" t="s">
        <v>550</v>
      </c>
      <c r="B448" s="1">
        <v>2519</v>
      </c>
      <c r="C448" s="20">
        <v>0.000141758616084746</v>
      </c>
    </row>
    <row r="449" spans="1:3">
      <c r="A449" s="1" t="s">
        <v>405</v>
      </c>
      <c r="B449" s="1">
        <v>5193</v>
      </c>
      <c r="C449" s="20">
        <v>0.000292239973532389</v>
      </c>
    </row>
    <row r="450" spans="1:3">
      <c r="A450" s="1" t="s">
        <v>322</v>
      </c>
      <c r="B450" s="1">
        <v>4873</v>
      </c>
      <c r="C450" s="20">
        <v>0.000274231733299313</v>
      </c>
    </row>
    <row r="451" spans="1:3">
      <c r="A451" s="6"/>
      <c r="B451" s="7">
        <v>7856</v>
      </c>
      <c r="C451" s="21">
        <v>0.00044210229772202</v>
      </c>
    </row>
    <row r="452" spans="1:3">
      <c r="A452" s="1" t="s">
        <v>220</v>
      </c>
      <c r="B452" s="1">
        <v>21784</v>
      </c>
      <c r="C452" s="20">
        <v>0.00122591095386666</v>
      </c>
    </row>
    <row r="453" spans="1:3">
      <c r="A453" s="1" t="s">
        <v>1352</v>
      </c>
      <c r="B453" s="1">
        <v>40</v>
      </c>
      <c r="C453" s="20">
        <v>2.25103002913452e-6</v>
      </c>
    </row>
    <row r="454" spans="1:3">
      <c r="A454" s="1" t="s">
        <v>36</v>
      </c>
      <c r="B454" s="1">
        <v>475767</v>
      </c>
      <c r="C454" s="20">
        <v>0.0267741450967811</v>
      </c>
    </row>
    <row r="455" spans="1:3">
      <c r="A455" s="1" t="s">
        <v>412</v>
      </c>
      <c r="B455" s="1">
        <v>4928</v>
      </c>
      <c r="C455" s="20">
        <v>0.000277326899589373</v>
      </c>
    </row>
    <row r="456" spans="1:3">
      <c r="A456" s="1" t="s">
        <v>1327</v>
      </c>
      <c r="B456" s="1">
        <v>53</v>
      </c>
      <c r="C456" s="20">
        <v>2.98261478860324e-6</v>
      </c>
    </row>
    <row r="457" spans="1:3">
      <c r="A457" s="1" t="s">
        <v>667</v>
      </c>
      <c r="B457" s="1">
        <v>1387</v>
      </c>
      <c r="C457" s="20">
        <v>7.80544662602394e-5</v>
      </c>
    </row>
    <row r="458" spans="1:3">
      <c r="A458" s="1" t="s">
        <v>926</v>
      </c>
      <c r="B458" s="1">
        <v>538</v>
      </c>
      <c r="C458" s="20">
        <v>3.02763538918593e-5</v>
      </c>
    </row>
    <row r="459" spans="1:3">
      <c r="A459" s="1" t="s">
        <v>456</v>
      </c>
      <c r="B459" s="1">
        <v>4007</v>
      </c>
      <c r="C459" s="20">
        <v>0.00022549693316855</v>
      </c>
    </row>
    <row r="460" spans="1:3">
      <c r="A460" s="1" t="s">
        <v>1065</v>
      </c>
      <c r="B460" s="1">
        <v>238</v>
      </c>
      <c r="C460" s="20">
        <v>1.33936286733504e-5</v>
      </c>
    </row>
    <row r="461" spans="1:3">
      <c r="A461" s="1" t="s">
        <v>1383</v>
      </c>
      <c r="B461" s="1">
        <v>26</v>
      </c>
      <c r="C461" s="20">
        <v>1.46316951893744e-6</v>
      </c>
    </row>
    <row r="462" spans="1:3">
      <c r="A462" s="1" t="s">
        <v>505</v>
      </c>
      <c r="B462" s="1">
        <v>3282</v>
      </c>
      <c r="C462" s="20">
        <v>0.000184697013890487</v>
      </c>
    </row>
    <row r="463" spans="1:3">
      <c r="A463" s="1" t="s">
        <v>1050</v>
      </c>
      <c r="B463" s="1">
        <v>295</v>
      </c>
      <c r="C463" s="20">
        <v>1.66013464648671e-5</v>
      </c>
    </row>
    <row r="464" spans="1:3">
      <c r="A464" s="1" t="s">
        <v>473</v>
      </c>
      <c r="B464" s="1">
        <v>3753</v>
      </c>
      <c r="C464" s="20">
        <v>0.000211202892483546</v>
      </c>
    </row>
    <row r="465" spans="1:3">
      <c r="A465" s="1" t="s">
        <v>1477</v>
      </c>
      <c r="B465" s="1">
        <v>67027</v>
      </c>
      <c r="C465" s="20">
        <v>0.00377199474406999</v>
      </c>
    </row>
    <row r="466" spans="1:3">
      <c r="A466" s="1" t="s">
        <v>359</v>
      </c>
      <c r="B466" s="1">
        <v>7317</v>
      </c>
      <c r="C466" s="20">
        <v>0.000411769668079432</v>
      </c>
    </row>
    <row r="467" spans="1:3">
      <c r="A467" s="1" t="s">
        <v>1132</v>
      </c>
      <c r="B467" s="1">
        <v>203</v>
      </c>
      <c r="C467" s="20">
        <v>1.14239773978577e-5</v>
      </c>
    </row>
    <row r="468" spans="1:3">
      <c r="A468" s="1" t="s">
        <v>1431</v>
      </c>
      <c r="B468" s="1">
        <v>3</v>
      </c>
      <c r="C468" s="20">
        <v>1.68827252185089e-7</v>
      </c>
    </row>
    <row r="469" spans="1:3">
      <c r="A469" s="1" t="s">
        <v>988</v>
      </c>
      <c r="B469" s="1">
        <v>421</v>
      </c>
      <c r="C469" s="20">
        <v>2.36920910566408e-5</v>
      </c>
    </row>
    <row r="470" spans="1:3">
      <c r="A470" s="1" t="s">
        <v>524</v>
      </c>
      <c r="B470" s="1">
        <v>2963</v>
      </c>
      <c r="C470" s="20">
        <v>0.00016674504940814</v>
      </c>
    </row>
    <row r="471" spans="1:3">
      <c r="A471" s="1" t="s">
        <v>163</v>
      </c>
      <c r="B471" s="1">
        <v>30441</v>
      </c>
      <c r="C471" s="20">
        <v>0.0017130901279221</v>
      </c>
    </row>
    <row r="472" spans="1:3">
      <c r="A472" s="1" t="s">
        <v>174</v>
      </c>
      <c r="B472" s="1">
        <v>30019</v>
      </c>
      <c r="C472" s="20">
        <v>0.00168934176111473</v>
      </c>
    </row>
    <row r="473" spans="1:3">
      <c r="A473" s="1" t="s">
        <v>571</v>
      </c>
      <c r="B473" s="1">
        <v>2604</v>
      </c>
      <c r="C473" s="20">
        <v>0.000146542054896657</v>
      </c>
    </row>
    <row r="474" spans="1:3">
      <c r="A474" s="1" t="s">
        <v>1254</v>
      </c>
      <c r="B474" s="1">
        <v>94</v>
      </c>
      <c r="C474" s="20">
        <v>5.28992056846612e-6</v>
      </c>
    </row>
    <row r="475" spans="1:3">
      <c r="A475" s="1" t="s">
        <v>416</v>
      </c>
      <c r="B475" s="1">
        <v>4017</v>
      </c>
      <c r="C475" s="20">
        <v>0.000452119381351668</v>
      </c>
    </row>
    <row r="476" spans="1:3">
      <c r="A476" s="1" t="s">
        <v>122</v>
      </c>
      <c r="B476" s="1">
        <v>42387</v>
      </c>
      <c r="C476" s="20">
        <v>0.00477072049224624</v>
      </c>
    </row>
    <row r="477" spans="1:3">
      <c r="A477" s="1" t="s">
        <v>223</v>
      </c>
      <c r="B477" s="1">
        <v>21008</v>
      </c>
      <c r="C477" s="20">
        <v>0.00118224097130145</v>
      </c>
    </row>
    <row r="478" spans="1:3">
      <c r="A478" s="1" t="s">
        <v>213</v>
      </c>
      <c r="B478" s="1">
        <v>23299</v>
      </c>
      <c r="C478" s="20">
        <v>0.00131116871622013</v>
      </c>
    </row>
    <row r="479" spans="1:3">
      <c r="A479" s="1" t="s">
        <v>785</v>
      </c>
      <c r="B479" s="1">
        <v>980</v>
      </c>
      <c r="C479" s="20">
        <v>5.51502357137957e-5</v>
      </c>
    </row>
    <row r="480" spans="1:3">
      <c r="A480" s="1" t="s">
        <v>1479</v>
      </c>
      <c r="B480" s="1">
        <v>120</v>
      </c>
      <c r="C480" s="20">
        <v>6.75309008740356e-6</v>
      </c>
    </row>
    <row r="481" spans="1:3">
      <c r="A481" s="1" t="s">
        <v>875</v>
      </c>
      <c r="B481" s="1">
        <v>346</v>
      </c>
      <c r="C481" s="20">
        <v>1.94714097520136e-5</v>
      </c>
    </row>
    <row r="482" spans="1:3">
      <c r="A482" s="1" t="s">
        <v>1390</v>
      </c>
      <c r="B482" s="1">
        <v>23</v>
      </c>
      <c r="C482" s="20">
        <v>1.29434226675235e-6</v>
      </c>
    </row>
    <row r="483" spans="1:3">
      <c r="A483" s="1" t="s">
        <v>1261</v>
      </c>
      <c r="B483" s="1">
        <v>85</v>
      </c>
      <c r="C483" s="20">
        <v>4.78343881191085e-6</v>
      </c>
    </row>
    <row r="484" spans="1:3">
      <c r="A484" s="1" t="s">
        <v>1030</v>
      </c>
      <c r="B484" s="1">
        <v>305</v>
      </c>
      <c r="C484" s="20">
        <v>1.71641039721507e-5</v>
      </c>
    </row>
    <row r="485" spans="1:3">
      <c r="A485" s="1" t="s">
        <v>911</v>
      </c>
      <c r="B485" s="1">
        <v>585</v>
      </c>
      <c r="C485" s="20">
        <v>3.29213141760923e-5</v>
      </c>
    </row>
    <row r="486" spans="1:3">
      <c r="A486" s="1" t="s">
        <v>429</v>
      </c>
      <c r="B486" s="1">
        <v>4428</v>
      </c>
      <c r="C486" s="20">
        <v>0.000249189024225191</v>
      </c>
    </row>
    <row r="487" spans="1:3">
      <c r="A487" s="1" t="s">
        <v>449</v>
      </c>
      <c r="B487" s="1">
        <v>4207</v>
      </c>
      <c r="C487" s="20">
        <v>0.000236752083314223</v>
      </c>
    </row>
    <row r="488" spans="1:3">
      <c r="A488" s="1" t="s">
        <v>1165</v>
      </c>
      <c r="B488" s="1">
        <v>172</v>
      </c>
      <c r="C488" s="20">
        <v>9.67942912527843e-6</v>
      </c>
    </row>
    <row r="489" spans="1:3">
      <c r="A489" s="1" t="s">
        <v>963</v>
      </c>
      <c r="B489" s="1">
        <v>449</v>
      </c>
      <c r="C489" s="20">
        <v>2.5267812077035e-5</v>
      </c>
    </row>
    <row r="490" spans="1:3">
      <c r="A490" s="1" t="s">
        <v>1417</v>
      </c>
      <c r="B490" s="1">
        <v>14</v>
      </c>
      <c r="C490" s="20">
        <v>7.87860510197082e-7</v>
      </c>
    </row>
    <row r="491" spans="1:3">
      <c r="A491" s="1" t="s">
        <v>891</v>
      </c>
      <c r="B491" s="1">
        <v>633</v>
      </c>
      <c r="C491" s="20">
        <v>7.12451004221075e-5</v>
      </c>
    </row>
    <row r="492" spans="1:3">
      <c r="A492" s="1" t="s">
        <v>995</v>
      </c>
      <c r="B492" s="1">
        <v>391</v>
      </c>
      <c r="C492" s="20">
        <v>2.20038185347899e-5</v>
      </c>
    </row>
    <row r="493" spans="1:3">
      <c r="A493" s="1" t="s">
        <v>793</v>
      </c>
      <c r="B493" s="1">
        <v>963</v>
      </c>
      <c r="C493" s="20">
        <v>5.41935479514135e-5</v>
      </c>
    </row>
    <row r="494" spans="1:3">
      <c r="A494" s="1" t="s">
        <v>574</v>
      </c>
      <c r="B494" s="1">
        <v>2585</v>
      </c>
      <c r="C494" s="20">
        <v>0.000145472815632818</v>
      </c>
    </row>
    <row r="495" spans="1:3">
      <c r="A495" s="1" t="s">
        <v>679</v>
      </c>
      <c r="B495" s="1">
        <v>1460</v>
      </c>
      <c r="C495" s="20">
        <v>8.21625960634099e-5</v>
      </c>
    </row>
    <row r="496" spans="1:3">
      <c r="A496" s="1" t="s">
        <v>933</v>
      </c>
      <c r="B496" s="1">
        <v>543</v>
      </c>
      <c r="C496" s="20">
        <v>3.05577326455011e-5</v>
      </c>
    </row>
    <row r="497" spans="1:3">
      <c r="A497" s="1" t="s">
        <v>543</v>
      </c>
      <c r="B497" s="1">
        <v>2742</v>
      </c>
      <c r="C497" s="20">
        <v>0.000154308108497171</v>
      </c>
    </row>
    <row r="498" spans="1:3">
      <c r="A498" s="1" t="s">
        <v>1118</v>
      </c>
      <c r="B498" s="1">
        <v>220</v>
      </c>
      <c r="C498" s="20">
        <v>1.23806651602399e-5</v>
      </c>
    </row>
    <row r="499" spans="1:3">
      <c r="A499" s="1" t="s">
        <v>1141</v>
      </c>
      <c r="B499" s="1">
        <v>195</v>
      </c>
      <c r="C499" s="20">
        <v>1.09737713920308e-5</v>
      </c>
    </row>
    <row r="500" spans="1:3">
      <c r="A500" s="1" t="s">
        <v>622</v>
      </c>
      <c r="B500" s="1">
        <v>1926</v>
      </c>
      <c r="C500" s="20">
        <v>0.000108387095902827</v>
      </c>
    </row>
    <row r="501" spans="1:3">
      <c r="A501" s="1" t="s">
        <v>1418</v>
      </c>
      <c r="B501" s="1">
        <v>14</v>
      </c>
      <c r="C501" s="20">
        <v>7.87860510197082e-7</v>
      </c>
    </row>
    <row r="502" spans="1:3">
      <c r="A502" s="1" t="s">
        <v>532</v>
      </c>
      <c r="B502" s="1">
        <v>2911</v>
      </c>
      <c r="C502" s="20">
        <v>0.000163818710370265</v>
      </c>
    </row>
    <row r="503" spans="1:3">
      <c r="A503" s="1" t="s">
        <v>427</v>
      </c>
      <c r="B503" s="1">
        <v>4576</v>
      </c>
      <c r="C503" s="20">
        <v>0.000257517835332989</v>
      </c>
    </row>
    <row r="504" spans="1:3">
      <c r="A504" s="1" t="s">
        <v>134</v>
      </c>
      <c r="B504" s="1">
        <v>39199</v>
      </c>
      <c r="C504" s="20">
        <v>0.0022059531528011</v>
      </c>
    </row>
    <row r="505" spans="1:3">
      <c r="A505" s="1" t="s">
        <v>500</v>
      </c>
      <c r="B505" s="1">
        <v>3337</v>
      </c>
      <c r="C505" s="20">
        <v>0.000187792180180547</v>
      </c>
    </row>
    <row r="506" spans="1:3">
      <c r="A506" s="1" t="s">
        <v>816</v>
      </c>
      <c r="B506" s="1">
        <v>692</v>
      </c>
      <c r="C506" s="20">
        <v>3.89428195040272e-5</v>
      </c>
    </row>
    <row r="507" spans="1:3">
      <c r="A507" s="1" t="s">
        <v>867</v>
      </c>
      <c r="B507" s="1">
        <v>693</v>
      </c>
      <c r="C507" s="20">
        <v>3.89990952547555e-5</v>
      </c>
    </row>
    <row r="508" spans="1:3">
      <c r="A508" s="1" t="s">
        <v>555</v>
      </c>
      <c r="B508" s="1">
        <v>2364</v>
      </c>
      <c r="C508" s="20">
        <v>0.00013303587472185</v>
      </c>
    </row>
    <row r="509" spans="1:3">
      <c r="A509" s="1" t="s">
        <v>740</v>
      </c>
      <c r="B509" s="1">
        <v>872</v>
      </c>
      <c r="C509" s="20">
        <v>4.90724546351325e-5</v>
      </c>
    </row>
    <row r="510" spans="1:3">
      <c r="A510" s="1" t="s">
        <v>439</v>
      </c>
      <c r="B510" s="1">
        <v>4117</v>
      </c>
      <c r="C510" s="20">
        <v>0.00023168726574867</v>
      </c>
    </row>
    <row r="511" spans="1:3">
      <c r="A511" s="1" t="s">
        <v>1482</v>
      </c>
      <c r="B511" s="1">
        <v>126</v>
      </c>
      <c r="C511" s="20">
        <v>7.09074459177373e-6</v>
      </c>
    </row>
    <row r="512" spans="1:3">
      <c r="A512" s="1" t="s">
        <v>289</v>
      </c>
      <c r="B512" s="1">
        <v>5550</v>
      </c>
      <c r="C512" s="20">
        <v>0.000312330416542415</v>
      </c>
    </row>
    <row r="513" spans="1:3">
      <c r="A513" s="1" t="s">
        <v>812</v>
      </c>
      <c r="B513" s="1">
        <v>906</v>
      </c>
      <c r="C513" s="20">
        <v>5.09858301598969e-5</v>
      </c>
    </row>
    <row r="514" spans="1:3">
      <c r="A514" s="1" t="s">
        <v>1356</v>
      </c>
      <c r="B514" s="1">
        <v>37</v>
      </c>
      <c r="C514" s="20">
        <v>2.08220277694943e-6</v>
      </c>
    </row>
    <row r="515" spans="1:3">
      <c r="A515" s="1" t="s">
        <v>366</v>
      </c>
      <c r="B515" s="1">
        <v>6028</v>
      </c>
      <c r="C515" s="20">
        <v>0.000339230225390572</v>
      </c>
    </row>
    <row r="516" spans="1:3">
      <c r="A516" s="1" t="s">
        <v>324</v>
      </c>
      <c r="B516" s="1">
        <v>9263</v>
      </c>
      <c r="C516" s="20">
        <v>0.000521282278996826</v>
      </c>
    </row>
    <row r="517" spans="1:3">
      <c r="A517" s="1" t="s">
        <v>902</v>
      </c>
      <c r="B517" s="1">
        <v>606</v>
      </c>
      <c r="C517" s="20">
        <v>3.4103104941388e-5</v>
      </c>
    </row>
    <row r="518" spans="1:3">
      <c r="A518" s="1" t="s">
        <v>1238</v>
      </c>
      <c r="B518" s="1">
        <v>111</v>
      </c>
      <c r="C518" s="20">
        <v>6.24660833084829e-6</v>
      </c>
    </row>
    <row r="519" spans="1:3">
      <c r="A519" s="1" t="s">
        <v>535</v>
      </c>
      <c r="B519" s="1">
        <v>2879</v>
      </c>
      <c r="C519" s="20">
        <v>0.000162017886346957</v>
      </c>
    </row>
    <row r="520" spans="1:3">
      <c r="A520" s="1" t="s">
        <v>615</v>
      </c>
      <c r="B520" s="1">
        <v>1631</v>
      </c>
      <c r="C520" s="20">
        <v>9.178574943796e-5</v>
      </c>
    </row>
    <row r="521" spans="1:3">
      <c r="A521" s="1" t="s">
        <v>697</v>
      </c>
      <c r="B521" s="1">
        <v>1307</v>
      </c>
      <c r="C521" s="20">
        <v>7.35524062019704e-5</v>
      </c>
    </row>
    <row r="522" spans="1:3">
      <c r="A522" s="1" t="s">
        <v>723</v>
      </c>
      <c r="B522" s="1">
        <v>1250</v>
      </c>
      <c r="C522" s="20">
        <v>7.03446884104537e-5</v>
      </c>
    </row>
    <row r="523" spans="1:3">
      <c r="A523" s="1" t="s">
        <v>1028</v>
      </c>
      <c r="B523" s="1">
        <v>336</v>
      </c>
      <c r="C523" s="20">
        <v>1.890865224473e-5</v>
      </c>
    </row>
    <row r="524" spans="1:3">
      <c r="A524" s="1" t="s">
        <v>1358</v>
      </c>
      <c r="B524" s="1">
        <v>36</v>
      </c>
      <c r="C524" s="20">
        <v>2.02592702622107e-6</v>
      </c>
    </row>
    <row r="525" spans="1:3">
      <c r="A525" s="1" t="s">
        <v>331</v>
      </c>
      <c r="B525" s="1">
        <v>7348</v>
      </c>
      <c r="C525" s="20">
        <v>0.000413514216352011</v>
      </c>
    </row>
    <row r="526" spans="1:3">
      <c r="A526" s="1" t="s">
        <v>608</v>
      </c>
      <c r="B526" s="1">
        <v>2067</v>
      </c>
      <c r="C526" s="20">
        <v>0.000116321976755526</v>
      </c>
    </row>
    <row r="527" spans="1:3">
      <c r="A527" s="1" t="s">
        <v>1010</v>
      </c>
      <c r="B527" s="1">
        <v>947</v>
      </c>
      <c r="C527" s="20">
        <v>5.32931359397597e-5</v>
      </c>
    </row>
    <row r="528" spans="1:3">
      <c r="A528" s="1" t="s">
        <v>1192</v>
      </c>
      <c r="B528" s="1">
        <v>142</v>
      </c>
      <c r="C528" s="20">
        <v>7.99115660342754e-6</v>
      </c>
    </row>
    <row r="529" spans="1:3">
      <c r="A529" s="1" t="s">
        <v>766</v>
      </c>
      <c r="B529" s="1">
        <v>1052</v>
      </c>
      <c r="C529" s="20">
        <v>5.92020897662379e-5</v>
      </c>
    </row>
    <row r="530" spans="1:3">
      <c r="A530" s="1" t="s">
        <v>680</v>
      </c>
      <c r="B530" s="1">
        <v>1429</v>
      </c>
      <c r="C530" s="20">
        <v>8.04180477908307e-5</v>
      </c>
    </row>
    <row r="531" spans="1:3">
      <c r="A531" s="1" t="s">
        <v>813</v>
      </c>
      <c r="B531" s="1">
        <v>889</v>
      </c>
      <c r="C531" s="20">
        <v>5.00291423975147e-5</v>
      </c>
    </row>
    <row r="532" spans="1:3">
      <c r="A532" s="1" t="s">
        <v>877</v>
      </c>
      <c r="B532" s="1">
        <v>651</v>
      </c>
      <c r="C532" s="20">
        <v>3.66355137241643e-5</v>
      </c>
    </row>
    <row r="533" spans="1:3">
      <c r="A533" s="1" t="s">
        <v>307</v>
      </c>
      <c r="B533" s="1">
        <v>9804</v>
      </c>
      <c r="C533" s="20">
        <v>0.000551727460140871</v>
      </c>
    </row>
    <row r="534" spans="1:3">
      <c r="A534" s="1" t="s">
        <v>1090</v>
      </c>
      <c r="B534" s="1">
        <v>240</v>
      </c>
      <c r="C534" s="20">
        <v>1.35061801748071e-5</v>
      </c>
    </row>
    <row r="535" spans="1:3">
      <c r="A535" s="1" t="s">
        <v>1485</v>
      </c>
      <c r="B535" s="1">
        <v>0</v>
      </c>
      <c r="C535" s="20">
        <v>0</v>
      </c>
    </row>
    <row r="536" spans="1:3">
      <c r="A536" s="1" t="s">
        <v>969</v>
      </c>
      <c r="B536" s="1">
        <v>447</v>
      </c>
      <c r="C536" s="20">
        <v>2.51552605755782e-5</v>
      </c>
    </row>
    <row r="537" spans="1:3">
      <c r="A537" s="1" t="s">
        <v>1150</v>
      </c>
      <c r="B537" s="1">
        <v>185</v>
      </c>
      <c r="C537" s="20">
        <v>1.04110138847472e-5</v>
      </c>
    </row>
    <row r="538" spans="1:3">
      <c r="A538" s="1" t="s">
        <v>983</v>
      </c>
      <c r="B538" s="1">
        <v>362</v>
      </c>
      <c r="C538" s="20">
        <v>2.03718217636674e-5</v>
      </c>
    </row>
    <row r="539" spans="1:3">
      <c r="A539" s="1" t="s">
        <v>809</v>
      </c>
      <c r="B539" s="1">
        <v>541</v>
      </c>
      <c r="C539" s="20">
        <v>3.04451811440444e-5</v>
      </c>
    </row>
    <row r="540" spans="1:3">
      <c r="A540" s="1" t="s">
        <v>850</v>
      </c>
      <c r="B540" s="1">
        <v>4403</v>
      </c>
      <c r="C540" s="20">
        <v>0.000247782130456982</v>
      </c>
    </row>
    <row r="541" spans="1:3">
      <c r="A541" s="1" t="s">
        <v>1247</v>
      </c>
      <c r="B541" s="1">
        <v>89</v>
      </c>
      <c r="C541" s="20">
        <v>5.0085418148243e-6</v>
      </c>
    </row>
    <row r="542" spans="1:3">
      <c r="A542" s="1" t="s">
        <v>1413</v>
      </c>
      <c r="B542" s="1">
        <v>16</v>
      </c>
      <c r="C542" s="20">
        <v>9.00412011653808e-7</v>
      </c>
    </row>
    <row r="543" spans="1:3">
      <c r="A543" s="1" t="s">
        <v>1324</v>
      </c>
      <c r="B543" s="1">
        <v>54</v>
      </c>
      <c r="C543" s="20">
        <v>3.0388905393316e-6</v>
      </c>
    </row>
    <row r="544" spans="1:3">
      <c r="A544" s="1" t="s">
        <v>1116</v>
      </c>
      <c r="B544" s="1">
        <v>223</v>
      </c>
      <c r="C544" s="20">
        <v>1.25494924124249e-5</v>
      </c>
    </row>
    <row r="545" spans="1:3">
      <c r="A545" s="1" t="s">
        <v>857</v>
      </c>
      <c r="B545" s="1">
        <v>748</v>
      </c>
      <c r="C545" s="20">
        <v>4.20942615448155e-5</v>
      </c>
    </row>
    <row r="546" spans="1:3">
      <c r="A546" s="1" t="s">
        <v>1085</v>
      </c>
      <c r="B546" s="1">
        <v>257</v>
      </c>
      <c r="C546" s="20">
        <v>1.44628679371893e-5</v>
      </c>
    </row>
    <row r="547" spans="1:3">
      <c r="A547" s="1" t="s">
        <v>1332</v>
      </c>
      <c r="B547" s="1">
        <v>51</v>
      </c>
      <c r="C547" s="20">
        <v>2.87006328714651e-6</v>
      </c>
    </row>
    <row r="548" spans="1:3">
      <c r="A548" s="1" t="s">
        <v>698</v>
      </c>
      <c r="B548" s="1">
        <v>1367</v>
      </c>
      <c r="C548" s="20">
        <v>7.69289512456722e-5</v>
      </c>
    </row>
    <row r="549" spans="1:3">
      <c r="A549" s="1" t="s">
        <v>581</v>
      </c>
      <c r="B549" s="1">
        <v>2009</v>
      </c>
      <c r="C549" s="20">
        <v>0.000113057983213281</v>
      </c>
    </row>
    <row r="550" spans="1:3">
      <c r="A550" s="1" t="s">
        <v>1363</v>
      </c>
      <c r="B550" s="1">
        <v>36</v>
      </c>
      <c r="C550" s="20">
        <v>2.02592702622107e-6</v>
      </c>
    </row>
    <row r="551" spans="1:3">
      <c r="A551" s="1" t="s">
        <v>1025</v>
      </c>
      <c r="B551" s="1">
        <v>320</v>
      </c>
      <c r="C551" s="20">
        <v>1.80082402330762e-5</v>
      </c>
    </row>
    <row r="552" spans="1:3">
      <c r="A552" s="1" t="s">
        <v>937</v>
      </c>
      <c r="B552" s="1">
        <v>503</v>
      </c>
      <c r="C552" s="20">
        <v>2.83067026163666e-5</v>
      </c>
    </row>
    <row r="553" spans="1:3">
      <c r="A553" s="1" t="s">
        <v>1207</v>
      </c>
      <c r="B553" s="1">
        <v>129</v>
      </c>
      <c r="C553" s="20">
        <v>7.25957184395882e-6</v>
      </c>
    </row>
    <row r="554" spans="1:3">
      <c r="A554" s="1" t="s">
        <v>918</v>
      </c>
      <c r="B554" s="1">
        <v>455</v>
      </c>
      <c r="C554" s="20">
        <v>2.56054665814052e-5</v>
      </c>
    </row>
    <row r="555" spans="1:3">
      <c r="A555" s="1" t="s">
        <v>1017</v>
      </c>
      <c r="B555" s="1">
        <v>356</v>
      </c>
      <c r="C555" s="20">
        <v>2.00341672592972e-5</v>
      </c>
    </row>
    <row r="556" spans="1:3">
      <c r="A556" s="1" t="s">
        <v>567</v>
      </c>
      <c r="B556" s="1">
        <v>2627</v>
      </c>
      <c r="C556" s="20">
        <v>0.00014783639716341</v>
      </c>
    </row>
    <row r="557" spans="1:3">
      <c r="A557" s="1" t="s">
        <v>561</v>
      </c>
      <c r="B557" s="1">
        <v>2175</v>
      </c>
      <c r="C557" s="20">
        <v>0.000122399757834189</v>
      </c>
    </row>
    <row r="558" spans="1:3">
      <c r="A558" s="1" t="s">
        <v>807</v>
      </c>
      <c r="B558" s="1">
        <v>228</v>
      </c>
      <c r="C558" s="20">
        <v>1.28308711660668e-5</v>
      </c>
    </row>
    <row r="559" spans="1:3">
      <c r="A559" s="1" t="s">
        <v>310</v>
      </c>
      <c r="B559" s="1">
        <v>9629</v>
      </c>
      <c r="C559" s="20">
        <v>0.000541879203763407</v>
      </c>
    </row>
    <row r="560" spans="1:3">
      <c r="A560" s="1" t="s">
        <v>97</v>
      </c>
      <c r="B560" s="1">
        <v>86902</v>
      </c>
      <c r="C560" s="20">
        <v>0.0048904752897962</v>
      </c>
    </row>
    <row r="561" spans="1:3">
      <c r="A561" s="1" t="s">
        <v>112</v>
      </c>
      <c r="B561" s="1">
        <v>56652</v>
      </c>
      <c r="C561" s="20">
        <v>0.00318813383026322</v>
      </c>
    </row>
    <row r="562" spans="1:3">
      <c r="A562" s="1" t="s">
        <v>356</v>
      </c>
      <c r="B562" s="1">
        <v>7421</v>
      </c>
      <c r="C562" s="20">
        <v>0.000417622346155182</v>
      </c>
    </row>
    <row r="563" spans="1:3">
      <c r="A563" s="1" t="s">
        <v>285</v>
      </c>
      <c r="B563" s="1">
        <v>12478</v>
      </c>
      <c r="C563" s="20">
        <v>0.000702208817588513</v>
      </c>
    </row>
    <row r="564" spans="1:3">
      <c r="A564" s="1" t="s">
        <v>60</v>
      </c>
      <c r="B564" s="1">
        <v>235869</v>
      </c>
      <c r="C564" s="20">
        <v>0.0132737050485482</v>
      </c>
    </row>
    <row r="565" spans="1:3">
      <c r="A565" s="1" t="s">
        <v>137</v>
      </c>
      <c r="B565" s="1">
        <v>38713</v>
      </c>
      <c r="C565" s="20">
        <v>0.00217860313794712</v>
      </c>
    </row>
    <row r="566" spans="1:3">
      <c r="A566" s="1" t="s">
        <v>32</v>
      </c>
      <c r="B566" s="1">
        <v>902689</v>
      </c>
      <c r="C566" s="20">
        <v>0.0507995011492352</v>
      </c>
    </row>
    <row r="567" spans="1:3">
      <c r="A567" s="1" t="s">
        <v>104</v>
      </c>
      <c r="B567" s="1">
        <v>65225</v>
      </c>
      <c r="C567" s="20">
        <v>0.00367058584125748</v>
      </c>
    </row>
    <row r="568" spans="1:3">
      <c r="A568" s="1" t="s">
        <v>101</v>
      </c>
      <c r="B568" s="1">
        <v>82754</v>
      </c>
      <c r="C568" s="20">
        <v>0.00465704347577495</v>
      </c>
    </row>
    <row r="569" spans="1:3">
      <c r="A569" s="1" t="s">
        <v>266</v>
      </c>
      <c r="B569" s="1">
        <v>15247</v>
      </c>
      <c r="C569" s="20">
        <v>0.00085803637135535</v>
      </c>
    </row>
    <row r="570" spans="1:3">
      <c r="A570" s="1" t="s">
        <v>274</v>
      </c>
      <c r="B570" s="1">
        <v>14150</v>
      </c>
      <c r="C570" s="20">
        <v>0.000796301872806336</v>
      </c>
    </row>
    <row r="571" spans="1:3">
      <c r="A571" s="1" t="s">
        <v>1487</v>
      </c>
      <c r="B571" s="1">
        <v>1342</v>
      </c>
      <c r="C571" s="20">
        <v>7.55220574774631e-5</v>
      </c>
    </row>
    <row r="572" spans="1:3">
      <c r="A572" s="1" t="s">
        <v>201</v>
      </c>
      <c r="B572" s="1">
        <v>24973</v>
      </c>
      <c r="C572" s="20">
        <v>0.00140537432293941</v>
      </c>
    </row>
    <row r="573" spans="1:3">
      <c r="A573" s="1" t="s">
        <v>1489</v>
      </c>
      <c r="B573" s="1">
        <v>56678</v>
      </c>
      <c r="C573" s="20">
        <v>0.00318959699978216</v>
      </c>
    </row>
    <row r="574" spans="1:3">
      <c r="A574" s="1" t="s">
        <v>85</v>
      </c>
      <c r="B574" s="1">
        <v>133619</v>
      </c>
      <c r="C574" s="20">
        <v>0.00751950953657313</v>
      </c>
    </row>
    <row r="575" spans="1:3">
      <c r="A575" s="1" t="s">
        <v>78</v>
      </c>
      <c r="B575" s="1">
        <v>137696</v>
      </c>
      <c r="C575" s="20">
        <v>0.00774894577229267</v>
      </c>
    </row>
    <row r="576" spans="1:3">
      <c r="A576" s="1" t="s">
        <v>95</v>
      </c>
      <c r="B576" s="1">
        <v>90498</v>
      </c>
      <c r="C576" s="20">
        <v>0.00509284288941539</v>
      </c>
    </row>
    <row r="577" spans="1:3">
      <c r="A577" s="1" t="s">
        <v>150</v>
      </c>
      <c r="B577" s="1">
        <v>35786</v>
      </c>
      <c r="C577" s="20">
        <v>0.0020138840155652</v>
      </c>
    </row>
    <row r="578" spans="1:3">
      <c r="A578" s="1" t="s">
        <v>271</v>
      </c>
      <c r="B578" s="1">
        <v>14836</v>
      </c>
      <c r="C578" s="20">
        <v>0.000834907037805993</v>
      </c>
    </row>
    <row r="579" spans="1:3">
      <c r="A579" s="1" t="s">
        <v>492</v>
      </c>
      <c r="B579" s="1">
        <v>3487</v>
      </c>
      <c r="C579" s="20">
        <v>0.000196233542789802</v>
      </c>
    </row>
    <row r="580" spans="1:3">
      <c r="A580" s="1" t="s">
        <v>48</v>
      </c>
      <c r="B580" s="1">
        <v>343586</v>
      </c>
      <c r="C580" s="20">
        <v>0.0193355600897553</v>
      </c>
    </row>
    <row r="581" spans="1:3">
      <c r="A581" s="1" t="s">
        <v>22</v>
      </c>
      <c r="B581" s="1">
        <v>1829147</v>
      </c>
      <c r="C581" s="20">
        <v>0.102936620617533</v>
      </c>
    </row>
    <row r="582" spans="1:3">
      <c r="A582" s="1" t="s">
        <v>323</v>
      </c>
      <c r="B582" s="1">
        <v>8863</v>
      </c>
      <c r="C582" s="20">
        <v>0.000498771978705481</v>
      </c>
    </row>
    <row r="583" spans="1:3">
      <c r="A583" s="1" t="s">
        <v>970</v>
      </c>
      <c r="B583" s="1">
        <v>447</v>
      </c>
      <c r="C583" s="20">
        <v>2.51552605755782e-5</v>
      </c>
    </row>
    <row r="584" spans="1:3">
      <c r="A584" s="1" t="s">
        <v>936</v>
      </c>
      <c r="B584" s="1">
        <v>487</v>
      </c>
      <c r="C584" s="20">
        <v>2.74062906047128e-5</v>
      </c>
    </row>
    <row r="585" spans="1:3">
      <c r="A585" s="1" t="s">
        <v>180</v>
      </c>
      <c r="B585" s="1">
        <v>29902</v>
      </c>
      <c r="C585" s="20">
        <v>0.00168275749827951</v>
      </c>
    </row>
    <row r="586" spans="1:3">
      <c r="A586" s="1" t="s">
        <v>551</v>
      </c>
      <c r="B586" s="1">
        <v>2775</v>
      </c>
      <c r="C586" s="20">
        <v>0.000156165208271207</v>
      </c>
    </row>
    <row r="587" spans="1:3">
      <c r="A587" s="1" t="s">
        <v>193</v>
      </c>
      <c r="B587" s="1">
        <v>28303</v>
      </c>
      <c r="C587" s="20">
        <v>0.00159277257286486</v>
      </c>
    </row>
    <row r="588" spans="1:3">
      <c r="A588" s="1" t="s">
        <v>494</v>
      </c>
      <c r="B588" s="1">
        <v>3251</v>
      </c>
      <c r="C588" s="20">
        <v>0.000182952465617908</v>
      </c>
    </row>
    <row r="589" spans="1:3">
      <c r="A589" s="1" t="s">
        <v>903</v>
      </c>
      <c r="B589" s="1">
        <v>606</v>
      </c>
      <c r="C589" s="20">
        <v>3.4103104941388e-5</v>
      </c>
    </row>
    <row r="590" spans="1:3">
      <c r="A590" s="1" t="s">
        <v>1491</v>
      </c>
      <c r="B590" s="1">
        <v>0</v>
      </c>
      <c r="C590" s="20">
        <v>0</v>
      </c>
    </row>
    <row r="591" spans="1:3">
      <c r="A591" s="1" t="s">
        <v>231</v>
      </c>
      <c r="B591" s="1">
        <v>19393</v>
      </c>
      <c r="C591" s="20">
        <v>0.00109135563387514</v>
      </c>
    </row>
    <row r="592" spans="1:3">
      <c r="A592" s="1" t="s">
        <v>1492</v>
      </c>
      <c r="B592" s="1">
        <v>20755</v>
      </c>
      <c r="C592" s="20">
        <v>0.00116800320636717</v>
      </c>
    </row>
    <row r="593" spans="1:3">
      <c r="A593" s="1" t="s">
        <v>854</v>
      </c>
      <c r="B593" s="1">
        <v>755</v>
      </c>
      <c r="C593" s="20">
        <v>4.2488191799914e-5</v>
      </c>
    </row>
    <row r="594" spans="1:3">
      <c r="A594" s="1" t="s">
        <v>670</v>
      </c>
      <c r="B594" s="1">
        <v>1560</v>
      </c>
      <c r="C594" s="20">
        <v>8.77901711362462e-5</v>
      </c>
    </row>
    <row r="595" spans="1:3">
      <c r="A595" s="1" t="s">
        <v>1494</v>
      </c>
      <c r="B595" s="1">
        <v>15250</v>
      </c>
      <c r="C595" s="20">
        <v>0.000858205198607535</v>
      </c>
    </row>
    <row r="596" spans="1:3">
      <c r="A596" s="1" t="s">
        <v>380</v>
      </c>
      <c r="B596" s="1">
        <v>6440</v>
      </c>
      <c r="C596" s="20">
        <v>0.000362415834690658</v>
      </c>
    </row>
    <row r="597" spans="1:3">
      <c r="A597" s="1" t="s">
        <v>549</v>
      </c>
      <c r="B597" s="1">
        <v>2789</v>
      </c>
      <c r="C597" s="20">
        <v>0.000156953068781404</v>
      </c>
    </row>
    <row r="598" spans="1:3">
      <c r="A598" s="1" t="s">
        <v>51</v>
      </c>
      <c r="B598" s="1">
        <v>304336</v>
      </c>
      <c r="C598" s="20">
        <v>0.0171267368736671</v>
      </c>
    </row>
    <row r="599" spans="1:3">
      <c r="A599" s="1" t="s">
        <v>1500</v>
      </c>
      <c r="B599" s="1">
        <v>0</v>
      </c>
      <c r="C599" s="20">
        <v>0</v>
      </c>
    </row>
    <row r="600" spans="1:3">
      <c r="A600" s="1" t="s">
        <v>594</v>
      </c>
      <c r="B600" s="1">
        <v>2270</v>
      </c>
      <c r="C600" s="20">
        <v>0.000127745954153384</v>
      </c>
    </row>
    <row r="601" spans="1:3">
      <c r="A601" s="1" t="s">
        <v>900</v>
      </c>
      <c r="B601" s="1">
        <v>614</v>
      </c>
      <c r="C601" s="20">
        <v>3.45533109472149e-5</v>
      </c>
    </row>
    <row r="602" spans="1:3">
      <c r="A602" s="1" t="s">
        <v>49</v>
      </c>
      <c r="B602" s="1">
        <v>327494</v>
      </c>
      <c r="C602" s="20">
        <v>0.0184299707090345</v>
      </c>
    </row>
    <row r="603" spans="1:3">
      <c r="A603" s="1" t="s">
        <v>272</v>
      </c>
      <c r="B603" s="1">
        <v>14583</v>
      </c>
      <c r="C603" s="20">
        <v>0.000820669272871717</v>
      </c>
    </row>
    <row r="604" spans="1:3">
      <c r="A604" s="1" t="s">
        <v>235</v>
      </c>
      <c r="B604" s="1">
        <v>18668</v>
      </c>
      <c r="C604" s="20">
        <v>0.00105055571459708</v>
      </c>
    </row>
    <row r="605" spans="1:3">
      <c r="A605" s="1" t="s">
        <v>154</v>
      </c>
      <c r="B605" s="1">
        <v>35050</v>
      </c>
      <c r="C605" s="20">
        <v>0.00197246506302912</v>
      </c>
    </row>
    <row r="606" spans="1:3">
      <c r="A606" s="1" t="s">
        <v>863</v>
      </c>
      <c r="B606" s="1">
        <v>718</v>
      </c>
      <c r="C606" s="20">
        <v>4.04059890229646e-5</v>
      </c>
    </row>
    <row r="607" spans="1:3">
      <c r="A607" s="1" t="s">
        <v>596</v>
      </c>
      <c r="B607" s="1">
        <v>2257</v>
      </c>
      <c r="C607" s="20">
        <v>0.000127014369393915</v>
      </c>
    </row>
    <row r="608" spans="1:3">
      <c r="A608" s="1" t="s">
        <v>1496</v>
      </c>
      <c r="B608" s="1">
        <v>0</v>
      </c>
      <c r="C608" s="20">
        <v>0</v>
      </c>
    </row>
    <row r="609" spans="1:3">
      <c r="A609" s="1" t="s">
        <v>501</v>
      </c>
      <c r="B609" s="1">
        <v>3337</v>
      </c>
      <c r="C609" s="20">
        <v>0.000187792180180547</v>
      </c>
    </row>
    <row r="610" spans="1:3">
      <c r="A610" s="1" t="s">
        <v>217</v>
      </c>
      <c r="B610" s="1">
        <v>22242</v>
      </c>
      <c r="C610" s="20">
        <v>0.00125168524770025</v>
      </c>
    </row>
    <row r="611" spans="1:3">
      <c r="A611" s="1" t="s">
        <v>76</v>
      </c>
      <c r="B611" s="1">
        <v>140288</v>
      </c>
      <c r="C611" s="20">
        <v>0.00789481251818059</v>
      </c>
    </row>
    <row r="612" spans="1:3">
      <c r="A612" s="1" t="s">
        <v>628</v>
      </c>
      <c r="B612" s="1">
        <v>1821</v>
      </c>
      <c r="C612" s="20">
        <v>0.000102478142076349</v>
      </c>
    </row>
    <row r="613" spans="1:3">
      <c r="A613" s="1" t="s">
        <v>518</v>
      </c>
      <c r="B613" s="1">
        <v>3040</v>
      </c>
      <c r="C613" s="20">
        <v>0.000171078282214223</v>
      </c>
    </row>
    <row r="614" spans="1:3">
      <c r="A614" s="1" t="s">
        <v>856</v>
      </c>
      <c r="B614" s="1">
        <v>750</v>
      </c>
      <c r="C614" s="20">
        <v>4.22068130462722e-5</v>
      </c>
    </row>
    <row r="615" spans="1:3">
      <c r="A615" s="1" t="s">
        <v>1043</v>
      </c>
      <c r="B615" s="1">
        <v>306</v>
      </c>
      <c r="C615" s="20">
        <v>1.72203797228791e-5</v>
      </c>
    </row>
    <row r="616" spans="1:3">
      <c r="A616" s="1" t="s">
        <v>1108</v>
      </c>
      <c r="B616" s="1">
        <v>233</v>
      </c>
      <c r="C616" s="20">
        <v>1.31122499197086e-5</v>
      </c>
    </row>
    <row r="617" spans="1:3">
      <c r="A617" s="1" t="s">
        <v>1281</v>
      </c>
      <c r="B617" s="1">
        <v>76</v>
      </c>
      <c r="C617" s="20">
        <v>4.27695705535559e-6</v>
      </c>
    </row>
    <row r="618" spans="1:3">
      <c r="A618" s="1" t="s">
        <v>686</v>
      </c>
      <c r="B618" s="1">
        <v>1201</v>
      </c>
      <c r="C618" s="20">
        <v>6.75871766247639e-5</v>
      </c>
    </row>
    <row r="619" spans="1:3">
      <c r="A619" s="1" t="s">
        <v>808</v>
      </c>
      <c r="B619" s="1">
        <v>916</v>
      </c>
      <c r="C619" s="20">
        <v>5.15485876671805e-5</v>
      </c>
    </row>
    <row r="620" spans="1:3">
      <c r="A620" s="1" t="s">
        <v>593</v>
      </c>
      <c r="B620" s="1">
        <v>2265</v>
      </c>
      <c r="C620" s="20">
        <v>0.000127464575399742</v>
      </c>
    </row>
    <row r="621" spans="1:3">
      <c r="A621" s="1" t="s">
        <v>1501</v>
      </c>
      <c r="B621" s="1">
        <v>18901</v>
      </c>
      <c r="C621" s="20">
        <v>0.00106366796451679</v>
      </c>
    </row>
    <row r="622" spans="1:3">
      <c r="A622" s="1" t="s">
        <v>946</v>
      </c>
      <c r="B622" s="1">
        <v>488</v>
      </c>
      <c r="C622" s="20">
        <v>2.74625663554411e-5</v>
      </c>
    </row>
    <row r="623" spans="1:3">
      <c r="A623" s="1" t="s">
        <v>293</v>
      </c>
      <c r="B623" s="1">
        <v>10629</v>
      </c>
      <c r="C623" s="20">
        <v>0.00059815495449177</v>
      </c>
    </row>
    <row r="624" spans="1:3">
      <c r="A624" s="1" t="s">
        <v>157</v>
      </c>
      <c r="B624" s="1">
        <v>34925</v>
      </c>
      <c r="C624" s="20">
        <v>0.00196543059418808</v>
      </c>
    </row>
    <row r="625" spans="1:3">
      <c r="A625" s="1" t="s">
        <v>914</v>
      </c>
      <c r="B625" s="1">
        <v>578</v>
      </c>
      <c r="C625" s="20">
        <v>3.25273839209938e-5</v>
      </c>
    </row>
    <row r="626" spans="1:3">
      <c r="A626" s="1" t="s">
        <v>1195</v>
      </c>
      <c r="B626" s="1">
        <v>142</v>
      </c>
      <c r="C626" s="20">
        <v>7.99115660342754e-6</v>
      </c>
    </row>
    <row r="627" spans="1:3">
      <c r="A627" s="1" t="s">
        <v>1096</v>
      </c>
      <c r="B627" s="1">
        <v>245</v>
      </c>
      <c r="C627" s="20">
        <v>1.37875589284489e-5</v>
      </c>
    </row>
    <row r="628" spans="1:3">
      <c r="A628" s="1" t="s">
        <v>855</v>
      </c>
      <c r="B628" s="1">
        <v>752</v>
      </c>
      <c r="C628" s="20">
        <v>4.2319364547729e-5</v>
      </c>
    </row>
    <row r="629" spans="1:3">
      <c r="A629" s="1" t="s">
        <v>1503</v>
      </c>
      <c r="B629" s="1">
        <v>3251</v>
      </c>
      <c r="C629" s="20">
        <v>0.000182952465617908</v>
      </c>
    </row>
    <row r="630" spans="1:3">
      <c r="A630" s="1" t="s">
        <v>464</v>
      </c>
      <c r="B630" s="1">
        <v>3915</v>
      </c>
      <c r="C630" s="20">
        <v>0.000220319564101541</v>
      </c>
    </row>
    <row r="631" spans="1:3">
      <c r="A631" s="1" t="s">
        <v>483</v>
      </c>
      <c r="B631" s="1">
        <v>3399</v>
      </c>
      <c r="C631" s="20">
        <v>0.000191281276725706</v>
      </c>
    </row>
    <row r="632" spans="1:3">
      <c r="A632" s="1" t="s">
        <v>736</v>
      </c>
      <c r="B632" s="1">
        <v>1208</v>
      </c>
      <c r="C632" s="20">
        <v>6.79811068798625e-5</v>
      </c>
    </row>
    <row r="633" spans="1:3">
      <c r="A633" s="1" t="s">
        <v>1498</v>
      </c>
      <c r="B633" s="1">
        <v>40</v>
      </c>
      <c r="C633" s="20">
        <v>2.25103002913452e-6</v>
      </c>
    </row>
    <row r="634" spans="1:3">
      <c r="A634" s="1" t="s">
        <v>673</v>
      </c>
      <c r="B634" s="1">
        <v>1533</v>
      </c>
      <c r="C634" s="20">
        <v>8.62707258665804e-5</v>
      </c>
    </row>
    <row r="635" spans="1:3">
      <c r="A635" s="1" t="s">
        <v>1505</v>
      </c>
      <c r="B635" s="1">
        <v>9502</v>
      </c>
      <c r="C635" s="20">
        <v>0.000534732183420905</v>
      </c>
    </row>
    <row r="636" spans="1:3">
      <c r="A636" s="1" t="s">
        <v>756</v>
      </c>
      <c r="B636" s="1">
        <v>1118</v>
      </c>
      <c r="C636" s="20">
        <v>6.29162893143098e-5</v>
      </c>
    </row>
    <row r="637" spans="1:3">
      <c r="A637" s="1" t="s">
        <v>559</v>
      </c>
      <c r="B637" s="1">
        <v>2684</v>
      </c>
      <c r="C637" s="20">
        <v>0.000151044114954926</v>
      </c>
    </row>
    <row r="638" spans="1:3">
      <c r="A638" s="1" t="s">
        <v>1094</v>
      </c>
      <c r="B638" s="1">
        <v>250</v>
      </c>
      <c r="C638" s="20">
        <v>1.40689376820907e-5</v>
      </c>
    </row>
    <row r="639" spans="1:3">
      <c r="A639" s="1" t="s">
        <v>448</v>
      </c>
      <c r="B639" s="1">
        <v>4253</v>
      </c>
      <c r="C639" s="20">
        <v>0.000239340767847728</v>
      </c>
    </row>
    <row r="640" spans="1:3">
      <c r="A640" s="1" t="s">
        <v>402</v>
      </c>
      <c r="B640" s="1">
        <v>5470</v>
      </c>
      <c r="C640" s="20">
        <v>0.000307828356484146</v>
      </c>
    </row>
    <row r="641" spans="1:3">
      <c r="A641" s="1" t="s">
        <v>602</v>
      </c>
      <c r="B641" s="1">
        <v>2193</v>
      </c>
      <c r="C641" s="20">
        <v>0.0001234127213473</v>
      </c>
    </row>
    <row r="642" spans="1:3">
      <c r="A642" s="1" t="s">
        <v>194</v>
      </c>
      <c r="B642" s="1">
        <v>27904</v>
      </c>
      <c r="C642" s="20">
        <v>0.00157031854832424</v>
      </c>
    </row>
    <row r="643" spans="1:3">
      <c r="A643" s="1" t="s">
        <v>410</v>
      </c>
      <c r="B643" s="1">
        <v>5123</v>
      </c>
      <c r="C643" s="20">
        <v>0.000288300670981404</v>
      </c>
    </row>
    <row r="644" spans="1:3">
      <c r="A644" s="1" t="s">
        <v>1507</v>
      </c>
      <c r="B644" s="1">
        <v>157077</v>
      </c>
      <c r="C644" s="20">
        <v>0.00883962609715907</v>
      </c>
    </row>
    <row r="645" spans="1:3">
      <c r="A645" s="1" t="s">
        <v>314</v>
      </c>
      <c r="B645" s="1">
        <v>9705</v>
      </c>
      <c r="C645" s="20">
        <v>0.000546156160818763</v>
      </c>
    </row>
    <row r="646" spans="1:3">
      <c r="A646" s="1" t="s">
        <v>1509</v>
      </c>
      <c r="B646" s="1">
        <v>10377</v>
      </c>
      <c r="C646" s="20">
        <v>0.000583973465308223</v>
      </c>
    </row>
    <row r="647" spans="1:3">
      <c r="A647" s="1" t="s">
        <v>488</v>
      </c>
      <c r="B647" s="1">
        <v>3552</v>
      </c>
      <c r="C647" s="20">
        <v>0.000199891466587145</v>
      </c>
    </row>
    <row r="648" spans="1:3">
      <c r="A648" s="1" t="s">
        <v>394</v>
      </c>
      <c r="B648" s="1">
        <v>5789</v>
      </c>
      <c r="C648" s="20">
        <v>0.000325780320966493</v>
      </c>
    </row>
    <row r="649" spans="1:3">
      <c r="A649" s="1" t="s">
        <v>484</v>
      </c>
      <c r="B649" s="1">
        <v>3579</v>
      </c>
      <c r="C649" s="20">
        <v>0.000201410911856811</v>
      </c>
    </row>
    <row r="650" spans="1:3">
      <c r="A650" s="1" t="s">
        <v>69</v>
      </c>
      <c r="B650" s="1">
        <v>182504</v>
      </c>
      <c r="C650" s="20">
        <v>0.0102705496109292</v>
      </c>
    </row>
    <row r="651" spans="1:3">
      <c r="A651" s="1" t="s">
        <v>65</v>
      </c>
      <c r="B651" s="1">
        <v>194698</v>
      </c>
      <c r="C651" s="20">
        <v>0.0109567761153108</v>
      </c>
    </row>
    <row r="652" spans="1:3">
      <c r="A652" s="1" t="s">
        <v>664</v>
      </c>
      <c r="B652" s="1">
        <v>1593</v>
      </c>
      <c r="C652" s="20">
        <v>8.96472709102822e-5</v>
      </c>
    </row>
    <row r="653" spans="1:3">
      <c r="A653" s="1" t="s">
        <v>411</v>
      </c>
      <c r="B653" s="1">
        <v>5079</v>
      </c>
      <c r="C653" s="20">
        <v>0.000285824537949356</v>
      </c>
    </row>
    <row r="654" spans="1:3">
      <c r="A654" s="1" t="s">
        <v>1130</v>
      </c>
      <c r="B654" s="1">
        <v>209</v>
      </c>
      <c r="C654" s="20">
        <v>1.17616319022279e-5</v>
      </c>
    </row>
    <row r="655" spans="1:3">
      <c r="A655" s="1" t="s">
        <v>604</v>
      </c>
      <c r="B655" s="1">
        <v>2150</v>
      </c>
      <c r="C655" s="20">
        <v>0.00012099286406598</v>
      </c>
    </row>
    <row r="656" spans="1:3">
      <c r="A656" s="1" t="s">
        <v>216</v>
      </c>
      <c r="B656" s="1">
        <v>22400</v>
      </c>
      <c r="C656" s="20">
        <v>0.00126057681631533</v>
      </c>
    </row>
    <row r="657" spans="1:3">
      <c r="A657" s="1" t="s">
        <v>233</v>
      </c>
      <c r="B657" s="1">
        <v>19466</v>
      </c>
      <c r="C657" s="20">
        <v>0.00109546376367831</v>
      </c>
    </row>
    <row r="658" spans="1:3">
      <c r="A658" s="1" t="s">
        <v>237</v>
      </c>
      <c r="B658" s="1">
        <v>18563</v>
      </c>
      <c r="C658" s="20">
        <v>0.0010446467607706</v>
      </c>
    </row>
    <row r="659" spans="1:3">
      <c r="A659" s="1" t="s">
        <v>652</v>
      </c>
      <c r="B659" s="1">
        <v>1749</v>
      </c>
      <c r="C659" s="20">
        <v>9.84262880239069e-5</v>
      </c>
    </row>
    <row r="660" spans="1:3">
      <c r="A660" s="1" t="s">
        <v>478</v>
      </c>
      <c r="B660" s="1">
        <v>3656</v>
      </c>
      <c r="C660" s="20">
        <v>0.000205744144662895</v>
      </c>
    </row>
    <row r="661" spans="1:3">
      <c r="A661" s="1" t="s">
        <v>42</v>
      </c>
      <c r="B661" s="1">
        <v>445070</v>
      </c>
      <c r="C661" s="20">
        <v>0.0250466483766725</v>
      </c>
    </row>
    <row r="662" spans="1:3">
      <c r="A662" s="1" t="s">
        <v>247</v>
      </c>
      <c r="B662" s="1">
        <v>16554</v>
      </c>
      <c r="C662" s="20">
        <v>0.000931588777557321</v>
      </c>
    </row>
    <row r="663" spans="1:3">
      <c r="A663" s="1" t="s">
        <v>1099</v>
      </c>
      <c r="B663" s="1">
        <v>244</v>
      </c>
      <c r="C663" s="20">
        <v>1.37312831777206e-5</v>
      </c>
    </row>
    <row r="664" spans="1:3">
      <c r="A664" s="1" t="s">
        <v>977</v>
      </c>
      <c r="B664" s="1">
        <v>434</v>
      </c>
      <c r="C664" s="20">
        <v>2.44236758161095e-5</v>
      </c>
    </row>
    <row r="665" spans="1:3">
      <c r="A665" s="1" t="s">
        <v>715</v>
      </c>
      <c r="B665" s="1">
        <v>1277</v>
      </c>
      <c r="C665" s="20">
        <v>7.18641336801195e-5</v>
      </c>
    </row>
    <row r="666" spans="1:3">
      <c r="A666" s="1" t="s">
        <v>267</v>
      </c>
      <c r="B666" s="1">
        <v>14880</v>
      </c>
      <c r="C666" s="20">
        <v>0.000837383170838041</v>
      </c>
    </row>
    <row r="667" spans="1:3">
      <c r="A667" s="1" t="s">
        <v>955</v>
      </c>
      <c r="B667" s="1">
        <v>464</v>
      </c>
      <c r="C667" s="20">
        <v>2.61119483379604e-5</v>
      </c>
    </row>
    <row r="668" spans="1:3">
      <c r="A668" s="1" t="s">
        <v>1169</v>
      </c>
      <c r="B668" s="1">
        <v>169</v>
      </c>
      <c r="C668" s="20">
        <v>9.51060187309334e-6</v>
      </c>
    </row>
    <row r="669" spans="1:3">
      <c r="A669" s="1" t="s">
        <v>797</v>
      </c>
      <c r="B669" s="1">
        <v>948</v>
      </c>
      <c r="C669" s="20">
        <v>5.33494116904881e-5</v>
      </c>
    </row>
    <row r="670" spans="1:3">
      <c r="A670" s="1" t="s">
        <v>1190</v>
      </c>
      <c r="B670" s="1">
        <v>149</v>
      </c>
      <c r="C670" s="20">
        <v>8.38508685852608e-6</v>
      </c>
    </row>
    <row r="671" spans="1:3">
      <c r="A671" s="1" t="s">
        <v>931</v>
      </c>
      <c r="B671" s="1">
        <v>544</v>
      </c>
      <c r="C671" s="20">
        <v>3.06140083962295e-5</v>
      </c>
    </row>
    <row r="672" spans="1:3">
      <c r="A672" s="1" t="s">
        <v>557</v>
      </c>
      <c r="B672" s="1">
        <v>2714</v>
      </c>
      <c r="C672" s="20">
        <v>0.000152732387476777</v>
      </c>
    </row>
    <row r="673" spans="1:3">
      <c r="A673" s="1" t="s">
        <v>542</v>
      </c>
      <c r="B673" s="1">
        <v>2823</v>
      </c>
      <c r="C673" s="20">
        <v>0.000158866444306169</v>
      </c>
    </row>
    <row r="674" spans="1:3">
      <c r="A674" s="1" t="s">
        <v>1341</v>
      </c>
      <c r="B674" s="1">
        <v>46</v>
      </c>
      <c r="C674" s="20">
        <v>2.5886845335047e-6</v>
      </c>
    </row>
    <row r="675" spans="1:3">
      <c r="A675" s="1" t="s">
        <v>980</v>
      </c>
      <c r="B675" s="1">
        <v>429</v>
      </c>
      <c r="C675" s="20">
        <v>2.41422970624677e-5</v>
      </c>
    </row>
    <row r="676" spans="1:3">
      <c r="A676" s="1" t="s">
        <v>403</v>
      </c>
      <c r="B676" s="1">
        <v>5243</v>
      </c>
      <c r="C676" s="20">
        <v>0.000295053761068807</v>
      </c>
    </row>
    <row r="677" spans="1:3">
      <c r="A677" s="1" t="s">
        <v>974</v>
      </c>
      <c r="B677" s="1">
        <v>443</v>
      </c>
      <c r="C677" s="20">
        <v>2.49301575726648e-5</v>
      </c>
    </row>
    <row r="678" spans="1:3">
      <c r="A678" s="1" t="s">
        <v>982</v>
      </c>
      <c r="B678" s="1">
        <v>429</v>
      </c>
      <c r="C678" s="20">
        <v>2.41422970624677e-5</v>
      </c>
    </row>
    <row r="679" spans="1:3">
      <c r="A679" s="1" t="s">
        <v>525</v>
      </c>
      <c r="B679" s="1">
        <v>2999</v>
      </c>
      <c r="C679" s="20">
        <v>0.000168770976434361</v>
      </c>
    </row>
    <row r="680" spans="1:3">
      <c r="A680" s="1" t="s">
        <v>1218</v>
      </c>
      <c r="B680" s="1">
        <v>122</v>
      </c>
      <c r="C680" s="20">
        <v>6.86564158886028e-6</v>
      </c>
    </row>
    <row r="681" spans="1:3">
      <c r="A681" s="1" t="s">
        <v>1309</v>
      </c>
      <c r="B681" s="1">
        <v>60</v>
      </c>
      <c r="C681" s="20">
        <v>3.37654504370178e-6</v>
      </c>
    </row>
    <row r="682" spans="1:3">
      <c r="A682" s="1" t="s">
        <v>1103</v>
      </c>
      <c r="B682" s="1">
        <v>235</v>
      </c>
      <c r="C682" s="20">
        <v>1.32248014211653e-5</v>
      </c>
    </row>
    <row r="683" spans="1:3">
      <c r="A683" s="1" t="s">
        <v>844</v>
      </c>
      <c r="B683" s="1">
        <v>787</v>
      </c>
      <c r="C683" s="20">
        <v>4.42890158232217e-5</v>
      </c>
    </row>
    <row r="684" spans="1:3">
      <c r="A684" s="1" t="s">
        <v>610</v>
      </c>
      <c r="B684" s="1">
        <v>2101</v>
      </c>
      <c r="C684" s="20">
        <v>0.000118235352280291</v>
      </c>
    </row>
    <row r="685" spans="1:3">
      <c r="A685" s="1" t="s">
        <v>1109</v>
      </c>
      <c r="B685" s="1">
        <v>233</v>
      </c>
      <c r="C685" s="20">
        <v>1.31122499197086e-5</v>
      </c>
    </row>
    <row r="686" spans="1:3">
      <c r="A686" s="1" t="s">
        <v>623</v>
      </c>
      <c r="B686" s="1">
        <v>1911</v>
      </c>
      <c r="C686" s="20">
        <v>0.000107542959641902</v>
      </c>
    </row>
    <row r="687" spans="1:3">
      <c r="A687" s="1" t="s">
        <v>657</v>
      </c>
      <c r="B687" s="1">
        <v>1683</v>
      </c>
      <c r="C687" s="20">
        <v>9.47120884758349e-5</v>
      </c>
    </row>
    <row r="688" spans="1:3">
      <c r="A688" s="1" t="s">
        <v>1354</v>
      </c>
      <c r="B688" s="1">
        <v>40</v>
      </c>
      <c r="C688" s="20">
        <v>2.25103002913452e-6</v>
      </c>
    </row>
    <row r="689" spans="1:3">
      <c r="A689" s="1" t="s">
        <v>939</v>
      </c>
      <c r="B689" s="1">
        <v>501</v>
      </c>
      <c r="C689" s="20">
        <v>2.81941511149099e-5</v>
      </c>
    </row>
    <row r="690" spans="1:3">
      <c r="A690" s="1" t="s">
        <v>40</v>
      </c>
      <c r="B690" s="1">
        <v>454352</v>
      </c>
      <c r="C690" s="20">
        <v>0.0255689998949332</v>
      </c>
    </row>
    <row r="691" spans="1:3">
      <c r="A691" s="1" t="s">
        <v>775</v>
      </c>
      <c r="B691" s="1">
        <v>998</v>
      </c>
      <c r="C691" s="20">
        <v>5.61631992269062e-5</v>
      </c>
    </row>
    <row r="692" spans="1:3">
      <c r="A692" s="1" t="s">
        <v>105</v>
      </c>
      <c r="B692" s="1">
        <v>62733</v>
      </c>
      <c r="C692" s="20">
        <v>0.00353034667044239</v>
      </c>
    </row>
    <row r="693" spans="1:3">
      <c r="A693" s="1" t="s">
        <v>1511</v>
      </c>
      <c r="B693" s="1">
        <v>2783</v>
      </c>
      <c r="C693" s="20">
        <v>0.000156615414277034</v>
      </c>
    </row>
    <row r="694" spans="1:3">
      <c r="A694" s="1" t="s">
        <v>1371</v>
      </c>
      <c r="B694" s="1">
        <v>32</v>
      </c>
      <c r="C694" s="20">
        <v>1.80082402330762e-6</v>
      </c>
    </row>
    <row r="695" spans="1:3">
      <c r="A695" s="1" t="s">
        <v>1016</v>
      </c>
      <c r="B695" s="1">
        <v>360</v>
      </c>
      <c r="C695" s="20">
        <v>2.02592702622107e-5</v>
      </c>
    </row>
    <row r="696" spans="1:3">
      <c r="A696" s="1" t="s">
        <v>582</v>
      </c>
      <c r="B696" s="1">
        <v>2394</v>
      </c>
      <c r="C696" s="20">
        <v>0.000134724147243701</v>
      </c>
    </row>
    <row r="697" spans="1:3">
      <c r="A697" s="1" t="s">
        <v>1225</v>
      </c>
      <c r="B697" s="1">
        <v>116</v>
      </c>
      <c r="C697" s="20">
        <v>6.52798708449011e-6</v>
      </c>
    </row>
    <row r="698" spans="1:3">
      <c r="A698" s="1" t="s">
        <v>818</v>
      </c>
      <c r="B698" s="1">
        <v>889</v>
      </c>
      <c r="C698" s="20">
        <v>5.00291423975147e-5</v>
      </c>
    </row>
    <row r="699" spans="1:3">
      <c r="A699" s="1" t="s">
        <v>616</v>
      </c>
      <c r="B699" s="1">
        <v>1942</v>
      </c>
      <c r="C699" s="20">
        <v>0.000109287507914481</v>
      </c>
    </row>
    <row r="700" spans="1:3">
      <c r="A700" s="1" t="s">
        <v>1123</v>
      </c>
      <c r="B700" s="1">
        <v>219</v>
      </c>
      <c r="C700" s="20">
        <v>1.23243894095115e-5</v>
      </c>
    </row>
    <row r="701" spans="1:3">
      <c r="A701" s="1" t="s">
        <v>369</v>
      </c>
      <c r="B701" s="1">
        <v>6906</v>
      </c>
      <c r="C701" s="20">
        <v>0.000388640334530075</v>
      </c>
    </row>
    <row r="702" spans="1:3">
      <c r="A702" s="1" t="s">
        <v>776</v>
      </c>
      <c r="B702" s="1">
        <v>2364</v>
      </c>
      <c r="C702" s="20">
        <v>0.00013303587472185</v>
      </c>
    </row>
    <row r="703" spans="1:3">
      <c r="A703" s="1" t="s">
        <v>336</v>
      </c>
      <c r="B703" s="1">
        <v>5364</v>
      </c>
      <c r="C703" s="20">
        <v>0.000301863126906939</v>
      </c>
    </row>
    <row r="704" spans="1:3">
      <c r="A704" s="1" t="s">
        <v>287</v>
      </c>
      <c r="B704" s="1">
        <v>7144</v>
      </c>
      <c r="C704" s="20">
        <v>0.000402033963203425</v>
      </c>
    </row>
    <row r="705" spans="1:3">
      <c r="A705" s="1" t="s">
        <v>603</v>
      </c>
      <c r="B705" s="1">
        <v>1849</v>
      </c>
      <c r="C705" s="20">
        <v>0.000104053863096743</v>
      </c>
    </row>
    <row r="706" spans="1:3">
      <c r="A706" s="1" t="s">
        <v>286</v>
      </c>
      <c r="B706" s="1">
        <v>7709</v>
      </c>
      <c r="C706" s="20">
        <v>0.00043382976236495</v>
      </c>
    </row>
    <row r="707" spans="1:3">
      <c r="A707" s="1" t="s">
        <v>414</v>
      </c>
      <c r="B707" s="1">
        <v>3267</v>
      </c>
      <c r="C707" s="20">
        <v>0.000183852877629562</v>
      </c>
    </row>
    <row r="708" spans="1:3">
      <c r="A708" s="1" t="s">
        <v>923</v>
      </c>
      <c r="B708" s="1">
        <v>551</v>
      </c>
      <c r="C708" s="20">
        <v>3.1007938651328e-5</v>
      </c>
    </row>
    <row r="709" spans="1:3">
      <c r="A709" s="1" t="s">
        <v>908</v>
      </c>
      <c r="B709" s="1">
        <v>603</v>
      </c>
      <c r="C709" s="20">
        <v>3.39342776892029e-5</v>
      </c>
    </row>
    <row r="710" spans="1:3">
      <c r="A710" s="1" t="s">
        <v>655</v>
      </c>
      <c r="B710" s="1">
        <v>1688</v>
      </c>
      <c r="C710" s="20">
        <v>9.49934672294767e-5</v>
      </c>
    </row>
    <row r="711" spans="1:3">
      <c r="A711" s="1" t="s">
        <v>1199</v>
      </c>
      <c r="B711" s="1">
        <v>123</v>
      </c>
      <c r="C711" s="20">
        <v>6.92191733958865e-6</v>
      </c>
    </row>
    <row r="712" spans="1:3">
      <c r="A712" s="1" t="s">
        <v>717</v>
      </c>
      <c r="B712" s="1">
        <v>956</v>
      </c>
      <c r="C712" s="20">
        <v>5.3799617696315e-5</v>
      </c>
    </row>
    <row r="713" spans="1:3">
      <c r="A713" s="1" t="s">
        <v>365</v>
      </c>
      <c r="B713" s="1">
        <v>5896</v>
      </c>
      <c r="C713" s="20">
        <v>0.000331801826294428</v>
      </c>
    </row>
    <row r="714" spans="1:3">
      <c r="A714" s="1" t="s">
        <v>1064</v>
      </c>
      <c r="B714" s="1">
        <v>282</v>
      </c>
      <c r="C714" s="20">
        <v>1.58697617053984e-5</v>
      </c>
    </row>
    <row r="715" spans="1:3">
      <c r="A715" s="1" t="s">
        <v>897</v>
      </c>
      <c r="B715" s="1">
        <v>459</v>
      </c>
      <c r="C715" s="20">
        <v>2.58305695843186e-5</v>
      </c>
    </row>
    <row r="716" spans="1:3">
      <c r="A716" s="1" t="s">
        <v>541</v>
      </c>
      <c r="B716" s="1">
        <v>1642</v>
      </c>
      <c r="C716" s="20">
        <v>9.2404782695972e-5</v>
      </c>
    </row>
    <row r="717" spans="1:3">
      <c r="A717" s="1" t="s">
        <v>1174</v>
      </c>
      <c r="B717" s="1">
        <v>161</v>
      </c>
      <c r="C717" s="20">
        <v>9.06039586726644e-6</v>
      </c>
    </row>
    <row r="718" spans="1:3">
      <c r="A718" s="1" t="s">
        <v>111</v>
      </c>
      <c r="B718" s="1">
        <v>24846</v>
      </c>
      <c r="C718" s="20">
        <v>0.00139822730259691</v>
      </c>
    </row>
    <row r="719" spans="1:3">
      <c r="A719" s="1" t="s">
        <v>1513</v>
      </c>
      <c r="B719" s="1">
        <v>970</v>
      </c>
      <c r="C719" s="20">
        <v>5.45874782065121e-5</v>
      </c>
    </row>
    <row r="720" spans="1:3">
      <c r="A720" s="1" t="s">
        <v>620</v>
      </c>
      <c r="B720" s="1">
        <v>1892</v>
      </c>
      <c r="C720" s="20">
        <v>0.000106473720378063</v>
      </c>
    </row>
    <row r="721" spans="1:3">
      <c r="A721" s="1" t="s">
        <v>727</v>
      </c>
      <c r="B721" s="1">
        <v>1243</v>
      </c>
      <c r="C721" s="20">
        <v>6.99507581553552e-5</v>
      </c>
    </row>
    <row r="722" spans="1:3">
      <c r="A722" s="1" t="s">
        <v>178</v>
      </c>
      <c r="B722" s="1">
        <v>30216</v>
      </c>
      <c r="C722" s="20">
        <v>0.00170042808400822</v>
      </c>
    </row>
    <row r="723" spans="1:3">
      <c r="A723" s="1" t="s">
        <v>232</v>
      </c>
      <c r="B723" s="1">
        <v>19623</v>
      </c>
      <c r="C723" s="20">
        <v>0.00110429905654267</v>
      </c>
    </row>
    <row r="724" spans="1:3">
      <c r="A724" s="1" t="s">
        <v>219</v>
      </c>
      <c r="B724" s="1">
        <v>21830</v>
      </c>
      <c r="C724" s="20">
        <v>0.00122849963840016</v>
      </c>
    </row>
    <row r="725" spans="1:3">
      <c r="A725" s="1" t="s">
        <v>156</v>
      </c>
      <c r="B725" s="1">
        <v>34970</v>
      </c>
      <c r="C725" s="20">
        <v>0.00196796300297085</v>
      </c>
    </row>
    <row r="726" spans="1:3">
      <c r="A726" s="1" t="s">
        <v>52</v>
      </c>
      <c r="B726" s="1">
        <v>304871</v>
      </c>
      <c r="C726" s="20">
        <v>0.0171568444003067</v>
      </c>
    </row>
    <row r="727" spans="1:3">
      <c r="A727" s="1" t="s">
        <v>70</v>
      </c>
      <c r="B727" s="1">
        <v>178271</v>
      </c>
      <c r="C727" s="20">
        <v>0.010032334358096</v>
      </c>
    </row>
    <row r="728" spans="1:3">
      <c r="A728" s="1" t="s">
        <v>74</v>
      </c>
      <c r="B728" s="1">
        <v>163414</v>
      </c>
      <c r="C728" s="20">
        <v>0.00919624552952471</v>
      </c>
    </row>
    <row r="729" spans="1:3">
      <c r="A729" s="1" t="s">
        <v>420</v>
      </c>
      <c r="B729" s="1">
        <v>4793</v>
      </c>
      <c r="C729" s="20">
        <v>0.000269729673241044</v>
      </c>
    </row>
    <row r="730" spans="1:3">
      <c r="A730" s="1" t="s">
        <v>690</v>
      </c>
      <c r="B730" s="1">
        <v>1411</v>
      </c>
      <c r="C730" s="20">
        <v>7.94050842777202e-5</v>
      </c>
    </row>
    <row r="731" spans="1:3">
      <c r="A731" s="1" t="s">
        <v>222</v>
      </c>
      <c r="B731" s="1">
        <v>21203</v>
      </c>
      <c r="C731" s="20">
        <v>0.00119321474269348</v>
      </c>
    </row>
    <row r="732" spans="1:3">
      <c r="A732" s="1" t="s">
        <v>114</v>
      </c>
      <c r="B732" s="1">
        <v>52400</v>
      </c>
      <c r="C732" s="20">
        <v>0.00294884933816622</v>
      </c>
    </row>
    <row r="733" spans="1:3">
      <c r="A733" s="1" t="s">
        <v>817</v>
      </c>
      <c r="B733" s="1">
        <v>835</v>
      </c>
      <c r="C733" s="20">
        <v>4.69902518581831e-5</v>
      </c>
    </row>
    <row r="734" spans="1:3">
      <c r="A734" s="1" t="s">
        <v>508</v>
      </c>
      <c r="B734" s="1">
        <v>2748</v>
      </c>
      <c r="C734" s="20">
        <v>0.000154645763001541</v>
      </c>
    </row>
    <row r="735" spans="1:3">
      <c r="A735" s="1" t="s">
        <v>1007</v>
      </c>
      <c r="B735" s="1">
        <v>357</v>
      </c>
      <c r="C735" s="20">
        <v>2.00904430100256e-5</v>
      </c>
    </row>
    <row r="736" spans="1:3">
      <c r="A736" s="1" t="s">
        <v>1423</v>
      </c>
      <c r="B736" s="1">
        <v>12</v>
      </c>
      <c r="C736" s="20">
        <v>6.75309008740356e-7</v>
      </c>
    </row>
    <row r="737" spans="1:3">
      <c r="A737" s="1" t="s">
        <v>1393</v>
      </c>
      <c r="B737" s="1">
        <v>21</v>
      </c>
      <c r="C737" s="20">
        <v>1.18179076529562e-6</v>
      </c>
    </row>
    <row r="738" spans="1:3">
      <c r="A738" s="1" t="s">
        <v>944</v>
      </c>
      <c r="B738" s="1">
        <v>454</v>
      </c>
      <c r="C738" s="20">
        <v>2.55491908306768e-5</v>
      </c>
    </row>
    <row r="739" spans="1:3">
      <c r="A739" s="1" t="s">
        <v>1104</v>
      </c>
      <c r="B739" s="1">
        <v>229</v>
      </c>
      <c r="C739" s="20">
        <v>1.28871469167951e-5</v>
      </c>
    </row>
    <row r="740" spans="1:3">
      <c r="A740" s="1" t="s">
        <v>469</v>
      </c>
      <c r="B740" s="1">
        <v>3798</v>
      </c>
      <c r="C740" s="20">
        <v>0.000213735301266323</v>
      </c>
    </row>
    <row r="741" spans="1:3">
      <c r="A741" s="1" t="s">
        <v>1022</v>
      </c>
      <c r="B741" s="1">
        <v>347</v>
      </c>
      <c r="C741" s="20">
        <v>1.9527685502742e-5</v>
      </c>
    </row>
    <row r="742" spans="1:3">
      <c r="A742" s="1" t="s">
        <v>1223</v>
      </c>
      <c r="B742" s="1">
        <v>107</v>
      </c>
      <c r="C742" s="20">
        <v>6.02150532793484e-6</v>
      </c>
    </row>
    <row r="743" spans="1:3">
      <c r="A743" s="1" t="s">
        <v>570</v>
      </c>
      <c r="B743" s="1">
        <v>2586</v>
      </c>
      <c r="C743" s="20">
        <v>0.000145529091383547</v>
      </c>
    </row>
    <row r="744" spans="1:3">
      <c r="A744" s="1" t="s">
        <v>506</v>
      </c>
      <c r="B744" s="1">
        <v>3246</v>
      </c>
      <c r="C744" s="20">
        <v>0.000182671086864266</v>
      </c>
    </row>
    <row r="745" spans="1:3">
      <c r="A745" s="1" t="s">
        <v>455</v>
      </c>
      <c r="B745" s="1">
        <v>3822</v>
      </c>
      <c r="C745" s="20">
        <v>0.000215085919283803</v>
      </c>
    </row>
    <row r="746" spans="1:3">
      <c r="A746" s="1" t="s">
        <v>454</v>
      </c>
      <c r="B746" s="1">
        <v>3891</v>
      </c>
      <c r="C746" s="20">
        <v>0.00021896894608406</v>
      </c>
    </row>
    <row r="747" spans="1:3">
      <c r="A747" s="1" t="s">
        <v>398</v>
      </c>
      <c r="B747" s="1">
        <v>5565</v>
      </c>
      <c r="C747" s="20">
        <v>0.00031317455280334</v>
      </c>
    </row>
    <row r="748" spans="1:3">
      <c r="A748" s="1" t="s">
        <v>1515</v>
      </c>
      <c r="B748" s="1">
        <v>800</v>
      </c>
      <c r="C748" s="20">
        <v>4.50206005826904e-5</v>
      </c>
    </row>
    <row r="749" spans="1:3">
      <c r="A749" s="1" t="s">
        <v>920</v>
      </c>
      <c r="B749" s="1">
        <v>549</v>
      </c>
      <c r="C749" s="20">
        <v>3.08953871498713e-5</v>
      </c>
    </row>
    <row r="750" spans="1:3">
      <c r="A750" s="1" t="s">
        <v>564</v>
      </c>
      <c r="B750" s="1">
        <v>2280</v>
      </c>
      <c r="C750" s="20">
        <v>0.000128308711660668</v>
      </c>
    </row>
    <row r="751" spans="1:3">
      <c r="A751" s="1" t="s">
        <v>1517</v>
      </c>
      <c r="B751" s="1">
        <v>14018</v>
      </c>
      <c r="C751" s="20">
        <v>0.000788873473710192</v>
      </c>
    </row>
    <row r="752" spans="1:3">
      <c r="A752" s="1" t="s">
        <v>832</v>
      </c>
      <c r="B752" s="1">
        <v>844</v>
      </c>
      <c r="C752" s="20">
        <v>4.74967336147384e-5</v>
      </c>
    </row>
    <row r="753" spans="1:3">
      <c r="A753" s="1" t="s">
        <v>878</v>
      </c>
      <c r="B753" s="1">
        <v>659</v>
      </c>
      <c r="C753" s="20">
        <v>3.70857197299912e-5</v>
      </c>
    </row>
    <row r="754" spans="1:3">
      <c r="A754" s="1" t="s">
        <v>634</v>
      </c>
      <c r="B754" s="1">
        <v>1774</v>
      </c>
      <c r="C754" s="20">
        <v>9.98331817921159e-5</v>
      </c>
    </row>
    <row r="755" spans="1:3">
      <c r="A755" s="1" t="s">
        <v>762</v>
      </c>
      <c r="B755" s="1">
        <v>1017</v>
      </c>
      <c r="C755" s="20">
        <v>5.72324384907451e-5</v>
      </c>
    </row>
    <row r="756" spans="1:3">
      <c r="A756" s="1" t="s">
        <v>1519</v>
      </c>
      <c r="B756" s="1">
        <v>6628</v>
      </c>
      <c r="C756" s="20">
        <v>0.00037299567582759</v>
      </c>
    </row>
    <row r="757" spans="1:3">
      <c r="A757" s="1" t="s">
        <v>649</v>
      </c>
      <c r="B757" s="1">
        <v>1749</v>
      </c>
      <c r="C757" s="20">
        <v>9.84262880239069e-5</v>
      </c>
    </row>
    <row r="758" spans="1:3">
      <c r="A758" s="1" t="s">
        <v>932</v>
      </c>
      <c r="B758" s="1">
        <v>537</v>
      </c>
      <c r="C758" s="20">
        <v>3.02200781411309e-5</v>
      </c>
    </row>
    <row r="759" spans="1:3">
      <c r="A759" s="1" t="s">
        <v>735</v>
      </c>
      <c r="B759" s="1">
        <v>995</v>
      </c>
      <c r="C759" s="20">
        <v>5.59943719747212e-5</v>
      </c>
    </row>
    <row r="760" spans="1:3">
      <c r="A760" s="1" t="s">
        <v>917</v>
      </c>
      <c r="B760" s="1">
        <v>507</v>
      </c>
      <c r="C760" s="20">
        <v>2.853180561928e-5</v>
      </c>
    </row>
    <row r="761" spans="1:3">
      <c r="A761" s="1" t="s">
        <v>919</v>
      </c>
      <c r="B761" s="1">
        <v>561</v>
      </c>
      <c r="C761" s="20">
        <v>3.15706961586116e-5</v>
      </c>
    </row>
    <row r="762" spans="1:3">
      <c r="A762" s="1" t="s">
        <v>884</v>
      </c>
      <c r="B762" s="1">
        <v>639</v>
      </c>
      <c r="C762" s="20">
        <v>3.59602047154239e-5</v>
      </c>
    </row>
    <row r="763" spans="1:3">
      <c r="A763" s="1" t="s">
        <v>569</v>
      </c>
      <c r="B763" s="1">
        <v>2470</v>
      </c>
      <c r="C763" s="20">
        <v>0.000139001104299057</v>
      </c>
    </row>
    <row r="764" spans="1:3">
      <c r="A764" s="1" t="s">
        <v>834</v>
      </c>
      <c r="B764" s="1">
        <v>657</v>
      </c>
      <c r="C764" s="20">
        <v>3.69731682285345e-5</v>
      </c>
    </row>
    <row r="765" spans="1:3">
      <c r="A765" s="1" t="s">
        <v>607</v>
      </c>
      <c r="B765" s="1">
        <v>1122</v>
      </c>
      <c r="C765" s="20">
        <v>6.31413923172233e-5</v>
      </c>
    </row>
    <row r="766" spans="1:3">
      <c r="A766" s="1" t="s">
        <v>883</v>
      </c>
      <c r="B766" s="1">
        <v>613</v>
      </c>
      <c r="C766" s="20">
        <v>3.44970351964865e-5</v>
      </c>
    </row>
    <row r="767" spans="1:3">
      <c r="A767" s="1" t="s">
        <v>345</v>
      </c>
      <c r="B767" s="1">
        <v>4873</v>
      </c>
      <c r="C767" s="20">
        <v>0.000274231733299313</v>
      </c>
    </row>
    <row r="768" spans="1:3">
      <c r="A768" s="1" t="s">
        <v>687</v>
      </c>
      <c r="B768" s="1">
        <v>1179</v>
      </c>
      <c r="C768" s="20">
        <v>6.63491101087399e-5</v>
      </c>
    </row>
    <row r="769" spans="1:3">
      <c r="A769" s="1" t="s">
        <v>1049</v>
      </c>
      <c r="B769" s="1">
        <v>242</v>
      </c>
      <c r="C769" s="20">
        <v>1.36187316762638e-5</v>
      </c>
    </row>
    <row r="770" spans="1:3">
      <c r="A770" s="1" t="s">
        <v>945</v>
      </c>
      <c r="B770" s="1">
        <v>50</v>
      </c>
      <c r="C770" s="20">
        <v>2.81378753641815e-6</v>
      </c>
    </row>
    <row r="771" spans="1:3">
      <c r="A771" s="1" t="s">
        <v>447</v>
      </c>
      <c r="B771" s="1">
        <v>3730</v>
      </c>
      <c r="C771" s="20">
        <v>0.000209908550216794</v>
      </c>
    </row>
    <row r="772" spans="1:3">
      <c r="A772" s="1" t="s">
        <v>1300</v>
      </c>
      <c r="B772" s="1">
        <v>65</v>
      </c>
      <c r="C772" s="20">
        <v>3.65792379734359e-6</v>
      </c>
    </row>
    <row r="773" spans="1:3">
      <c r="A773" s="1" t="s">
        <v>1255</v>
      </c>
      <c r="B773" s="1">
        <v>94</v>
      </c>
      <c r="C773" s="20">
        <v>5.28992056846612e-6</v>
      </c>
    </row>
    <row r="774" spans="1:3">
      <c r="A774" s="1" t="s">
        <v>1372</v>
      </c>
      <c r="B774" s="1">
        <v>32</v>
      </c>
      <c r="C774" s="20">
        <v>1.80082402330762e-6</v>
      </c>
    </row>
    <row r="775" spans="1:3">
      <c r="A775" s="1" t="s">
        <v>1369</v>
      </c>
      <c r="B775" s="1">
        <v>33</v>
      </c>
      <c r="C775" s="20">
        <v>1.85709977403598e-6</v>
      </c>
    </row>
    <row r="776" spans="1:3">
      <c r="A776" s="1" t="s">
        <v>1370</v>
      </c>
      <c r="B776" s="1">
        <v>33</v>
      </c>
      <c r="C776" s="20">
        <v>1.85709977403598e-6</v>
      </c>
    </row>
    <row r="777" spans="1:3">
      <c r="A777" s="1" t="s">
        <v>1333</v>
      </c>
      <c r="B777" s="1">
        <v>49</v>
      </c>
      <c r="C777" s="20">
        <v>2.75751178568979e-6</v>
      </c>
    </row>
    <row r="778" spans="1:3">
      <c r="A778" s="1" t="s">
        <v>1381</v>
      </c>
      <c r="B778" s="1">
        <v>27</v>
      </c>
      <c r="C778" s="20">
        <v>1.5194452696658e-6</v>
      </c>
    </row>
    <row r="779" spans="1:3">
      <c r="A779" s="1" t="s">
        <v>1364</v>
      </c>
      <c r="B779" s="1">
        <v>35</v>
      </c>
      <c r="C779" s="20">
        <v>1.9696512754927e-6</v>
      </c>
    </row>
    <row r="780" spans="1:3">
      <c r="A780" s="1" t="s">
        <v>1395</v>
      </c>
      <c r="B780" s="1">
        <v>21</v>
      </c>
      <c r="C780" s="20">
        <v>1.18179076529562e-6</v>
      </c>
    </row>
    <row r="781" spans="1:3">
      <c r="A781" s="1" t="s">
        <v>1406</v>
      </c>
      <c r="B781" s="1">
        <v>18</v>
      </c>
      <c r="C781" s="20">
        <v>1.01296351311053e-6</v>
      </c>
    </row>
    <row r="782" spans="1:3">
      <c r="A782" s="1" t="s">
        <v>1351</v>
      </c>
      <c r="B782" s="1">
        <v>39</v>
      </c>
      <c r="C782" s="20">
        <v>2.19475427840616e-6</v>
      </c>
    </row>
    <row r="783" spans="1:3">
      <c r="A783" s="1" t="s">
        <v>1337</v>
      </c>
      <c r="B783" s="1">
        <v>44</v>
      </c>
      <c r="C783" s="20">
        <v>2.47613303204797e-6</v>
      </c>
    </row>
    <row r="784" spans="1:3">
      <c r="A784" s="1" t="s">
        <v>1374</v>
      </c>
      <c r="B784" s="1">
        <v>29</v>
      </c>
      <c r="C784" s="20">
        <v>1.63199677112253e-6</v>
      </c>
    </row>
    <row r="785" spans="1:3">
      <c r="A785" s="1" t="s">
        <v>1389</v>
      </c>
      <c r="B785" s="1">
        <v>22</v>
      </c>
      <c r="C785" s="20">
        <v>1.23806651602399e-6</v>
      </c>
    </row>
    <row r="786" spans="1:3">
      <c r="A786" s="1" t="s">
        <v>1407</v>
      </c>
      <c r="B786" s="1">
        <v>18</v>
      </c>
      <c r="C786" s="20">
        <v>1.01296351311053e-6</v>
      </c>
    </row>
    <row r="787" spans="1:3">
      <c r="A787" s="1" t="s">
        <v>1267</v>
      </c>
      <c r="B787" s="1">
        <v>83</v>
      </c>
      <c r="C787" s="20">
        <v>4.67088731045413e-6</v>
      </c>
    </row>
    <row r="788" spans="1:3">
      <c r="A788" s="1" t="s">
        <v>1301</v>
      </c>
      <c r="B788" s="1">
        <v>65</v>
      </c>
      <c r="C788" s="20">
        <v>3.65792379734359e-6</v>
      </c>
    </row>
    <row r="789" spans="1:3">
      <c r="A789" s="1" t="s">
        <v>1403</v>
      </c>
      <c r="B789" s="1">
        <v>19</v>
      </c>
      <c r="C789" s="20">
        <v>1.0692392638389e-6</v>
      </c>
    </row>
    <row r="790" spans="1:3">
      <c r="A790" s="1" t="s">
        <v>1386</v>
      </c>
      <c r="B790" s="1">
        <v>25</v>
      </c>
      <c r="C790" s="20">
        <v>1.40689376820907e-6</v>
      </c>
    </row>
    <row r="791" spans="1:3">
      <c r="A791" s="1" t="s">
        <v>1396</v>
      </c>
      <c r="B791" s="1">
        <v>21</v>
      </c>
      <c r="C791" s="20">
        <v>1.18179076529562e-6</v>
      </c>
    </row>
    <row r="792" spans="1:3">
      <c r="A792" s="1" t="s">
        <v>1211</v>
      </c>
      <c r="B792" s="1">
        <v>107</v>
      </c>
      <c r="C792" s="20">
        <v>6.02150532793484e-6</v>
      </c>
    </row>
    <row r="793" spans="1:3">
      <c r="A793" s="1" t="s">
        <v>1384</v>
      </c>
      <c r="B793" s="1">
        <v>26</v>
      </c>
      <c r="C793" s="20">
        <v>1.46316951893744e-6</v>
      </c>
    </row>
    <row r="794" spans="1:3">
      <c r="A794" s="1" t="s">
        <v>1368</v>
      </c>
      <c r="B794" s="1">
        <v>34</v>
      </c>
      <c r="C794" s="20">
        <v>1.91337552476434e-6</v>
      </c>
    </row>
    <row r="795" spans="1:3">
      <c r="A795" s="1" t="s">
        <v>1408</v>
      </c>
      <c r="B795" s="1">
        <v>18</v>
      </c>
      <c r="C795" s="20">
        <v>1.01296351311053e-6</v>
      </c>
    </row>
    <row r="796" spans="1:3">
      <c r="A796" s="1" t="s">
        <v>1322</v>
      </c>
      <c r="B796" s="1">
        <v>55</v>
      </c>
      <c r="C796" s="20">
        <v>3.09516629005996e-6</v>
      </c>
    </row>
    <row r="797" spans="1:3">
      <c r="A797" s="1" t="s">
        <v>1399</v>
      </c>
      <c r="B797" s="1">
        <v>20</v>
      </c>
      <c r="C797" s="20">
        <v>1.12551501456726e-6</v>
      </c>
    </row>
    <row r="798" spans="1:3">
      <c r="A798" s="1" t="s">
        <v>1323</v>
      </c>
      <c r="B798" s="1">
        <v>53</v>
      </c>
      <c r="C798" s="20">
        <v>2.98261478860324e-6</v>
      </c>
    </row>
    <row r="799" spans="1:3">
      <c r="A799" s="1" t="s">
        <v>1397</v>
      </c>
      <c r="B799" s="1">
        <v>21</v>
      </c>
      <c r="C799" s="20">
        <v>1.18179076529562e-6</v>
      </c>
    </row>
    <row r="800" spans="1:3">
      <c r="A800" s="1" t="s">
        <v>1375</v>
      </c>
      <c r="B800" s="1">
        <v>27</v>
      </c>
      <c r="C800" s="20">
        <v>1.5194452696658e-6</v>
      </c>
    </row>
    <row r="801" spans="1:3">
      <c r="A801" s="1" t="s">
        <v>1414</v>
      </c>
      <c r="B801" s="1">
        <v>16</v>
      </c>
      <c r="C801" s="20">
        <v>9.00412011653808e-7</v>
      </c>
    </row>
    <row r="802" spans="1:3">
      <c r="A802" s="1" t="s">
        <v>1359</v>
      </c>
      <c r="B802" s="1">
        <v>37</v>
      </c>
      <c r="C802" s="20">
        <v>2.08220277694943e-6</v>
      </c>
    </row>
    <row r="803" spans="1:3">
      <c r="A803" s="1" t="s">
        <v>1521</v>
      </c>
      <c r="B803" s="1">
        <v>0</v>
      </c>
      <c r="C803" s="20">
        <v>0</v>
      </c>
    </row>
    <row r="804" spans="1:3">
      <c r="A804" s="1" t="s">
        <v>244</v>
      </c>
      <c r="B804" s="1">
        <v>15645</v>
      </c>
      <c r="C804" s="20">
        <v>0.000880434120145239</v>
      </c>
    </row>
    <row r="805" spans="1:3">
      <c r="A805" s="1" t="s">
        <v>676</v>
      </c>
      <c r="B805" s="1">
        <v>1520</v>
      </c>
      <c r="C805" s="20">
        <v>8.55391411071117e-5</v>
      </c>
    </row>
    <row r="806" spans="1:3">
      <c r="A806" s="1" t="s">
        <v>1522</v>
      </c>
      <c r="B806" s="1">
        <v>0</v>
      </c>
      <c r="C806" s="20">
        <v>0</v>
      </c>
    </row>
    <row r="807" spans="1:3">
      <c r="A807" s="1" t="s">
        <v>1071</v>
      </c>
      <c r="B807" s="1">
        <v>270</v>
      </c>
      <c r="C807" s="20">
        <v>1.5194452696658e-5</v>
      </c>
    </row>
    <row r="808" spans="1:3">
      <c r="A808" s="1" t="s">
        <v>1037</v>
      </c>
      <c r="B808" s="1">
        <v>314</v>
      </c>
      <c r="C808" s="20">
        <v>1.7670585728706e-5</v>
      </c>
    </row>
    <row r="809" spans="1:3">
      <c r="A809" s="1" t="s">
        <v>121</v>
      </c>
      <c r="B809" s="1">
        <v>47062</v>
      </c>
      <c r="C809" s="20">
        <v>0.00264844938077822</v>
      </c>
    </row>
    <row r="810" spans="1:3">
      <c r="A810" s="1" t="s">
        <v>1048</v>
      </c>
      <c r="B810" s="1">
        <v>303</v>
      </c>
      <c r="C810" s="20">
        <v>1.7051552470694e-5</v>
      </c>
    </row>
    <row r="811" spans="1:3">
      <c r="A811" s="1" t="s">
        <v>1214</v>
      </c>
      <c r="B811" s="1">
        <v>123</v>
      </c>
      <c r="C811" s="20">
        <v>6.92191733958865e-6</v>
      </c>
    </row>
    <row r="812" spans="1:3">
      <c r="A812" s="1" t="s">
        <v>1184</v>
      </c>
      <c r="B812" s="1">
        <v>155</v>
      </c>
      <c r="C812" s="20">
        <v>8.72274136289626e-6</v>
      </c>
    </row>
    <row r="813" spans="1:3">
      <c r="A813" s="1" t="s">
        <v>228</v>
      </c>
      <c r="B813" s="1">
        <v>20477</v>
      </c>
      <c r="C813" s="20">
        <v>0.00115235854766469</v>
      </c>
    </row>
    <row r="814" spans="1:3">
      <c r="A814" s="1" t="s">
        <v>459</v>
      </c>
      <c r="B814" s="1">
        <v>4018</v>
      </c>
      <c r="C814" s="20">
        <v>0.000226115966426562</v>
      </c>
    </row>
    <row r="815" spans="1:3">
      <c r="A815" s="1" t="s">
        <v>432</v>
      </c>
      <c r="B815" s="1">
        <v>4540</v>
      </c>
      <c r="C815" s="20">
        <v>0.000255491908306768</v>
      </c>
    </row>
    <row r="816" spans="1:3">
      <c r="A816" s="1" t="s">
        <v>1040</v>
      </c>
      <c r="B816" s="1">
        <v>318</v>
      </c>
      <c r="C816" s="20">
        <v>1.78956887316194e-5</v>
      </c>
    </row>
    <row r="817" spans="1:3">
      <c r="A817" s="1" t="s">
        <v>592</v>
      </c>
      <c r="B817" s="1">
        <v>2323</v>
      </c>
      <c r="C817" s="20">
        <v>0.000130728568941987</v>
      </c>
    </row>
    <row r="818" spans="1:3">
      <c r="A818" s="1" t="s">
        <v>598</v>
      </c>
      <c r="B818" s="1">
        <v>2243</v>
      </c>
      <c r="C818" s="20">
        <v>0.000126226508883718</v>
      </c>
    </row>
    <row r="819" spans="1:3">
      <c r="A819" s="1" t="s">
        <v>406</v>
      </c>
      <c r="B819" s="1">
        <v>5252</v>
      </c>
      <c r="C819" s="20">
        <v>0.000295560242825362</v>
      </c>
    </row>
    <row r="820" spans="1:3">
      <c r="A820" s="1" t="s">
        <v>364</v>
      </c>
      <c r="B820" s="1">
        <v>7101</v>
      </c>
      <c r="C820" s="20">
        <v>0.000399614105922105</v>
      </c>
    </row>
    <row r="821" spans="1:3">
      <c r="A821" s="1" t="s">
        <v>531</v>
      </c>
      <c r="B821" s="1">
        <v>2943</v>
      </c>
      <c r="C821" s="20">
        <v>0.000165619534393572</v>
      </c>
    </row>
    <row r="822" spans="1:3">
      <c r="A822" s="1" t="s">
        <v>261</v>
      </c>
      <c r="B822" s="1">
        <v>12961</v>
      </c>
      <c r="C822" s="20">
        <v>0.000729390005190313</v>
      </c>
    </row>
    <row r="823" spans="1:3">
      <c r="A823" s="1" t="s">
        <v>438</v>
      </c>
      <c r="B823" s="1">
        <v>4345</v>
      </c>
      <c r="C823" s="20">
        <v>0.000244518136914737</v>
      </c>
    </row>
    <row r="824" spans="1:3">
      <c r="A824" s="1" t="s">
        <v>802</v>
      </c>
      <c r="B824" s="1">
        <v>926</v>
      </c>
      <c r="C824" s="20">
        <v>5.21113451744641e-5</v>
      </c>
    </row>
    <row r="825" spans="1:3">
      <c r="A825" s="1" t="s">
        <v>1158</v>
      </c>
      <c r="B825" s="1">
        <v>181</v>
      </c>
      <c r="C825" s="20">
        <v>1.01859108818337e-5</v>
      </c>
    </row>
    <row r="826" spans="1:3">
      <c r="A826" s="1" t="s">
        <v>1228</v>
      </c>
      <c r="B826" s="1">
        <v>115</v>
      </c>
      <c r="C826" s="20">
        <v>6.47171133376174e-6</v>
      </c>
    </row>
    <row r="827" spans="1:3">
      <c r="A827" s="1" t="s">
        <v>170</v>
      </c>
      <c r="B827" s="1">
        <v>30830</v>
      </c>
      <c r="C827" s="20">
        <v>0.00173498139495543</v>
      </c>
    </row>
    <row r="828" spans="1:3">
      <c r="A828" s="1" t="s">
        <v>829</v>
      </c>
      <c r="B828" s="1">
        <v>850</v>
      </c>
      <c r="C828" s="20">
        <v>4.78343881191085e-5</v>
      </c>
    </row>
    <row r="829" spans="1:3">
      <c r="A829" s="1" t="s">
        <v>798</v>
      </c>
      <c r="B829" s="1">
        <v>173</v>
      </c>
      <c r="C829" s="20">
        <v>9.7357048760068e-6</v>
      </c>
    </row>
    <row r="830" spans="1:3">
      <c r="A830" s="1" t="s">
        <v>1237</v>
      </c>
      <c r="B830" s="1">
        <v>110</v>
      </c>
      <c r="C830" s="20">
        <v>6.19033258011993e-6</v>
      </c>
    </row>
    <row r="831" spans="1:3">
      <c r="A831" s="1" t="s">
        <v>125</v>
      </c>
      <c r="B831" s="1">
        <v>15639</v>
      </c>
      <c r="C831" s="20">
        <v>0.000880096465640869</v>
      </c>
    </row>
    <row r="832" spans="1:3">
      <c r="A832" s="1" t="s">
        <v>1054</v>
      </c>
      <c r="B832" s="1">
        <v>295</v>
      </c>
      <c r="C832" s="20">
        <v>1.66013464648671e-5</v>
      </c>
    </row>
    <row r="833" spans="1:3">
      <c r="A833" s="1" t="s">
        <v>1029</v>
      </c>
      <c r="B833" s="1">
        <v>332</v>
      </c>
      <c r="C833" s="20">
        <v>1.86835492418165e-5</v>
      </c>
    </row>
    <row r="834" spans="1:3">
      <c r="A834" s="1" t="s">
        <v>325</v>
      </c>
      <c r="B834" s="1">
        <v>9288</v>
      </c>
      <c r="C834" s="20">
        <v>0.000522689172765035</v>
      </c>
    </row>
    <row r="835" spans="1:3">
      <c r="A835" s="1" t="s">
        <v>396</v>
      </c>
      <c r="B835" s="1">
        <v>5656</v>
      </c>
      <c r="C835" s="20">
        <v>0.000318295646119621</v>
      </c>
    </row>
    <row r="836" spans="1:3">
      <c r="A836" s="1" t="s">
        <v>1035</v>
      </c>
      <c r="B836" s="1">
        <v>328</v>
      </c>
      <c r="C836" s="20">
        <v>1.84584462389031e-5</v>
      </c>
    </row>
    <row r="837" spans="1:3">
      <c r="A837" s="1" t="s">
        <v>1171</v>
      </c>
      <c r="B837" s="1">
        <v>167</v>
      </c>
      <c r="C837" s="20">
        <v>9.39805037163662e-6</v>
      </c>
    </row>
    <row r="838" spans="1:3">
      <c r="A838" s="1" t="s">
        <v>1026</v>
      </c>
      <c r="B838" s="1">
        <v>339</v>
      </c>
      <c r="C838" s="20">
        <v>1.9077479496915e-5</v>
      </c>
    </row>
    <row r="839" spans="1:3">
      <c r="A839" s="1" t="s">
        <v>1240</v>
      </c>
      <c r="B839" s="1">
        <v>111</v>
      </c>
      <c r="C839" s="20">
        <v>6.24660833084829e-6</v>
      </c>
    </row>
    <row r="840" spans="1:3">
      <c r="A840" s="1" t="s">
        <v>1527</v>
      </c>
      <c r="B840" s="1">
        <v>431</v>
      </c>
      <c r="C840" s="20">
        <v>2.42548485639244e-5</v>
      </c>
    </row>
    <row r="841" spans="1:3">
      <c r="A841" s="1" t="s">
        <v>1524</v>
      </c>
      <c r="B841" s="1">
        <v>547</v>
      </c>
      <c r="C841" s="20">
        <v>3.07828356484145e-5</v>
      </c>
    </row>
    <row r="842" spans="1:3">
      <c r="A842" s="1" t="s">
        <v>788</v>
      </c>
      <c r="B842" s="1">
        <v>972</v>
      </c>
      <c r="C842" s="20">
        <v>5.47000297079688e-5</v>
      </c>
    </row>
    <row r="843" spans="1:3">
      <c r="A843" s="1" t="s">
        <v>612</v>
      </c>
      <c r="B843" s="1">
        <v>1949</v>
      </c>
      <c r="C843" s="20">
        <v>0.000109681438169579</v>
      </c>
    </row>
    <row r="844" spans="1:3">
      <c r="A844" s="1" t="s">
        <v>1357</v>
      </c>
      <c r="B844" s="1">
        <v>0</v>
      </c>
      <c r="C844" s="20">
        <v>0</v>
      </c>
    </row>
    <row r="845" spans="1:3">
      <c r="A845" s="1" t="s">
        <v>1126</v>
      </c>
      <c r="B845" s="1">
        <v>213</v>
      </c>
      <c r="C845" s="20">
        <v>1.19867349051413e-5</v>
      </c>
    </row>
    <row r="846" spans="1:3">
      <c r="A846" s="1" t="s">
        <v>1331</v>
      </c>
      <c r="B846" s="1">
        <v>49</v>
      </c>
      <c r="C846" s="20">
        <v>2.75751178568979e-6</v>
      </c>
    </row>
    <row r="847" spans="1:3">
      <c r="A847" s="1" t="s">
        <v>992</v>
      </c>
      <c r="B847" s="1">
        <v>389</v>
      </c>
      <c r="C847" s="20">
        <v>2.18912670333332e-5</v>
      </c>
    </row>
    <row r="848" spans="1:3">
      <c r="A848" s="1" t="s">
        <v>1268</v>
      </c>
      <c r="B848" s="1">
        <v>83</v>
      </c>
      <c r="C848" s="20">
        <v>4.67088731045413e-6</v>
      </c>
    </row>
    <row r="849" spans="1:3">
      <c r="A849" s="1" t="s">
        <v>1097</v>
      </c>
      <c r="B849" s="1">
        <v>227</v>
      </c>
      <c r="C849" s="20">
        <v>1.27745954153384e-5</v>
      </c>
    </row>
    <row r="850" spans="1:3">
      <c r="A850" s="1" t="s">
        <v>763</v>
      </c>
      <c r="B850" s="1">
        <v>1091</v>
      </c>
      <c r="C850" s="20">
        <v>6.1396844044644e-5</v>
      </c>
    </row>
    <row r="851" spans="1:3">
      <c r="A851" s="1" t="s">
        <v>373</v>
      </c>
      <c r="B851" s="1">
        <v>6575</v>
      </c>
      <c r="C851" s="20">
        <v>0.000370013061038987</v>
      </c>
    </row>
    <row r="852" spans="1:3">
      <c r="A852" s="1" t="s">
        <v>822</v>
      </c>
      <c r="B852" s="1">
        <v>835</v>
      </c>
      <c r="C852" s="20">
        <v>4.69902518581831e-5</v>
      </c>
    </row>
    <row r="853" spans="1:3">
      <c r="A853" s="1" t="s">
        <v>1317</v>
      </c>
      <c r="B853" s="1">
        <v>57</v>
      </c>
      <c r="C853" s="20">
        <v>3.20771779151669e-6</v>
      </c>
    </row>
    <row r="854" spans="1:3">
      <c r="A854" s="1" t="s">
        <v>1188</v>
      </c>
      <c r="B854" s="1">
        <v>151</v>
      </c>
      <c r="C854" s="20">
        <v>8.49763835998281e-6</v>
      </c>
    </row>
    <row r="855" spans="1:3">
      <c r="A855" s="1" t="s">
        <v>1112</v>
      </c>
      <c r="B855" s="1">
        <v>222</v>
      </c>
      <c r="C855" s="20">
        <v>1.24932166616966e-5</v>
      </c>
    </row>
    <row r="856" spans="1:3">
      <c r="A856" s="1" t="s">
        <v>1529</v>
      </c>
      <c r="B856" s="1">
        <v>1014</v>
      </c>
      <c r="C856" s="20">
        <v>5.70636112385601e-5</v>
      </c>
    </row>
    <row r="857" spans="1:3">
      <c r="A857" s="1" t="s">
        <v>757</v>
      </c>
      <c r="B857" s="1">
        <v>1111</v>
      </c>
      <c r="C857" s="20">
        <v>6.25223590592113e-5</v>
      </c>
    </row>
    <row r="858" spans="1:3">
      <c r="A858" s="1" t="s">
        <v>852</v>
      </c>
      <c r="B858" s="1">
        <v>734</v>
      </c>
      <c r="C858" s="20">
        <v>4.13064010346184e-5</v>
      </c>
    </row>
    <row r="859" spans="1:3">
      <c r="A859" s="1" t="s">
        <v>947</v>
      </c>
      <c r="B859" s="1">
        <v>475</v>
      </c>
      <c r="C859" s="20">
        <v>2.67309815959724e-5</v>
      </c>
    </row>
    <row r="860" spans="1:3">
      <c r="A860" s="1" t="s">
        <v>984</v>
      </c>
      <c r="B860" s="1">
        <v>425</v>
      </c>
      <c r="C860" s="20">
        <v>2.39171940595543e-5</v>
      </c>
    </row>
    <row r="861" spans="1:3">
      <c r="A861" s="1" t="s">
        <v>814</v>
      </c>
      <c r="B861" s="1">
        <v>898</v>
      </c>
      <c r="C861" s="20">
        <v>5.053562415407e-5</v>
      </c>
    </row>
    <row r="862" spans="1:3">
      <c r="A862" s="1" t="s">
        <v>1424</v>
      </c>
      <c r="B862" s="1">
        <v>11</v>
      </c>
      <c r="C862" s="20">
        <v>6.19033258011993e-7</v>
      </c>
    </row>
    <row r="863" spans="1:3">
      <c r="A863" s="1" t="s">
        <v>1036</v>
      </c>
      <c r="B863" s="1">
        <v>322</v>
      </c>
      <c r="C863" s="20">
        <v>1.81207917345329e-5</v>
      </c>
    </row>
    <row r="864" spans="1:3">
      <c r="A864" s="1" t="s">
        <v>1133</v>
      </c>
      <c r="B864" s="1">
        <v>159</v>
      </c>
      <c r="C864" s="20">
        <v>8.94784436580971e-6</v>
      </c>
    </row>
    <row r="865" spans="1:3">
      <c r="A865" s="1" t="s">
        <v>1530</v>
      </c>
      <c r="B865" s="1">
        <v>0</v>
      </c>
      <c r="C865" s="20">
        <v>0</v>
      </c>
    </row>
    <row r="866" spans="1:3">
      <c r="A866" s="1" t="s">
        <v>685</v>
      </c>
      <c r="B866" s="1">
        <v>1371</v>
      </c>
      <c r="C866" s="20">
        <v>7.71540542485856e-5</v>
      </c>
    </row>
    <row r="867" spans="1:3">
      <c r="A867" s="1" t="s">
        <v>471</v>
      </c>
      <c r="B867" s="1">
        <v>3634</v>
      </c>
      <c r="C867" s="20">
        <v>0.000204506078146871</v>
      </c>
    </row>
    <row r="868" spans="1:3">
      <c r="A868" s="1" t="s">
        <v>1349</v>
      </c>
      <c r="B868" s="1">
        <v>38</v>
      </c>
      <c r="C868" s="20">
        <v>2.13847852767779e-6</v>
      </c>
    </row>
    <row r="869" spans="1:3">
      <c r="A869" s="1" t="s">
        <v>522</v>
      </c>
      <c r="B869" s="1">
        <v>3044</v>
      </c>
      <c r="C869" s="20">
        <v>0.000171303385217137</v>
      </c>
    </row>
    <row r="870" spans="1:3">
      <c r="A870" s="1" t="s">
        <v>1063</v>
      </c>
      <c r="B870" s="1">
        <v>286</v>
      </c>
      <c r="C870" s="20">
        <v>1.60948647083118e-5</v>
      </c>
    </row>
    <row r="871" spans="1:3">
      <c r="A871" s="1" t="s">
        <v>195</v>
      </c>
      <c r="B871" s="1">
        <v>27594</v>
      </c>
      <c r="C871" s="20">
        <v>0.00155287306559845</v>
      </c>
    </row>
    <row r="872" spans="1:3">
      <c r="A872" s="1" t="s">
        <v>761</v>
      </c>
      <c r="B872" s="1">
        <v>1097</v>
      </c>
      <c r="C872" s="20">
        <v>6.17344985490142e-5</v>
      </c>
    </row>
    <row r="873" spans="1:3">
      <c r="A873" s="1" t="s">
        <v>583</v>
      </c>
      <c r="B873" s="1">
        <v>2351</v>
      </c>
      <c r="C873" s="20">
        <v>0.000132304289962381</v>
      </c>
    </row>
    <row r="874" spans="1:3">
      <c r="A874" s="1" t="s">
        <v>1533</v>
      </c>
      <c r="B874" s="1">
        <v>0</v>
      </c>
      <c r="C874" s="20">
        <v>0</v>
      </c>
    </row>
    <row r="875" spans="1:3">
      <c r="A875" s="1" t="s">
        <v>750</v>
      </c>
      <c r="B875" s="1">
        <v>985</v>
      </c>
      <c r="C875" s="20">
        <v>5.54316144674375e-5</v>
      </c>
    </row>
    <row r="876" spans="1:3">
      <c r="A876" s="1" t="s">
        <v>1409</v>
      </c>
      <c r="B876" s="1">
        <v>18</v>
      </c>
      <c r="C876" s="20">
        <v>1.01296351311053e-6</v>
      </c>
    </row>
    <row r="877" spans="1:3">
      <c r="A877" s="1" t="s">
        <v>1269</v>
      </c>
      <c r="B877" s="1">
        <v>83</v>
      </c>
      <c r="C877" s="20">
        <v>4.67088731045413e-6</v>
      </c>
    </row>
    <row r="878" spans="1:3">
      <c r="A878" s="1" t="s">
        <v>1134</v>
      </c>
      <c r="B878" s="1">
        <v>203</v>
      </c>
      <c r="C878" s="20">
        <v>1.14239773978577e-5</v>
      </c>
    </row>
    <row r="879" spans="1:3">
      <c r="A879" s="1" t="s">
        <v>1138</v>
      </c>
      <c r="B879" s="1">
        <v>186</v>
      </c>
      <c r="C879" s="20">
        <v>1.04672896354755e-5</v>
      </c>
    </row>
    <row r="880" spans="1:3">
      <c r="A880" s="1" t="s">
        <v>753</v>
      </c>
      <c r="B880" s="1">
        <v>1129</v>
      </c>
      <c r="C880" s="20">
        <v>6.35353225723218e-5</v>
      </c>
    </row>
    <row r="881" spans="1:3">
      <c r="A881" s="1" t="s">
        <v>885</v>
      </c>
      <c r="B881" s="1">
        <v>423</v>
      </c>
      <c r="C881" s="20">
        <v>2.38046425580975e-5</v>
      </c>
    </row>
    <row r="882" spans="1:3">
      <c r="A882" s="1" t="s">
        <v>533</v>
      </c>
      <c r="B882" s="1">
        <v>2847</v>
      </c>
      <c r="C882" s="20">
        <v>0.000160217062323649</v>
      </c>
    </row>
    <row r="883" spans="1:3">
      <c r="A883" s="1" t="s">
        <v>705</v>
      </c>
      <c r="B883" s="1">
        <v>1326</v>
      </c>
      <c r="C883" s="20">
        <v>7.46216454658093e-5</v>
      </c>
    </row>
    <row r="884" spans="1:3">
      <c r="A884" s="1" t="s">
        <v>913</v>
      </c>
      <c r="B884" s="1">
        <v>570</v>
      </c>
      <c r="C884" s="20">
        <v>3.20771779151669e-5</v>
      </c>
    </row>
    <row r="885" spans="1:3">
      <c r="A885" s="1" t="s">
        <v>368</v>
      </c>
      <c r="B885" s="1">
        <v>4846</v>
      </c>
      <c r="C885" s="20">
        <v>0.000272712288029647</v>
      </c>
    </row>
    <row r="886" spans="1:3">
      <c r="A886" s="1" t="s">
        <v>1282</v>
      </c>
      <c r="B886" s="1">
        <v>76</v>
      </c>
      <c r="C886" s="20">
        <v>4.27695705535559e-6</v>
      </c>
    </row>
    <row r="887" spans="1:3">
      <c r="A887" s="1" t="s">
        <v>804</v>
      </c>
      <c r="B887" s="1">
        <v>930</v>
      </c>
      <c r="C887" s="20">
        <v>5.23364481773776e-5</v>
      </c>
    </row>
    <row r="888" spans="1:3">
      <c r="A888" s="1" t="s">
        <v>665</v>
      </c>
      <c r="B888" s="1">
        <v>1591</v>
      </c>
      <c r="C888" s="20">
        <v>8.95347194088255e-5</v>
      </c>
    </row>
    <row r="889" spans="1:3">
      <c r="A889" s="1" t="s">
        <v>437</v>
      </c>
      <c r="B889" s="1">
        <v>4453</v>
      </c>
      <c r="C889" s="20">
        <v>0.0002505959179934</v>
      </c>
    </row>
    <row r="890" spans="1:3">
      <c r="A890" s="1" t="s">
        <v>710</v>
      </c>
      <c r="B890" s="1">
        <v>3009</v>
      </c>
      <c r="C890" s="20">
        <v>0.000169333733941644</v>
      </c>
    </row>
    <row r="891" spans="1:3">
      <c r="A891" s="1" t="s">
        <v>401</v>
      </c>
      <c r="B891" s="1">
        <v>7332</v>
      </c>
      <c r="C891" s="20">
        <v>0.000412613804340357</v>
      </c>
    </row>
    <row r="892" spans="1:3">
      <c r="A892" s="1" t="s">
        <v>360</v>
      </c>
      <c r="B892" s="1">
        <v>5265</v>
      </c>
      <c r="C892" s="20">
        <v>0.000296291827584831</v>
      </c>
    </row>
    <row r="893" spans="1:3">
      <c r="A893" s="1" t="s">
        <v>61</v>
      </c>
      <c r="B893" s="1">
        <v>81061</v>
      </c>
      <c r="C893" s="20">
        <v>0.00456176862979183</v>
      </c>
    </row>
    <row r="894" spans="1:3">
      <c r="A894" s="1" t="s">
        <v>255</v>
      </c>
      <c r="B894" s="1">
        <v>8586</v>
      </c>
      <c r="C894" s="20">
        <v>0.000483183595753725</v>
      </c>
    </row>
    <row r="895" spans="1:3">
      <c r="A895" s="1" t="s">
        <v>120</v>
      </c>
      <c r="B895" s="1">
        <v>9548</v>
      </c>
      <c r="C895" s="20">
        <v>0.00053732086795441</v>
      </c>
    </row>
    <row r="896" spans="1:3">
      <c r="A896" s="1" t="s">
        <v>477</v>
      </c>
      <c r="B896" s="1">
        <v>2563</v>
      </c>
      <c r="C896" s="20">
        <v>0.000144234749116794</v>
      </c>
    </row>
    <row r="897" spans="1:3">
      <c r="A897" s="1" t="s">
        <v>192</v>
      </c>
      <c r="B897" s="1">
        <v>19257</v>
      </c>
      <c r="C897" s="20">
        <v>0.00108370213177609</v>
      </c>
    </row>
    <row r="898" spans="1:3">
      <c r="A898" s="1" t="s">
        <v>1534</v>
      </c>
      <c r="B898" s="1">
        <v>46</v>
      </c>
      <c r="C898" s="20">
        <v>2.5886845335047e-6</v>
      </c>
    </row>
    <row r="899" spans="1:3">
      <c r="A899" s="1" t="s">
        <v>896</v>
      </c>
      <c r="B899" s="1">
        <v>362</v>
      </c>
      <c r="C899" s="20">
        <v>2.03718217636674e-5</v>
      </c>
    </row>
    <row r="900" spans="1:3">
      <c r="A900" s="1" t="s">
        <v>348</v>
      </c>
      <c r="B900" s="1">
        <v>5151</v>
      </c>
      <c r="C900" s="20">
        <v>0.000289876392001798</v>
      </c>
    </row>
    <row r="901" spans="1:3">
      <c r="A901" s="1" t="s">
        <v>91</v>
      </c>
      <c r="B901" s="1">
        <v>56809</v>
      </c>
      <c r="C901" s="20">
        <v>0.00319696912312757</v>
      </c>
    </row>
    <row r="902" spans="1:3">
      <c r="A902" s="1" t="s">
        <v>328</v>
      </c>
      <c r="B902" s="1">
        <v>4805</v>
      </c>
      <c r="C902" s="20">
        <v>0.000270404982249784</v>
      </c>
    </row>
    <row r="903" spans="1:3">
      <c r="A903" s="1" t="s">
        <v>466</v>
      </c>
      <c r="B903" s="1">
        <v>2667</v>
      </c>
      <c r="C903" s="20">
        <v>0.000150087427192544</v>
      </c>
    </row>
    <row r="904" spans="1:3">
      <c r="A904" s="1" t="s">
        <v>390</v>
      </c>
      <c r="B904" s="1">
        <v>4073</v>
      </c>
      <c r="C904" s="20">
        <v>0.000229211132716622</v>
      </c>
    </row>
    <row r="905" spans="1:3">
      <c r="A905" s="1" t="s">
        <v>71</v>
      </c>
      <c r="B905" s="1">
        <v>80007</v>
      </c>
      <c r="C905" s="20">
        <v>0.00450245398852414</v>
      </c>
    </row>
    <row r="906" spans="1:3">
      <c r="A906" s="1" t="s">
        <v>702</v>
      </c>
      <c r="B906" s="1">
        <v>821</v>
      </c>
      <c r="C906" s="20">
        <v>4.6202391347986e-5</v>
      </c>
    </row>
    <row r="907" spans="1:3">
      <c r="A907" s="1" t="s">
        <v>1216</v>
      </c>
      <c r="B907" s="1">
        <v>97</v>
      </c>
      <c r="C907" s="20">
        <v>5.45874782065121e-6</v>
      </c>
    </row>
    <row r="908" spans="1:3">
      <c r="A908" s="1" t="s">
        <v>376</v>
      </c>
      <c r="B908" s="1">
        <v>4517</v>
      </c>
      <c r="C908" s="20">
        <v>0.000254197566040016</v>
      </c>
    </row>
    <row r="909" spans="1:3">
      <c r="A909" s="1" t="s">
        <v>716</v>
      </c>
      <c r="B909" s="1">
        <v>863</v>
      </c>
      <c r="C909" s="20">
        <v>4.85659728785772e-5</v>
      </c>
    </row>
    <row r="910" spans="1:3">
      <c r="A910" s="1" t="s">
        <v>819</v>
      </c>
      <c r="B910" s="1">
        <v>628</v>
      </c>
      <c r="C910" s="20">
        <v>3.5341171457412e-5</v>
      </c>
    </row>
    <row r="911" spans="1:3">
      <c r="A911" s="1" t="s">
        <v>172</v>
      </c>
      <c r="B911" s="1">
        <v>14559</v>
      </c>
      <c r="C911" s="20">
        <v>0.000819318654854237</v>
      </c>
    </row>
    <row r="912" spans="1:3">
      <c r="A912" s="1" t="s">
        <v>467</v>
      </c>
      <c r="B912" s="1">
        <v>1952</v>
      </c>
      <c r="C912" s="20">
        <v>0.000109850265421765</v>
      </c>
    </row>
    <row r="913" spans="1:3">
      <c r="A913" s="1" t="s">
        <v>755</v>
      </c>
      <c r="B913" s="1">
        <v>693</v>
      </c>
      <c r="C913" s="20">
        <v>3.89990952547555e-5</v>
      </c>
    </row>
    <row r="914" spans="1:3">
      <c r="A914" s="1" t="s">
        <v>590</v>
      </c>
      <c r="B914" s="1">
        <v>1056</v>
      </c>
      <c r="C914" s="20">
        <v>5.94271927691513e-5</v>
      </c>
    </row>
    <row r="915" spans="1:3">
      <c r="A915" s="1" t="s">
        <v>354</v>
      </c>
      <c r="B915" s="1">
        <v>6127</v>
      </c>
      <c r="C915" s="20">
        <v>0.00034480152471268</v>
      </c>
    </row>
    <row r="916" spans="1:3">
      <c r="A916" s="1" t="s">
        <v>644</v>
      </c>
      <c r="B916" s="1">
        <v>1217</v>
      </c>
      <c r="C916" s="20">
        <v>6.84875886364177e-5</v>
      </c>
    </row>
    <row r="917" spans="1:3">
      <c r="A917" s="1" t="s">
        <v>248</v>
      </c>
      <c r="B917" s="1">
        <v>627</v>
      </c>
      <c r="C917" s="20">
        <v>3.52848957066836e-5</v>
      </c>
    </row>
    <row r="918" spans="1:3">
      <c r="A918" s="1" t="s">
        <v>372</v>
      </c>
      <c r="B918" s="1">
        <v>6306</v>
      </c>
      <c r="C918" s="20">
        <v>0.000354874884093057</v>
      </c>
    </row>
    <row r="919" spans="1:3">
      <c r="A919" s="1" t="s">
        <v>1435</v>
      </c>
      <c r="B919" s="1">
        <v>2</v>
      </c>
      <c r="C919" s="20">
        <v>1.12551501456726e-7</v>
      </c>
    </row>
    <row r="920" spans="1:3">
      <c r="A920" s="1" t="s">
        <v>1400</v>
      </c>
      <c r="B920" s="1">
        <v>20</v>
      </c>
      <c r="C920" s="20">
        <v>1.12551501456726e-6</v>
      </c>
    </row>
    <row r="921" spans="1:3">
      <c r="A921" s="1" t="s">
        <v>1137</v>
      </c>
      <c r="B921" s="1">
        <v>197</v>
      </c>
      <c r="C921" s="20">
        <v>1.10863228934875e-5</v>
      </c>
    </row>
    <row r="922" spans="1:3">
      <c r="A922" s="1" t="s">
        <v>876</v>
      </c>
      <c r="B922" s="1">
        <v>676</v>
      </c>
      <c r="C922" s="20">
        <v>3.80424074923734e-5</v>
      </c>
    </row>
    <row r="923" spans="1:3">
      <c r="A923" s="1" t="s">
        <v>801</v>
      </c>
      <c r="B923" s="1">
        <v>935</v>
      </c>
      <c r="C923" s="20">
        <v>5.26178269310194e-5</v>
      </c>
    </row>
    <row r="924" spans="1:3">
      <c r="A924" s="1" t="s">
        <v>815</v>
      </c>
      <c r="B924" s="1">
        <v>882</v>
      </c>
      <c r="C924" s="20">
        <v>4.96352121424161e-5</v>
      </c>
    </row>
    <row r="925" spans="1:3">
      <c r="A925" s="1" t="s">
        <v>563</v>
      </c>
      <c r="B925" s="1">
        <v>2641</v>
      </c>
      <c r="C925" s="20">
        <v>0.000148624257673607</v>
      </c>
    </row>
    <row r="926" spans="1:3">
      <c r="A926" s="1" t="s">
        <v>1045</v>
      </c>
      <c r="B926" s="1">
        <v>305</v>
      </c>
      <c r="C926" s="20">
        <v>1.71641039721507e-5</v>
      </c>
    </row>
    <row r="927" spans="1:3">
      <c r="A927" s="1" t="s">
        <v>568</v>
      </c>
      <c r="B927" s="1">
        <v>2616</v>
      </c>
      <c r="C927" s="20">
        <v>0.000147217363905398</v>
      </c>
    </row>
    <row r="928" spans="1:3">
      <c r="A928" s="1" t="s">
        <v>672</v>
      </c>
      <c r="B928" s="1">
        <v>1512</v>
      </c>
      <c r="C928" s="20">
        <v>8.50889351012848e-5</v>
      </c>
    </row>
    <row r="929" spans="1:3">
      <c r="A929" s="1" t="s">
        <v>663</v>
      </c>
      <c r="B929" s="1">
        <v>1602</v>
      </c>
      <c r="C929" s="20">
        <v>9.01537526668375e-5</v>
      </c>
    </row>
    <row r="930" spans="1:3">
      <c r="A930" s="1" t="s">
        <v>653</v>
      </c>
      <c r="B930" s="1">
        <v>1685</v>
      </c>
      <c r="C930" s="20">
        <v>9.48246399772916e-5</v>
      </c>
    </row>
    <row r="931" spans="1:3">
      <c r="A931" s="1" t="s">
        <v>668</v>
      </c>
      <c r="B931" s="1">
        <v>1504</v>
      </c>
      <c r="C931" s="20">
        <v>8.46387290954579e-5</v>
      </c>
    </row>
    <row r="932" spans="1:3">
      <c r="A932" s="1" t="s">
        <v>140</v>
      </c>
      <c r="B932" s="1">
        <v>26655</v>
      </c>
      <c r="C932" s="20">
        <v>0.00150003013566452</v>
      </c>
    </row>
    <row r="933" spans="1:3">
      <c r="A933" s="1" t="s">
        <v>1139</v>
      </c>
      <c r="B933" s="1">
        <v>191</v>
      </c>
      <c r="C933" s="20">
        <v>1.07486683891173e-5</v>
      </c>
    </row>
    <row r="934" spans="1:3">
      <c r="A934" s="1" t="s">
        <v>1253</v>
      </c>
      <c r="B934" s="1">
        <v>97</v>
      </c>
      <c r="C934" s="20">
        <v>5.45874782065121e-6</v>
      </c>
    </row>
    <row r="935" spans="1:3">
      <c r="A935" s="1" t="s">
        <v>1536</v>
      </c>
      <c r="B935" s="1">
        <v>25</v>
      </c>
      <c r="C935" s="20">
        <v>1.40689376820907e-6</v>
      </c>
    </row>
    <row r="936" spans="1:3">
      <c r="A936" s="1" t="s">
        <v>1302</v>
      </c>
      <c r="B936" s="1">
        <v>64</v>
      </c>
      <c r="C936" s="20">
        <v>3.60164804661523e-6</v>
      </c>
    </row>
    <row r="937" spans="1:3">
      <c r="A937" s="1" t="s">
        <v>1001</v>
      </c>
      <c r="B937" s="1">
        <v>381</v>
      </c>
      <c r="C937" s="20">
        <v>2.14410610275063e-5</v>
      </c>
    </row>
    <row r="938" spans="1:3">
      <c r="A938" s="1" t="s">
        <v>669</v>
      </c>
      <c r="B938" s="1">
        <v>1559</v>
      </c>
      <c r="C938" s="20">
        <v>8.77338953855179e-5</v>
      </c>
    </row>
    <row r="939" spans="1:3">
      <c r="A939" s="1" t="s">
        <v>654</v>
      </c>
      <c r="B939" s="1">
        <v>1165</v>
      </c>
      <c r="C939" s="20">
        <v>6.55612495985429e-5</v>
      </c>
    </row>
    <row r="940" spans="1:3">
      <c r="A940" s="1" t="s">
        <v>404</v>
      </c>
      <c r="B940" s="1">
        <v>5303</v>
      </c>
      <c r="C940" s="20">
        <v>0.000298430306112509</v>
      </c>
    </row>
    <row r="941" spans="1:3">
      <c r="A941" s="1" t="s">
        <v>1093</v>
      </c>
      <c r="B941" s="1">
        <v>251</v>
      </c>
      <c r="C941" s="20">
        <v>1.41252134328191e-5</v>
      </c>
    </row>
    <row r="942" spans="1:3">
      <c r="A942" s="1" t="s">
        <v>915</v>
      </c>
      <c r="B942" s="1">
        <v>527</v>
      </c>
      <c r="C942" s="20">
        <v>2.96573206338473e-5</v>
      </c>
    </row>
    <row r="943" spans="1:3">
      <c r="A943" s="1" t="s">
        <v>904</v>
      </c>
      <c r="B943" s="1">
        <v>606</v>
      </c>
      <c r="C943" s="20">
        <v>3.4103104941388e-5</v>
      </c>
    </row>
    <row r="944" spans="1:3">
      <c r="A944" s="1" t="s">
        <v>1243</v>
      </c>
      <c r="B944" s="1">
        <v>53</v>
      </c>
      <c r="C944" s="20">
        <v>2.98261478860324e-6</v>
      </c>
    </row>
    <row r="945" spans="1:3">
      <c r="A945" s="1" t="s">
        <v>326</v>
      </c>
      <c r="B945" s="1">
        <v>9296</v>
      </c>
      <c r="C945" s="20">
        <v>0.000523139378770862</v>
      </c>
    </row>
    <row r="946" spans="1:3">
      <c r="A946" s="1" t="s">
        <v>269</v>
      </c>
      <c r="B946" s="1">
        <v>986</v>
      </c>
      <c r="C946" s="20">
        <v>5.54878902181659e-5</v>
      </c>
    </row>
    <row r="947" spans="1:3">
      <c r="A947" s="1" t="s">
        <v>239</v>
      </c>
      <c r="B947" s="1">
        <v>18528</v>
      </c>
      <c r="C947" s="20">
        <v>0.00104267710949511</v>
      </c>
    </row>
    <row r="948" spans="1:3">
      <c r="A948" s="1" t="s">
        <v>431</v>
      </c>
      <c r="B948" s="1">
        <v>4497</v>
      </c>
      <c r="C948" s="20">
        <v>0.000253072051025448</v>
      </c>
    </row>
    <row r="949" spans="1:3">
      <c r="A949" s="1" t="s">
        <v>558</v>
      </c>
      <c r="B949" s="1">
        <v>2712</v>
      </c>
      <c r="C949" s="20">
        <v>0.00015261983597532</v>
      </c>
    </row>
    <row r="950" spans="1:3">
      <c r="A950" s="1" t="s">
        <v>1298</v>
      </c>
      <c r="B950" s="1">
        <v>66</v>
      </c>
      <c r="C950" s="20">
        <v>3.71419954807196e-6</v>
      </c>
    </row>
    <row r="951" spans="1:3">
      <c r="A951" s="1" t="s">
        <v>395</v>
      </c>
      <c r="B951" s="1">
        <v>5635</v>
      </c>
      <c r="C951" s="20">
        <v>0.000317113855354325</v>
      </c>
    </row>
    <row r="952" spans="1:3">
      <c r="A952" s="1" t="s">
        <v>1330</v>
      </c>
      <c r="B952" s="1">
        <v>46</v>
      </c>
      <c r="C952" s="20">
        <v>2.5886845335047e-6</v>
      </c>
    </row>
    <row r="953" spans="1:3">
      <c r="A953" s="1" t="s">
        <v>1205</v>
      </c>
      <c r="B953" s="1">
        <v>134</v>
      </c>
      <c r="C953" s="20">
        <v>7.54095059760064e-6</v>
      </c>
    </row>
    <row r="954" spans="1:3">
      <c r="A954" s="1" t="s">
        <v>1059</v>
      </c>
      <c r="B954" s="1">
        <v>290</v>
      </c>
      <c r="C954" s="20">
        <v>1.63199677112253e-5</v>
      </c>
    </row>
    <row r="955" spans="1:3">
      <c r="A955" s="1" t="s">
        <v>458</v>
      </c>
      <c r="B955" s="1">
        <v>4023</v>
      </c>
      <c r="C955" s="20">
        <v>0.000226397345180204</v>
      </c>
    </row>
    <row r="956" spans="1:3">
      <c r="A956" s="1" t="s">
        <v>1179</v>
      </c>
      <c r="B956" s="1">
        <v>160</v>
      </c>
      <c r="C956" s="20">
        <v>9.00412011653808e-6</v>
      </c>
    </row>
    <row r="957" spans="1:3">
      <c r="A957" s="1" t="s">
        <v>1131</v>
      </c>
      <c r="B957" s="1">
        <v>171</v>
      </c>
      <c r="C957" s="20">
        <v>9.62315337455007e-6</v>
      </c>
    </row>
    <row r="958" spans="1:3">
      <c r="A958" s="1" t="s">
        <v>1321</v>
      </c>
      <c r="B958" s="1">
        <v>56</v>
      </c>
      <c r="C958" s="20">
        <v>3.15144204078833e-6</v>
      </c>
    </row>
    <row r="959" spans="1:3">
      <c r="A959" s="1" t="s">
        <v>772</v>
      </c>
      <c r="B959" s="1">
        <v>1045</v>
      </c>
      <c r="C959" s="20">
        <v>5.88081595111393e-5</v>
      </c>
    </row>
    <row r="960" spans="1:3">
      <c r="A960" s="1" t="s">
        <v>280</v>
      </c>
      <c r="B960" s="1">
        <v>11883</v>
      </c>
      <c r="C960" s="20">
        <v>0.000668724745905137</v>
      </c>
    </row>
    <row r="961" spans="1:3">
      <c r="A961" s="1" t="s">
        <v>339</v>
      </c>
      <c r="B961" s="1">
        <v>7576</v>
      </c>
      <c r="C961" s="20">
        <v>0.000426345087518078</v>
      </c>
    </row>
    <row r="962" spans="1:3">
      <c r="A962" s="1" t="s">
        <v>1415</v>
      </c>
      <c r="B962" s="1">
        <v>16</v>
      </c>
      <c r="C962" s="20">
        <v>9.00412011653808e-7</v>
      </c>
    </row>
    <row r="963" spans="1:3">
      <c r="A963" s="1" t="s">
        <v>1430</v>
      </c>
      <c r="B963" s="1">
        <v>5</v>
      </c>
      <c r="C963" s="20">
        <v>2.81378753641815e-7</v>
      </c>
    </row>
    <row r="964" spans="1:3">
      <c r="A964" s="1" t="s">
        <v>337</v>
      </c>
      <c r="B964" s="1">
        <v>8311</v>
      </c>
      <c r="C964" s="20">
        <v>0.000467707764303425</v>
      </c>
    </row>
    <row r="965" spans="1:3">
      <c r="A965" s="1" t="s">
        <v>1102</v>
      </c>
      <c r="B965" s="1">
        <v>236</v>
      </c>
      <c r="C965" s="20">
        <v>1.32810771718937e-5</v>
      </c>
    </row>
    <row r="966" spans="1:3">
      <c r="A966" s="1" t="s">
        <v>1538</v>
      </c>
      <c r="B966" s="1">
        <v>864</v>
      </c>
      <c r="C966" s="20">
        <v>4.86222486293056e-5</v>
      </c>
    </row>
    <row r="967" spans="1:3">
      <c r="A967" s="1" t="s">
        <v>425</v>
      </c>
      <c r="B967" s="1">
        <v>4651</v>
      </c>
      <c r="C967" s="20">
        <v>0.000261738516637616</v>
      </c>
    </row>
    <row r="968" spans="1:3">
      <c r="A968" s="1" t="s">
        <v>1410</v>
      </c>
      <c r="B968" s="1">
        <v>18</v>
      </c>
      <c r="C968" s="20">
        <v>1.01296351311053e-6</v>
      </c>
    </row>
    <row r="969" spans="1:3">
      <c r="A969" s="1" t="s">
        <v>1426</v>
      </c>
      <c r="B969" s="1">
        <v>0</v>
      </c>
      <c r="C969" s="20">
        <v>0</v>
      </c>
    </row>
    <row r="970" spans="1:3">
      <c r="A970" s="1" t="s">
        <v>116</v>
      </c>
      <c r="B970" s="1">
        <v>46561</v>
      </c>
      <c r="C970" s="20">
        <v>0.00262025522966331</v>
      </c>
    </row>
    <row r="971" spans="1:3">
      <c r="A971" s="1" t="s">
        <v>729</v>
      </c>
      <c r="B971" s="1">
        <v>1206</v>
      </c>
      <c r="C971" s="20">
        <v>6.78685553784058e-5</v>
      </c>
    </row>
    <row r="972" spans="1:3">
      <c r="A972" s="1" t="s">
        <v>1129</v>
      </c>
      <c r="B972" s="1">
        <v>181</v>
      </c>
      <c r="C972" s="20">
        <v>1.01859108818337e-5</v>
      </c>
    </row>
    <row r="973" spans="1:3">
      <c r="A973" s="1" t="s">
        <v>1279</v>
      </c>
      <c r="B973" s="1">
        <v>16</v>
      </c>
      <c r="C973" s="20">
        <v>9.00412011653808e-7</v>
      </c>
    </row>
    <row r="974" spans="1:3">
      <c r="A974" s="1" t="s">
        <v>935</v>
      </c>
      <c r="B974" s="1">
        <v>145</v>
      </c>
      <c r="C974" s="20">
        <v>8.15998385561263e-6</v>
      </c>
    </row>
    <row r="975" spans="1:3">
      <c r="A975" s="1" t="s">
        <v>1034</v>
      </c>
      <c r="B975" s="1">
        <v>169</v>
      </c>
      <c r="C975" s="20">
        <v>9.51060187309334e-6</v>
      </c>
    </row>
    <row r="976" spans="1:3">
      <c r="A976" s="1" t="s">
        <v>1343</v>
      </c>
      <c r="B976" s="1">
        <v>32</v>
      </c>
      <c r="C976" s="20">
        <v>1.80082402330762e-6</v>
      </c>
    </row>
    <row r="977" spans="1:3">
      <c r="A977" s="1" t="s">
        <v>291</v>
      </c>
      <c r="B977" s="1">
        <v>11256</v>
      </c>
      <c r="C977" s="20">
        <v>0.000633439850198454</v>
      </c>
    </row>
    <row r="978" spans="1:3">
      <c r="A978" s="1" t="s">
        <v>1193</v>
      </c>
      <c r="B978" s="1">
        <v>73</v>
      </c>
      <c r="C978" s="20">
        <v>4.1081298031705e-6</v>
      </c>
    </row>
    <row r="979" spans="1:3">
      <c r="A979" s="1" t="s">
        <v>1215</v>
      </c>
      <c r="B979" s="1">
        <v>57</v>
      </c>
      <c r="C979" s="20">
        <v>3.20771779151669e-6</v>
      </c>
    </row>
    <row r="980" spans="1:3">
      <c r="A980" s="1" t="s">
        <v>666</v>
      </c>
      <c r="B980" s="1">
        <v>827</v>
      </c>
      <c r="C980" s="20">
        <v>4.65400458523562e-5</v>
      </c>
    </row>
    <row r="981" spans="1:3">
      <c r="A981" s="1" t="s">
        <v>1252</v>
      </c>
      <c r="B981" s="1">
        <v>85</v>
      </c>
      <c r="C981" s="20">
        <v>4.78343881191085e-6</v>
      </c>
    </row>
    <row r="982" spans="1:3">
      <c r="A982" s="1" t="s">
        <v>953</v>
      </c>
      <c r="B982" s="1">
        <v>455</v>
      </c>
      <c r="C982" s="20">
        <v>2.56054665814052e-5</v>
      </c>
    </row>
    <row r="983" spans="1:3">
      <c r="A983" s="1" t="s">
        <v>1387</v>
      </c>
      <c r="B983" s="1">
        <v>20</v>
      </c>
      <c r="C983" s="20">
        <v>1.12551501456726e-6</v>
      </c>
    </row>
    <row r="984" spans="1:3">
      <c r="A984" s="1" t="s">
        <v>1334</v>
      </c>
      <c r="B984" s="1">
        <v>50</v>
      </c>
      <c r="C984" s="20">
        <v>2.81378753641815e-6</v>
      </c>
    </row>
    <row r="985" spans="1:3">
      <c r="A985" s="1" t="s">
        <v>585</v>
      </c>
      <c r="B985" s="1">
        <v>2316</v>
      </c>
      <c r="C985" s="20">
        <v>0.000130334638686889</v>
      </c>
    </row>
    <row r="986" spans="1:3">
      <c r="A986" s="1" t="s">
        <v>1555</v>
      </c>
      <c r="B986" s="1">
        <v>130536</v>
      </c>
      <c r="C986" s="20">
        <v>0.00734601139707759</v>
      </c>
    </row>
    <row r="987" spans="1:3">
      <c r="A987" s="1" t="s">
        <v>874</v>
      </c>
      <c r="B987" s="1">
        <v>655</v>
      </c>
      <c r="C987" s="20">
        <v>3.68606167270778e-5</v>
      </c>
    </row>
    <row r="988" spans="1:3">
      <c r="A988" s="1" t="s">
        <v>460</v>
      </c>
      <c r="B988" s="1">
        <v>4000</v>
      </c>
      <c r="C988" s="20">
        <v>0.000225103002913452</v>
      </c>
    </row>
    <row r="989" spans="1:3">
      <c r="A989" s="1" t="s">
        <v>1416</v>
      </c>
      <c r="B989" s="1">
        <v>16</v>
      </c>
      <c r="C989" s="20">
        <v>9.00412011653808e-7</v>
      </c>
    </row>
    <row r="990" spans="1:3">
      <c r="A990" s="1" t="s">
        <v>1541</v>
      </c>
      <c r="B990" s="1">
        <v>0</v>
      </c>
      <c r="C990" s="20">
        <v>0</v>
      </c>
    </row>
    <row r="991" spans="1:3">
      <c r="A991" s="1" t="s">
        <v>1176</v>
      </c>
      <c r="B991" s="1">
        <v>162</v>
      </c>
      <c r="C991" s="20">
        <v>9.1166716179948e-6</v>
      </c>
    </row>
    <row r="992" spans="1:3">
      <c r="A992" s="1" t="s">
        <v>691</v>
      </c>
      <c r="B992" s="1">
        <v>1199</v>
      </c>
      <c r="C992" s="20">
        <v>6.74746251233072e-5</v>
      </c>
    </row>
    <row r="993" spans="1:3">
      <c r="A993" s="1" t="s">
        <v>1222</v>
      </c>
      <c r="B993" s="1">
        <v>112</v>
      </c>
      <c r="C993" s="20">
        <v>6.30288408157665e-6</v>
      </c>
    </row>
    <row r="994" spans="1:3">
      <c r="A994" s="1" t="s">
        <v>297</v>
      </c>
      <c r="B994" s="1">
        <v>10247</v>
      </c>
      <c r="C994" s="20">
        <v>0.000576657617713535</v>
      </c>
    </row>
    <row r="995" spans="1:3">
      <c r="A995" s="1" t="s">
        <v>979</v>
      </c>
      <c r="B995" s="1">
        <v>432</v>
      </c>
      <c r="C995" s="20">
        <v>2.43111243146528e-5</v>
      </c>
    </row>
    <row r="996" spans="1:3">
      <c r="A996" s="1" t="s">
        <v>316</v>
      </c>
      <c r="B996" s="1">
        <v>4656</v>
      </c>
      <c r="C996" s="20">
        <v>0.000262019895391258</v>
      </c>
    </row>
    <row r="997" spans="1:3">
      <c r="A997" s="1" t="s">
        <v>1432</v>
      </c>
      <c r="B997" s="1">
        <v>3</v>
      </c>
      <c r="C997" s="20">
        <v>1.68827252185089e-7</v>
      </c>
    </row>
    <row r="998" spans="1:3">
      <c r="A998" s="1" t="s">
        <v>370</v>
      </c>
      <c r="B998" s="1">
        <v>6423</v>
      </c>
      <c r="C998" s="20">
        <v>0.000361459146928275</v>
      </c>
    </row>
    <row r="999" spans="1:3">
      <c r="A999" s="1" t="s">
        <v>901</v>
      </c>
      <c r="B999" s="1">
        <v>387</v>
      </c>
      <c r="C999" s="20">
        <v>2.17787155318765e-5</v>
      </c>
    </row>
    <row r="1000" spans="1:3">
      <c r="A1000" s="1" t="s">
        <v>843</v>
      </c>
      <c r="B1000" s="1">
        <v>801</v>
      </c>
      <c r="C1000" s="20">
        <v>4.50768763334187e-5</v>
      </c>
    </row>
    <row r="1001" spans="1:3">
      <c r="A1001" s="1" t="s">
        <v>1542</v>
      </c>
      <c r="B1001" s="1">
        <v>99</v>
      </c>
      <c r="C1001" s="20">
        <v>5.57129932210793e-6</v>
      </c>
    </row>
    <row r="1002" spans="1:3">
      <c r="A1002" s="1" t="s">
        <v>1259</v>
      </c>
      <c r="B1002" s="1">
        <v>0</v>
      </c>
      <c r="C1002" s="20">
        <v>0</v>
      </c>
    </row>
    <row r="1003" spans="1:3">
      <c r="A1003" s="1" t="s">
        <v>1219</v>
      </c>
      <c r="B1003" s="1">
        <v>121</v>
      </c>
      <c r="C1003" s="20">
        <v>6.80936583813192e-6</v>
      </c>
    </row>
    <row r="1004" spans="1:3">
      <c r="A1004" s="1" t="s">
        <v>792</v>
      </c>
      <c r="B1004" s="1">
        <v>956</v>
      </c>
      <c r="C1004" s="20">
        <v>5.3799617696315e-5</v>
      </c>
    </row>
    <row r="1005" spans="1:3">
      <c r="A1005" s="1" t="s">
        <v>1002</v>
      </c>
      <c r="B1005" s="1">
        <v>364</v>
      </c>
      <c r="C1005" s="20">
        <v>2.04843732651241e-5</v>
      </c>
    </row>
    <row r="1006" spans="1:3">
      <c r="A1006" s="1" t="s">
        <v>342</v>
      </c>
      <c r="B1006" s="1">
        <v>7717</v>
      </c>
      <c r="C1006" s="20">
        <v>0.000434279968370777</v>
      </c>
    </row>
    <row r="1007" spans="1:3">
      <c r="A1007" s="1" t="s">
        <v>476</v>
      </c>
      <c r="B1007" s="1">
        <v>3694</v>
      </c>
      <c r="C1007" s="20">
        <v>0.000207882623190573</v>
      </c>
    </row>
    <row r="1008" spans="1:3">
      <c r="A1008" s="1" t="s">
        <v>355</v>
      </c>
      <c r="B1008" s="1">
        <v>7459</v>
      </c>
      <c r="C1008" s="20">
        <v>0.000419760824682859</v>
      </c>
    </row>
    <row r="1009" spans="1:3">
      <c r="A1009" s="1" t="s">
        <v>1047</v>
      </c>
      <c r="B1009" s="1">
        <v>248</v>
      </c>
      <c r="C1009" s="20">
        <v>1.3956386180634e-5</v>
      </c>
    </row>
    <row r="1010" spans="1:3">
      <c r="A1010" s="1" t="s">
        <v>749</v>
      </c>
      <c r="B1010" s="1">
        <v>891</v>
      </c>
      <c r="C1010" s="20">
        <v>5.01416938989714e-5</v>
      </c>
    </row>
    <row r="1011" spans="1:3">
      <c r="A1011" s="1" t="s">
        <v>1196</v>
      </c>
      <c r="B1011" s="1">
        <v>121</v>
      </c>
      <c r="C1011" s="20">
        <v>6.80936583813192e-6</v>
      </c>
    </row>
    <row r="1012" spans="1:3">
      <c r="A1012" s="1" t="s">
        <v>1391</v>
      </c>
      <c r="B1012" s="1">
        <v>23</v>
      </c>
      <c r="C1012" s="20">
        <v>1.29434226675235e-6</v>
      </c>
    </row>
    <row r="1013" spans="1:3">
      <c r="A1013" s="1" t="s">
        <v>837</v>
      </c>
      <c r="B1013" s="1">
        <v>718</v>
      </c>
      <c r="C1013" s="20">
        <v>4.04059890229646e-5</v>
      </c>
    </row>
    <row r="1014" spans="1:3">
      <c r="A1014" s="1" t="s">
        <v>1021</v>
      </c>
      <c r="B1014" s="1">
        <v>355</v>
      </c>
      <c r="C1014" s="20">
        <v>1.99778915085689e-5</v>
      </c>
    </row>
    <row r="1015" spans="1:3">
      <c r="A1015" s="1" t="s">
        <v>495</v>
      </c>
      <c r="B1015" s="1">
        <v>3470</v>
      </c>
      <c r="C1015" s="20">
        <v>0.00019527685502742</v>
      </c>
    </row>
    <row r="1016" spans="1:3">
      <c r="A1016" s="1" t="s">
        <v>769</v>
      </c>
      <c r="B1016" s="1">
        <v>1063</v>
      </c>
      <c r="C1016" s="20">
        <v>5.98211230242498e-5</v>
      </c>
    </row>
    <row r="1017" spans="1:3">
      <c r="A1017" s="1" t="s">
        <v>597</v>
      </c>
      <c r="B1017" s="1">
        <v>2250</v>
      </c>
      <c r="C1017" s="20">
        <v>0.000126620439138817</v>
      </c>
    </row>
    <row r="1018" spans="1:3">
      <c r="A1018" s="1" t="s">
        <v>1318</v>
      </c>
      <c r="B1018" s="1">
        <v>46</v>
      </c>
      <c r="C1018" s="20">
        <v>2.5886845335047e-6</v>
      </c>
    </row>
    <row r="1019" spans="1:3">
      <c r="A1019" s="1" t="s">
        <v>922</v>
      </c>
      <c r="B1019" s="1">
        <v>553</v>
      </c>
      <c r="C1019" s="20">
        <v>3.11204901527847e-5</v>
      </c>
    </row>
    <row r="1020" spans="1:3">
      <c r="A1020" s="1" t="s">
        <v>1079</v>
      </c>
      <c r="B1020" s="1">
        <v>264</v>
      </c>
      <c r="C1020" s="20">
        <v>1.48567981922878e-5</v>
      </c>
    </row>
    <row r="1021" spans="1:3">
      <c r="A1021" s="1" t="s">
        <v>601</v>
      </c>
      <c r="B1021" s="1">
        <v>2205</v>
      </c>
      <c r="C1021" s="20">
        <v>0.00012408803035604</v>
      </c>
    </row>
    <row r="1022" spans="1:3">
      <c r="A1022" s="1" t="s">
        <v>881</v>
      </c>
      <c r="B1022" s="1">
        <v>614</v>
      </c>
      <c r="C1022" s="20">
        <v>3.45533109472149e-5</v>
      </c>
    </row>
    <row r="1023" spans="1:3">
      <c r="A1023" s="1" t="s">
        <v>631</v>
      </c>
      <c r="B1023" s="1">
        <v>1813</v>
      </c>
      <c r="C1023" s="20">
        <v>0.000102027936070522</v>
      </c>
    </row>
    <row r="1024" spans="1:3">
      <c r="A1024" s="1" t="s">
        <v>768</v>
      </c>
      <c r="B1024" s="1">
        <v>974</v>
      </c>
      <c r="C1024" s="20">
        <v>5.48125812094255e-5</v>
      </c>
    </row>
    <row r="1025" spans="1:3">
      <c r="A1025" s="1" t="s">
        <v>1194</v>
      </c>
      <c r="B1025" s="1">
        <v>130</v>
      </c>
      <c r="C1025" s="20">
        <v>7.31584759468719e-6</v>
      </c>
    </row>
    <row r="1026" spans="1:3">
      <c r="A1026" s="1" t="s">
        <v>161</v>
      </c>
      <c r="B1026" s="1">
        <v>8681</v>
      </c>
      <c r="C1026" s="20">
        <v>0.000488529792072919</v>
      </c>
    </row>
    <row r="1027" spans="1:3">
      <c r="A1027" s="1" t="s">
        <v>997</v>
      </c>
      <c r="B1027" s="1">
        <v>292</v>
      </c>
      <c r="C1027" s="20">
        <v>1.6432519212682e-5</v>
      </c>
    </row>
    <row r="1028" spans="1:3">
      <c r="A1028" s="1" t="s">
        <v>546</v>
      </c>
      <c r="B1028" s="1">
        <v>757</v>
      </c>
      <c r="C1028" s="20">
        <v>4.26007433013708e-5</v>
      </c>
    </row>
    <row r="1029" spans="1:3">
      <c r="A1029" s="1" t="s">
        <v>204</v>
      </c>
      <c r="B1029" s="1">
        <v>10356</v>
      </c>
      <c r="C1029" s="20">
        <v>0.000582791674542927</v>
      </c>
    </row>
    <row r="1030" spans="1:3">
      <c r="A1030" s="1" t="s">
        <v>720</v>
      </c>
      <c r="B1030" s="1">
        <v>1256</v>
      </c>
      <c r="C1030" s="20">
        <v>7.06823429148239e-5</v>
      </c>
    </row>
    <row r="1031" spans="1:3">
      <c r="A1031" s="1" t="s">
        <v>1041</v>
      </c>
      <c r="B1031" s="1">
        <v>309</v>
      </c>
      <c r="C1031" s="20">
        <v>1.73892069750642e-5</v>
      </c>
    </row>
    <row r="1032" spans="1:3">
      <c r="A1032" s="1" t="s">
        <v>128</v>
      </c>
      <c r="B1032" s="1">
        <v>19415</v>
      </c>
      <c r="C1032" s="20">
        <v>0.00109259370039117</v>
      </c>
    </row>
    <row r="1033" spans="1:3">
      <c r="A1033" s="1" t="s">
        <v>886</v>
      </c>
      <c r="B1033" s="1">
        <v>339</v>
      </c>
      <c r="C1033" s="20">
        <v>1.9077479496915e-5</v>
      </c>
    </row>
    <row r="1034" spans="1:3">
      <c r="A1034" s="1" t="s">
        <v>302</v>
      </c>
      <c r="B1034" s="1">
        <v>8836</v>
      </c>
      <c r="C1034" s="20">
        <v>0.000497252533435815</v>
      </c>
    </row>
    <row r="1035" spans="1:3">
      <c r="A1035" s="1" t="s">
        <v>731</v>
      </c>
      <c r="B1035" s="1">
        <v>1073</v>
      </c>
      <c r="C1035" s="20">
        <v>6.03838805315335e-5</v>
      </c>
    </row>
    <row r="1036" spans="1:3">
      <c r="A1036" s="1" t="s">
        <v>1295</v>
      </c>
      <c r="B1036" s="1">
        <v>68</v>
      </c>
      <c r="C1036" s="20">
        <v>3.82675104952868e-6</v>
      </c>
    </row>
    <row r="1037" spans="1:3">
      <c r="A1037" s="1" t="s">
        <v>1042</v>
      </c>
      <c r="B1037" s="1">
        <v>307</v>
      </c>
      <c r="C1037" s="20">
        <v>1.72766554736074e-5</v>
      </c>
    </row>
    <row r="1038" spans="1:3">
      <c r="A1038" s="1" t="s">
        <v>363</v>
      </c>
      <c r="B1038" s="1">
        <v>7182</v>
      </c>
      <c r="C1038" s="20">
        <v>0.000404172441731103</v>
      </c>
    </row>
    <row r="1039" spans="1:3">
      <c r="A1039" s="1" t="s">
        <v>209</v>
      </c>
      <c r="B1039" s="1">
        <v>23524</v>
      </c>
      <c r="C1039" s="20">
        <v>0.00132383076013401</v>
      </c>
    </row>
    <row r="1040" spans="1:3">
      <c r="A1040" s="1" t="s">
        <v>606</v>
      </c>
      <c r="B1040" s="1">
        <v>2135</v>
      </c>
      <c r="C1040" s="20">
        <v>0.000120148727805055</v>
      </c>
    </row>
    <row r="1041" spans="1:3">
      <c r="A1041" s="1" t="s">
        <v>986</v>
      </c>
      <c r="B1041" s="1">
        <v>421</v>
      </c>
      <c r="C1041" s="20">
        <v>2.36920910566408e-5</v>
      </c>
    </row>
    <row r="1042" spans="1:3">
      <c r="A1042" s="1" t="s">
        <v>1221</v>
      </c>
      <c r="B1042" s="1">
        <v>119</v>
      </c>
      <c r="C1042" s="20">
        <v>6.69681433667519e-6</v>
      </c>
    </row>
    <row r="1043" spans="1:3">
      <c r="A1043" s="1" t="s">
        <v>1163</v>
      </c>
      <c r="B1043" s="1">
        <v>96</v>
      </c>
      <c r="C1043" s="20">
        <v>5.40247206992285e-6</v>
      </c>
    </row>
    <row r="1044" spans="1:3">
      <c r="A1044" s="1" t="s">
        <v>853</v>
      </c>
      <c r="B1044" s="1">
        <v>235</v>
      </c>
      <c r="C1044" s="20">
        <v>1.32248014211653e-5</v>
      </c>
    </row>
    <row r="1045" spans="1:3">
      <c r="A1045" s="1" t="s">
        <v>976</v>
      </c>
      <c r="B1045" s="1">
        <v>378</v>
      </c>
      <c r="C1045" s="20">
        <v>2.12722337753212e-5</v>
      </c>
    </row>
    <row r="1046" spans="1:3">
      <c r="A1046" s="1" t="s">
        <v>864</v>
      </c>
      <c r="B1046" s="1">
        <v>573</v>
      </c>
      <c r="C1046" s="20">
        <v>3.2246005167352e-5</v>
      </c>
    </row>
    <row r="1047" spans="1:3">
      <c r="A1047" s="1" t="s">
        <v>846</v>
      </c>
      <c r="B1047" s="1">
        <v>506</v>
      </c>
      <c r="C1047" s="20">
        <v>2.84755298685517e-5</v>
      </c>
    </row>
    <row r="1048" spans="1:3">
      <c r="A1048" s="1" t="s">
        <v>899</v>
      </c>
      <c r="B1048" s="1">
        <v>329</v>
      </c>
      <c r="C1048" s="20">
        <v>1.85147219896314e-5</v>
      </c>
    </row>
    <row r="1049" spans="1:3">
      <c r="A1049" s="1" t="s">
        <v>1127</v>
      </c>
      <c r="B1049" s="1">
        <v>183</v>
      </c>
      <c r="C1049" s="20">
        <v>1.02984623832904e-5</v>
      </c>
    </row>
    <row r="1050" spans="1:3">
      <c r="A1050" s="1" t="s">
        <v>249</v>
      </c>
      <c r="B1050" s="1">
        <v>11039</v>
      </c>
      <c r="C1050" s="20">
        <v>0.000621228012290399</v>
      </c>
    </row>
    <row r="1051" spans="1:3">
      <c r="A1051" s="1" t="s">
        <v>1100</v>
      </c>
      <c r="B1051" s="1">
        <v>190</v>
      </c>
      <c r="C1051" s="20">
        <v>1.0692392638389e-5</v>
      </c>
    </row>
    <row r="1052" spans="1:3">
      <c r="A1052" s="1" t="s">
        <v>311</v>
      </c>
      <c r="B1052" s="1">
        <v>5484</v>
      </c>
      <c r="C1052" s="20">
        <v>0.000308616216994343</v>
      </c>
    </row>
    <row r="1053" spans="1:3">
      <c r="A1053" s="1" t="s">
        <v>1073</v>
      </c>
      <c r="B1053" s="1">
        <v>277</v>
      </c>
      <c r="C1053" s="20">
        <v>1.55883829517565e-5</v>
      </c>
    </row>
    <row r="1054" spans="1:3">
      <c r="A1054" s="1" t="s">
        <v>703</v>
      </c>
      <c r="B1054" s="1">
        <v>1347</v>
      </c>
      <c r="C1054" s="20">
        <v>7.58034362311049e-5</v>
      </c>
    </row>
    <row r="1055" spans="1:3">
      <c r="A1055" s="1" t="s">
        <v>1244</v>
      </c>
      <c r="B1055" s="1">
        <v>66</v>
      </c>
      <c r="C1055" s="20">
        <v>3.71419954807196e-6</v>
      </c>
    </row>
    <row r="1056" spans="1:3">
      <c r="A1056" s="1" t="s">
        <v>1335</v>
      </c>
      <c r="B1056" s="1">
        <v>47</v>
      </c>
      <c r="C1056" s="20">
        <v>2.64496028423306e-6</v>
      </c>
    </row>
    <row r="1057" spans="1:3">
      <c r="A1057" s="1" t="s">
        <v>1392</v>
      </c>
      <c r="B1057" s="1">
        <v>20</v>
      </c>
      <c r="C1057" s="20">
        <v>1.12551501456726e-6</v>
      </c>
    </row>
    <row r="1058" spans="1:3">
      <c r="A1058" s="1" t="s">
        <v>1545</v>
      </c>
      <c r="B1058" s="1">
        <v>110</v>
      </c>
      <c r="C1058" s="20">
        <v>6.19033258011993e-6</v>
      </c>
    </row>
    <row r="1059" spans="1:3">
      <c r="A1059" s="1" t="s">
        <v>699</v>
      </c>
      <c r="B1059" s="1">
        <v>1041</v>
      </c>
      <c r="C1059" s="20">
        <v>5.85830565082259e-5</v>
      </c>
    </row>
    <row r="1060" spans="1:3">
      <c r="A1060" s="1" t="s">
        <v>1547</v>
      </c>
      <c r="B1060" s="1">
        <v>24072</v>
      </c>
      <c r="C1060" s="20">
        <v>0.00135466987153315</v>
      </c>
    </row>
    <row r="1061" spans="1:3">
      <c r="A1061" s="1" t="s">
        <v>196</v>
      </c>
      <c r="B1061" s="1">
        <v>26506</v>
      </c>
      <c r="C1061" s="20">
        <v>0.00149164504880599</v>
      </c>
    </row>
    <row r="1062" spans="1:3">
      <c r="A1062" s="10" t="s">
        <v>1556</v>
      </c>
      <c r="B1062" s="11"/>
      <c r="C1062" s="22">
        <v>1</v>
      </c>
    </row>
  </sheetData>
  <dataValidations count="1">
    <dataValidation type="custom" allowBlank="1" sqref="Q2:Q22 U2:U22">
      <formula1>AND(ISNUMBER(Q2),(NOT(OR(NOT(ISERROR(DATEVALUE(Q2))),AND(ISNUMBER(Q2),LEFT(CELL("format",Q2))="D")))))</formula1>
    </dataValidation>
  </dataValidations>
  <pageMargins left="0.75" right="0.75" top="1" bottom="1" header="0.5" footer="0.5"/>
  <headerFooter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6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59259259259" defaultRowHeight="15" customHeight="1"/>
  <cols>
    <col min="1" max="1" width="43" customWidth="1"/>
    <col min="2" max="2" width="36.1388888888889" customWidth="1"/>
    <col min="3" max="3" width="34.1388888888889" customWidth="1"/>
    <col min="4" max="4" width="28" customWidth="1"/>
    <col min="5" max="5" width="18.1388888888889" customWidth="1"/>
    <col min="7" max="7" width="43" customWidth="1"/>
    <col min="8" max="8" width="19.712962962963" customWidth="1"/>
    <col min="9" max="9" width="31.287037037037" customWidth="1"/>
  </cols>
  <sheetData>
    <row r="1" ht="22.5" customHeight="1" spans="1:9">
      <c r="A1" s="14" t="s">
        <v>0</v>
      </c>
      <c r="B1" s="14" t="s">
        <v>1600</v>
      </c>
      <c r="C1" s="14" t="s">
        <v>1594</v>
      </c>
      <c r="D1" s="15" t="s">
        <v>1601</v>
      </c>
      <c r="E1" s="14" t="s">
        <v>1602</v>
      </c>
      <c r="G1" s="14" t="s">
        <v>0</v>
      </c>
      <c r="H1" s="14" t="s">
        <v>1590</v>
      </c>
      <c r="I1" s="14" t="s">
        <v>1603</v>
      </c>
    </row>
    <row r="2" ht="22.5" customHeight="1" spans="1:9">
      <c r="A2" s="16" t="s">
        <v>44</v>
      </c>
      <c r="B2" s="16">
        <v>197444</v>
      </c>
      <c r="C2" s="17">
        <v>0.0227945031868096</v>
      </c>
      <c r="D2" s="17">
        <f t="shared" ref="D2:D1061" si="0">B2/1456302</f>
        <v>0.135579021384301</v>
      </c>
      <c r="E2" s="18">
        <f t="shared" ref="E2:E1062" si="1">B2/(SUM($B$1:$B$1061))</f>
        <v>0.165949310169484</v>
      </c>
      <c r="G2" s="16" t="s">
        <v>13</v>
      </c>
      <c r="H2" s="16">
        <v>2352092</v>
      </c>
      <c r="I2" s="17">
        <v>0.134883005039105</v>
      </c>
    </row>
    <row r="3" ht="22.5" customHeight="1" spans="1:9">
      <c r="A3" s="16" t="s">
        <v>61</v>
      </c>
      <c r="B3" s="16">
        <v>137942</v>
      </c>
      <c r="C3" s="17">
        <v>0.0116816614828893</v>
      </c>
      <c r="D3" s="17">
        <f t="shared" si="0"/>
        <v>0.094720737868931</v>
      </c>
      <c r="E3" s="18">
        <f t="shared" si="1"/>
        <v>0.115938593947646</v>
      </c>
      <c r="G3" s="16" t="s">
        <v>22</v>
      </c>
      <c r="H3" s="16">
        <v>1829147</v>
      </c>
      <c r="I3" s="17">
        <v>0.104894215029967</v>
      </c>
    </row>
    <row r="4" ht="22.5" customHeight="1" spans="1:9">
      <c r="A4" s="16" t="s">
        <v>16</v>
      </c>
      <c r="B4" s="16">
        <v>126878</v>
      </c>
      <c r="C4" s="17">
        <v>0.0660237395846613</v>
      </c>
      <c r="D4" s="17">
        <f t="shared" si="0"/>
        <v>0.0871234125888724</v>
      </c>
      <c r="E4" s="18">
        <f t="shared" si="1"/>
        <v>0.106639434855877</v>
      </c>
      <c r="G4" s="16" t="s">
        <v>28</v>
      </c>
      <c r="H4" s="16">
        <v>1506199</v>
      </c>
      <c r="I4" s="17">
        <v>0.0863744476435851</v>
      </c>
    </row>
    <row r="5" ht="22.5" customHeight="1" spans="1:9">
      <c r="A5" s="16" t="s">
        <v>71</v>
      </c>
      <c r="B5" s="16">
        <v>95137</v>
      </c>
      <c r="C5" s="17">
        <v>0.00934221411925479</v>
      </c>
      <c r="D5" s="17">
        <f t="shared" si="0"/>
        <v>0.065327796020331</v>
      </c>
      <c r="E5" s="18">
        <f t="shared" si="1"/>
        <v>0.0799615056501805</v>
      </c>
      <c r="G5" s="16" t="s">
        <v>16</v>
      </c>
      <c r="H5" s="16">
        <v>492015</v>
      </c>
      <c r="I5" s="17">
        <v>0.0564301581097299</v>
      </c>
    </row>
    <row r="6" ht="22.5" customHeight="1" spans="1:9">
      <c r="A6" s="16" t="s">
        <v>91</v>
      </c>
      <c r="B6" s="16">
        <v>50745</v>
      </c>
      <c r="C6" s="17">
        <v>0.0057369507227329</v>
      </c>
      <c r="D6" s="17">
        <f t="shared" si="0"/>
        <v>0.0348451076768418</v>
      </c>
      <c r="E6" s="18">
        <f t="shared" si="1"/>
        <v>0.0426505629168295</v>
      </c>
      <c r="G6" s="16" t="s">
        <v>32</v>
      </c>
      <c r="H6" s="16">
        <v>902689</v>
      </c>
      <c r="I6" s="17">
        <v>0.0517655792952593</v>
      </c>
    </row>
    <row r="7" ht="22.5" customHeight="1" spans="1:9">
      <c r="A7" s="16" t="s">
        <v>120</v>
      </c>
      <c r="B7" s="16">
        <v>40830</v>
      </c>
      <c r="C7" s="17">
        <v>0.0026871720578485</v>
      </c>
      <c r="D7" s="17">
        <f t="shared" si="0"/>
        <v>0.0280367670991319</v>
      </c>
      <c r="E7" s="18">
        <f t="shared" si="1"/>
        <v>0.0343171245224978</v>
      </c>
      <c r="G7" s="16" t="s">
        <v>36</v>
      </c>
      <c r="H7" s="16">
        <v>475767</v>
      </c>
      <c r="I7" s="17">
        <v>0.0272833216806316</v>
      </c>
    </row>
    <row r="8" ht="22.5" customHeight="1" spans="1:9">
      <c r="A8" s="16" t="s">
        <v>111</v>
      </c>
      <c r="B8" s="16">
        <v>33603</v>
      </c>
      <c r="C8" s="17">
        <v>0.00311768072589597</v>
      </c>
      <c r="D8" s="17">
        <f t="shared" si="0"/>
        <v>0.0230741975222172</v>
      </c>
      <c r="E8" s="18">
        <f t="shared" si="1"/>
        <v>0.0282429178380968</v>
      </c>
      <c r="G8" s="16" t="s">
        <v>40</v>
      </c>
      <c r="H8" s="16">
        <v>454352</v>
      </c>
      <c r="I8" s="17">
        <v>0.0260552576623396</v>
      </c>
    </row>
    <row r="9" ht="22.5" customHeight="1" spans="1:9">
      <c r="A9" s="16" t="s">
        <v>89</v>
      </c>
      <c r="B9" s="16">
        <v>32369</v>
      </c>
      <c r="C9" s="17">
        <v>0.00642167873310649</v>
      </c>
      <c r="D9" s="17">
        <f t="shared" si="0"/>
        <v>0.0222268458053343</v>
      </c>
      <c r="E9" s="18">
        <f t="shared" si="1"/>
        <v>0.0272057556617372</v>
      </c>
      <c r="G9" s="16" t="s">
        <v>42</v>
      </c>
      <c r="H9" s="16">
        <v>445070</v>
      </c>
      <c r="I9" s="17">
        <v>0.0255229723381376</v>
      </c>
    </row>
    <row r="10" ht="22.5" customHeight="1" spans="1:9">
      <c r="A10" s="16" t="s">
        <v>125</v>
      </c>
      <c r="B10" s="16">
        <v>26551</v>
      </c>
      <c r="C10" s="19">
        <v>0.00225042258764993</v>
      </c>
      <c r="D10" s="17">
        <f t="shared" si="0"/>
        <v>0.0182317953281668</v>
      </c>
      <c r="E10" s="18">
        <f t="shared" si="1"/>
        <v>0.0223157965514778</v>
      </c>
      <c r="G10" s="16" t="s">
        <v>48</v>
      </c>
      <c r="H10" s="16">
        <v>343586</v>
      </c>
      <c r="I10" s="17">
        <v>0.0197032735834168</v>
      </c>
    </row>
    <row r="11" ht="22.5" customHeight="1" spans="1:9">
      <c r="A11" s="16" t="s">
        <v>161</v>
      </c>
      <c r="B11" s="16">
        <v>26192</v>
      </c>
      <c r="C11" s="19">
        <v>0.00186013242235402</v>
      </c>
      <c r="D11" s="17">
        <f t="shared" si="0"/>
        <v>0.0179852805256053</v>
      </c>
      <c r="E11" s="18">
        <f t="shared" si="1"/>
        <v>0.022014061364028</v>
      </c>
      <c r="G11" s="16" t="s">
        <v>49</v>
      </c>
      <c r="H11" s="16">
        <v>327494</v>
      </c>
      <c r="I11" s="17">
        <v>0.0187804621810188</v>
      </c>
    </row>
    <row r="12" ht="22.5" customHeight="1" spans="1:9">
      <c r="A12" s="16" t="s">
        <v>115</v>
      </c>
      <c r="B12" s="16">
        <v>25397</v>
      </c>
      <c r="C12" s="17">
        <v>0.00273347134218318</v>
      </c>
      <c r="D12" s="17">
        <f t="shared" si="0"/>
        <v>0.0174393772720219</v>
      </c>
      <c r="E12" s="18">
        <f t="shared" si="1"/>
        <v>0.0213458734141042</v>
      </c>
      <c r="G12" s="16" t="s">
        <v>52</v>
      </c>
      <c r="H12" s="16">
        <v>304871</v>
      </c>
      <c r="I12" s="17">
        <v>0.0174831242269763</v>
      </c>
    </row>
    <row r="13" ht="22.5" customHeight="1" spans="1:9">
      <c r="A13" s="16" t="s">
        <v>123</v>
      </c>
      <c r="B13" s="16">
        <v>22487</v>
      </c>
      <c r="C13" s="19">
        <v>0.00239870831397529</v>
      </c>
      <c r="D13" s="17">
        <f t="shared" si="0"/>
        <v>0.0154411653626789</v>
      </c>
      <c r="E13" s="18">
        <f t="shared" si="1"/>
        <v>0.0189000533709872</v>
      </c>
      <c r="G13" s="16" t="s">
        <v>51</v>
      </c>
      <c r="H13" s="16">
        <v>304336</v>
      </c>
      <c r="I13" s="17">
        <v>0.017452444131259</v>
      </c>
    </row>
    <row r="14" ht="22.5" customHeight="1" spans="1:9">
      <c r="A14" s="16" t="s">
        <v>162</v>
      </c>
      <c r="B14" s="16">
        <v>21576</v>
      </c>
      <c r="C14" s="19">
        <v>0.00172278143484042</v>
      </c>
      <c r="D14" s="17">
        <f t="shared" si="0"/>
        <v>0.0148156083010255</v>
      </c>
      <c r="E14" s="18">
        <f t="shared" si="1"/>
        <v>0.0181343688145337</v>
      </c>
      <c r="G14" s="16" t="s">
        <v>56</v>
      </c>
      <c r="H14" s="16">
        <v>252278</v>
      </c>
      <c r="I14" s="17">
        <v>0.0144671274530314</v>
      </c>
    </row>
    <row r="15" ht="22.5" customHeight="1" spans="1:9">
      <c r="A15" s="16" t="s">
        <v>128</v>
      </c>
      <c r="B15" s="16">
        <v>21011</v>
      </c>
      <c r="C15" s="19">
        <v>0.00215633049367945</v>
      </c>
      <c r="D15" s="17">
        <f t="shared" si="0"/>
        <v>0.0144276393220637</v>
      </c>
      <c r="E15" s="18">
        <f t="shared" si="1"/>
        <v>0.0176594931016948</v>
      </c>
      <c r="G15" s="16" t="s">
        <v>60</v>
      </c>
      <c r="H15" s="16">
        <v>235869</v>
      </c>
      <c r="I15" s="17">
        <v>0.0135261373770961</v>
      </c>
    </row>
    <row r="16" ht="22.5" customHeight="1" spans="1:9">
      <c r="A16" s="16" t="s">
        <v>172</v>
      </c>
      <c r="B16" s="16">
        <v>16007</v>
      </c>
      <c r="C16" s="19">
        <v>0.00163039622692837</v>
      </c>
      <c r="D16" s="17">
        <f t="shared" si="0"/>
        <v>0.0109915388429048</v>
      </c>
      <c r="E16" s="18">
        <f t="shared" si="1"/>
        <v>0.0134536912131183</v>
      </c>
      <c r="G16" s="16" t="s">
        <v>44</v>
      </c>
      <c r="H16" s="16">
        <v>229898</v>
      </c>
      <c r="I16" s="17">
        <v>0.0131837245705016</v>
      </c>
    </row>
    <row r="17" ht="22.5" customHeight="1" spans="1:9">
      <c r="A17" s="16" t="s">
        <v>248</v>
      </c>
      <c r="B17" s="16">
        <v>15763</v>
      </c>
      <c r="C17" s="19">
        <v>0.000874245703047698</v>
      </c>
      <c r="D17" s="17">
        <f t="shared" si="0"/>
        <v>0.0108239911776541</v>
      </c>
      <c r="E17" s="18">
        <f t="shared" si="1"/>
        <v>0.0132486121442109</v>
      </c>
      <c r="G17" s="16" t="s">
        <v>65</v>
      </c>
      <c r="H17" s="16">
        <v>194698</v>
      </c>
      <c r="I17" s="17">
        <v>0.0111651463102224</v>
      </c>
    </row>
    <row r="18" ht="22.5" customHeight="1" spans="1:9">
      <c r="A18" s="16" t="s">
        <v>204</v>
      </c>
      <c r="B18" s="16">
        <v>14253</v>
      </c>
      <c r="C18" s="19">
        <v>0.00131264871911536</v>
      </c>
      <c r="D18" s="17">
        <f t="shared" si="0"/>
        <v>0.00978711833122525</v>
      </c>
      <c r="E18" s="18">
        <f t="shared" si="1"/>
        <v>0.0119794752833495</v>
      </c>
      <c r="G18" s="16" t="s">
        <v>66</v>
      </c>
      <c r="H18" s="16">
        <v>184646</v>
      </c>
      <c r="I18" s="17">
        <v>0.0105887045865768</v>
      </c>
    </row>
    <row r="19" ht="22.5" customHeight="1" spans="1:9">
      <c r="A19" s="16" t="s">
        <v>140</v>
      </c>
      <c r="B19" s="16">
        <v>11403</v>
      </c>
      <c r="C19" s="19">
        <v>0.00203002092535627</v>
      </c>
      <c r="D19" s="17">
        <f t="shared" si="0"/>
        <v>0.00783010666743574</v>
      </c>
      <c r="E19" s="18">
        <f t="shared" si="1"/>
        <v>0.009584084519472</v>
      </c>
      <c r="G19" s="16" t="s">
        <v>69</v>
      </c>
      <c r="H19" s="16">
        <v>182504</v>
      </c>
      <c r="I19" s="17">
        <v>0.010465869511761</v>
      </c>
    </row>
    <row r="20" ht="22.5" customHeight="1" spans="1:9">
      <c r="A20" s="16" t="s">
        <v>1477</v>
      </c>
      <c r="B20" s="16">
        <v>9720</v>
      </c>
      <c r="C20" s="17">
        <v>0.00409369951017704</v>
      </c>
      <c r="D20" s="17">
        <f t="shared" si="0"/>
        <v>0.00667443977966109</v>
      </c>
      <c r="E20" s="18">
        <f t="shared" si="1"/>
        <v>0.00816954323680329</v>
      </c>
      <c r="G20" s="16" t="s">
        <v>70</v>
      </c>
      <c r="H20" s="16">
        <v>178271</v>
      </c>
      <c r="I20" s="17">
        <v>0.0102231240067677</v>
      </c>
    </row>
    <row r="21" ht="22.5" customHeight="1" spans="1:9">
      <c r="A21" s="16" t="s">
        <v>192</v>
      </c>
      <c r="B21" s="16">
        <v>9278</v>
      </c>
      <c r="C21" s="19">
        <v>0.00152206230240794</v>
      </c>
      <c r="D21" s="17">
        <f t="shared" si="0"/>
        <v>0.00637093130408391</v>
      </c>
      <c r="E21" s="18">
        <f t="shared" si="1"/>
        <v>0.00779804754640544</v>
      </c>
      <c r="G21" s="16" t="s">
        <v>74</v>
      </c>
      <c r="H21" s="16">
        <v>163414</v>
      </c>
      <c r="I21" s="17">
        <v>0.00937113488139935</v>
      </c>
    </row>
    <row r="22" ht="22.5" customHeight="1" spans="1:9">
      <c r="A22" s="16" t="s">
        <v>215</v>
      </c>
      <c r="B22" s="16">
        <v>9212</v>
      </c>
      <c r="C22" s="19">
        <v>0.00124191962806953</v>
      </c>
      <c r="D22" s="17">
        <f t="shared" si="0"/>
        <v>0.0063256110339751</v>
      </c>
      <c r="E22" s="18">
        <f t="shared" si="1"/>
        <v>0.00774257533924196</v>
      </c>
      <c r="G22" s="16" t="s">
        <v>76</v>
      </c>
      <c r="H22" s="16">
        <v>140288</v>
      </c>
      <c r="I22" s="17">
        <v>0.00804495190278527</v>
      </c>
    </row>
    <row r="23" ht="22.5" customHeight="1" spans="1:9">
      <c r="A23" s="16" t="s">
        <v>206</v>
      </c>
      <c r="B23" s="16">
        <v>8268</v>
      </c>
      <c r="C23" s="19">
        <v>0.00125888180827509</v>
      </c>
      <c r="D23" s="17">
        <f t="shared" si="0"/>
        <v>0.00567739383726727</v>
      </c>
      <c r="E23" s="18">
        <f t="shared" si="1"/>
        <v>0.00694915467920675</v>
      </c>
      <c r="G23" s="16" t="s">
        <v>78</v>
      </c>
      <c r="H23" s="16">
        <v>137696</v>
      </c>
      <c r="I23" s="17">
        <v>0.0078963111399829</v>
      </c>
    </row>
    <row r="24" ht="22.5" customHeight="1" spans="1:9">
      <c r="A24" s="16" t="s">
        <v>255</v>
      </c>
      <c r="B24" s="16">
        <v>7055</v>
      </c>
      <c r="C24" s="19">
        <v>0.000834293901242773</v>
      </c>
      <c r="D24" s="17">
        <f t="shared" si="0"/>
        <v>0.00484446220632808</v>
      </c>
      <c r="E24" s="18">
        <f t="shared" si="1"/>
        <v>0.00592964275058099</v>
      </c>
      <c r="G24" s="16" t="s">
        <v>1604</v>
      </c>
      <c r="H24" s="16">
        <v>134487</v>
      </c>
      <c r="I24" s="17">
        <v>0.00771228791165234</v>
      </c>
    </row>
    <row r="25" ht="22.5" customHeight="1" spans="1:9">
      <c r="A25" s="16" t="s">
        <v>1547</v>
      </c>
      <c r="B25" s="16">
        <v>6815</v>
      </c>
      <c r="C25" s="19">
        <v>0.00164751842770191</v>
      </c>
      <c r="D25" s="17">
        <f t="shared" si="0"/>
        <v>0.00467966122411423</v>
      </c>
      <c r="E25" s="18">
        <f t="shared" si="1"/>
        <v>0.00572792563362288</v>
      </c>
      <c r="G25" s="16" t="s">
        <v>85</v>
      </c>
      <c r="H25" s="16">
        <v>133619</v>
      </c>
      <c r="I25" s="17">
        <v>0.007662511606825</v>
      </c>
    </row>
    <row r="26" ht="22.5" customHeight="1" spans="1:9">
      <c r="A26" s="16" t="s">
        <v>289</v>
      </c>
      <c r="B26" s="16">
        <v>6485</v>
      </c>
      <c r="C26" s="19">
        <v>0.000641949178534414</v>
      </c>
      <c r="D26" s="17">
        <f t="shared" si="0"/>
        <v>0.00445305987357018</v>
      </c>
      <c r="E26" s="18">
        <f t="shared" si="1"/>
        <v>0.00545056459780549</v>
      </c>
      <c r="G26" s="16" t="s">
        <v>1555</v>
      </c>
      <c r="H26" s="16">
        <v>130536</v>
      </c>
      <c r="I26" s="17">
        <v>0.00748571397113066</v>
      </c>
    </row>
    <row r="27" ht="22.5" customHeight="1" spans="1:9">
      <c r="A27" s="16" t="s">
        <v>379</v>
      </c>
      <c r="B27" s="16">
        <v>5955</v>
      </c>
      <c r="C27" s="19">
        <v>0.000345217705315723</v>
      </c>
      <c r="D27" s="17">
        <f t="shared" si="0"/>
        <v>0.00408912437118125</v>
      </c>
      <c r="E27" s="18">
        <f t="shared" si="1"/>
        <v>0.005005105964523</v>
      </c>
      <c r="G27" s="16" t="s">
        <v>94</v>
      </c>
      <c r="H27" s="16">
        <v>99981</v>
      </c>
      <c r="I27" s="17">
        <v>0.00573350775684573</v>
      </c>
    </row>
    <row r="28" ht="22.5" customHeight="1" spans="1:9">
      <c r="A28" s="16" t="s">
        <v>294</v>
      </c>
      <c r="B28" s="16">
        <v>5930</v>
      </c>
      <c r="C28" s="19">
        <v>0.000555964793341438</v>
      </c>
      <c r="D28" s="17">
        <f t="shared" si="0"/>
        <v>0.00407195760220064</v>
      </c>
      <c r="E28" s="18">
        <f t="shared" si="1"/>
        <v>0.00498409376483987</v>
      </c>
      <c r="G28" s="16" t="s">
        <v>95</v>
      </c>
      <c r="H28" s="16">
        <v>90498</v>
      </c>
      <c r="I28" s="17">
        <v>0.00518969589200973</v>
      </c>
    </row>
    <row r="29" ht="22.5" customHeight="1" spans="1:9">
      <c r="A29" s="16" t="s">
        <v>243</v>
      </c>
      <c r="B29" s="16">
        <v>5563</v>
      </c>
      <c r="C29" s="19">
        <v>0.000902195962254348</v>
      </c>
      <c r="D29" s="17">
        <f t="shared" si="0"/>
        <v>0.00381994943356529</v>
      </c>
      <c r="E29" s="18">
        <f t="shared" si="1"/>
        <v>0.00467563467349143</v>
      </c>
      <c r="G29" s="16" t="s">
        <v>89</v>
      </c>
      <c r="H29" s="16">
        <v>88022</v>
      </c>
      <c r="I29" s="17">
        <v>0.00504770726211055</v>
      </c>
    </row>
    <row r="30" ht="22.5" customHeight="1" spans="1:9">
      <c r="A30" s="16" t="s">
        <v>401</v>
      </c>
      <c r="B30" s="16">
        <v>5492</v>
      </c>
      <c r="C30" s="19">
        <v>0.000292944319776569</v>
      </c>
      <c r="D30" s="17">
        <f t="shared" si="0"/>
        <v>0.00377119580966036</v>
      </c>
      <c r="E30" s="18">
        <f t="shared" si="1"/>
        <v>0.00461596002639132</v>
      </c>
      <c r="G30" s="16" t="s">
        <v>97</v>
      </c>
      <c r="H30" s="16">
        <v>86902</v>
      </c>
      <c r="I30" s="17">
        <v>0.00498347977201076</v>
      </c>
    </row>
    <row r="31" ht="22.5" customHeight="1" spans="1:9">
      <c r="A31" s="16" t="s">
        <v>330</v>
      </c>
      <c r="B31" s="16">
        <v>5258</v>
      </c>
      <c r="C31" s="19">
        <v>0.000470620490420369</v>
      </c>
      <c r="D31" s="17">
        <f t="shared" si="0"/>
        <v>0.00361051485200185</v>
      </c>
      <c r="E31" s="18">
        <f t="shared" si="1"/>
        <v>0.00441928583735717</v>
      </c>
      <c r="G31" s="16" t="s">
        <v>122</v>
      </c>
      <c r="H31" s="16">
        <v>42387</v>
      </c>
      <c r="I31" s="17">
        <v>0.00486144754082116</v>
      </c>
    </row>
    <row r="32" ht="22.5" customHeight="1" spans="1:9">
      <c r="A32" s="16" t="s">
        <v>249</v>
      </c>
      <c r="B32" s="16">
        <v>5242</v>
      </c>
      <c r="C32" s="19">
        <v>0.000868431622411201</v>
      </c>
      <c r="D32" s="17">
        <f t="shared" si="0"/>
        <v>0.00359952811985426</v>
      </c>
      <c r="E32" s="18">
        <f t="shared" si="1"/>
        <v>0.00440583802955996</v>
      </c>
      <c r="G32" s="16" t="s">
        <v>98</v>
      </c>
      <c r="H32" s="16">
        <v>83853</v>
      </c>
      <c r="I32" s="17">
        <v>0.00480863189940874</v>
      </c>
    </row>
    <row r="33" ht="22.5" customHeight="1" spans="1:9">
      <c r="A33" s="16" t="s">
        <v>300</v>
      </c>
      <c r="B33" s="16">
        <v>5041</v>
      </c>
      <c r="C33" s="19">
        <v>0.000543483189039231</v>
      </c>
      <c r="D33" s="17">
        <f t="shared" si="0"/>
        <v>0.00346150729725016</v>
      </c>
      <c r="E33" s="18">
        <f t="shared" si="1"/>
        <v>0.00423689994410755</v>
      </c>
      <c r="G33" s="16" t="s">
        <v>101</v>
      </c>
      <c r="H33" s="16">
        <v>82754</v>
      </c>
      <c r="I33" s="17">
        <v>0.00474560867474832</v>
      </c>
    </row>
    <row r="34" ht="22.5" customHeight="1" spans="1:9">
      <c r="A34" s="16" t="s">
        <v>316</v>
      </c>
      <c r="B34" s="16">
        <v>5041</v>
      </c>
      <c r="C34" s="19">
        <v>0.000517239815891003</v>
      </c>
      <c r="D34" s="17">
        <f t="shared" si="0"/>
        <v>0.00346150729725016</v>
      </c>
      <c r="E34" s="18">
        <f t="shared" si="1"/>
        <v>0.00423689994410755</v>
      </c>
      <c r="G34" s="16" t="s">
        <v>61</v>
      </c>
      <c r="H34" s="16">
        <v>81061</v>
      </c>
      <c r="I34" s="17">
        <v>0.00464852194194569</v>
      </c>
    </row>
    <row r="35" ht="22.5" customHeight="1" spans="1:9">
      <c r="A35" s="16" t="s">
        <v>283</v>
      </c>
      <c r="B35" s="16">
        <v>5022</v>
      </c>
      <c r="C35" s="19">
        <v>0.000676246920270819</v>
      </c>
      <c r="D35" s="17">
        <f t="shared" si="0"/>
        <v>0.00344846055282489</v>
      </c>
      <c r="E35" s="18">
        <f t="shared" si="1"/>
        <v>0.00422093067234837</v>
      </c>
      <c r="G35" s="16" t="s">
        <v>71</v>
      </c>
      <c r="H35" s="16">
        <v>80007</v>
      </c>
      <c r="I35" s="17">
        <v>0.00458807928608392</v>
      </c>
    </row>
    <row r="36" ht="22.5" customHeight="1" spans="1:9">
      <c r="A36" s="16" t="s">
        <v>287</v>
      </c>
      <c r="B36" s="16">
        <v>4952</v>
      </c>
      <c r="C36" s="19">
        <v>0.00064520293008328</v>
      </c>
      <c r="D36" s="17">
        <f t="shared" si="0"/>
        <v>0.00340039359967919</v>
      </c>
      <c r="E36" s="18">
        <f t="shared" si="1"/>
        <v>0.00416209651323558</v>
      </c>
      <c r="G36" s="16" t="s">
        <v>1477</v>
      </c>
      <c r="H36" s="16">
        <v>67027</v>
      </c>
      <c r="I36" s="17">
        <v>0.00384372855260598</v>
      </c>
    </row>
    <row r="37" ht="22.5" customHeight="1" spans="1:9">
      <c r="A37" s="16" t="s">
        <v>286</v>
      </c>
      <c r="B37" s="16">
        <v>4699</v>
      </c>
      <c r="C37" s="19">
        <v>0.000661845069152888</v>
      </c>
      <c r="D37" s="17">
        <f t="shared" si="0"/>
        <v>0.00322666589759542</v>
      </c>
      <c r="E37" s="18">
        <f t="shared" si="1"/>
        <v>0.00394945305244225</v>
      </c>
      <c r="G37" s="16" t="s">
        <v>103</v>
      </c>
      <c r="H37" s="16">
        <v>66514</v>
      </c>
      <c r="I37" s="17">
        <v>0.00381431006830135</v>
      </c>
    </row>
    <row r="38" ht="22.5" customHeight="1" spans="1:9">
      <c r="A38" s="16" t="s">
        <v>122</v>
      </c>
      <c r="B38" s="16">
        <v>4531</v>
      </c>
      <c r="C38" s="17">
        <v>0.00500523000556338</v>
      </c>
      <c r="D38" s="17">
        <f t="shared" si="0"/>
        <v>0.00311130521004572</v>
      </c>
      <c r="E38" s="18">
        <f t="shared" si="1"/>
        <v>0.00380825107057157</v>
      </c>
      <c r="G38" s="16" t="s">
        <v>104</v>
      </c>
      <c r="H38" s="16">
        <v>65225</v>
      </c>
      <c r="I38" s="17">
        <v>0.00374039110871328</v>
      </c>
    </row>
    <row r="39" ht="22.5" customHeight="1" spans="1:9">
      <c r="A39" s="16" t="s">
        <v>116</v>
      </c>
      <c r="B39" s="16">
        <v>4392</v>
      </c>
      <c r="C39" s="17">
        <v>0.00271784266671076</v>
      </c>
      <c r="D39" s="17">
        <f t="shared" si="0"/>
        <v>0.00301585797451353</v>
      </c>
      <c r="E39" s="18">
        <f t="shared" si="1"/>
        <v>0.00369142324033334</v>
      </c>
      <c r="G39" s="16" t="s">
        <v>105</v>
      </c>
      <c r="H39" s="16">
        <v>62733</v>
      </c>
      <c r="I39" s="17">
        <v>0.00359748494324125</v>
      </c>
    </row>
    <row r="40" ht="22.5" customHeight="1" spans="1:9">
      <c r="A40" s="16" t="s">
        <v>311</v>
      </c>
      <c r="B40" s="16">
        <v>4345</v>
      </c>
      <c r="C40" s="19">
        <v>0.000524280720881991</v>
      </c>
      <c r="D40" s="17">
        <f t="shared" si="0"/>
        <v>0.00298358444882998</v>
      </c>
      <c r="E40" s="18">
        <f t="shared" si="1"/>
        <v>0.00365192030492904</v>
      </c>
      <c r="G40" s="16" t="s">
        <v>107</v>
      </c>
      <c r="H40" s="16">
        <v>62367</v>
      </c>
      <c r="I40" s="17">
        <v>0.00357649631701221</v>
      </c>
    </row>
    <row r="41" ht="22.5" customHeight="1" spans="1:9">
      <c r="A41" s="16" t="s">
        <v>328</v>
      </c>
      <c r="B41" s="16">
        <v>4320</v>
      </c>
      <c r="C41" s="19">
        <v>0.00048672922759672</v>
      </c>
      <c r="D41" s="17">
        <f t="shared" si="0"/>
        <v>0.00296641767984937</v>
      </c>
      <c r="E41" s="18">
        <f t="shared" si="1"/>
        <v>0.00363090810524591</v>
      </c>
      <c r="G41" s="16" t="s">
        <v>108</v>
      </c>
      <c r="H41" s="16">
        <v>60325</v>
      </c>
      <c r="I41" s="17">
        <v>0.0034593958395267</v>
      </c>
    </row>
    <row r="42" ht="22.5" customHeight="1" spans="1:9">
      <c r="A42" s="16" t="s">
        <v>98</v>
      </c>
      <c r="B42" s="16">
        <v>3574</v>
      </c>
      <c r="C42" s="17">
        <v>0.00466337273217518</v>
      </c>
      <c r="D42" s="17">
        <f t="shared" si="0"/>
        <v>0.00245416129346798</v>
      </c>
      <c r="E42" s="18">
        <f t="shared" si="1"/>
        <v>0.00300390406670113</v>
      </c>
      <c r="G42" s="16" t="s">
        <v>110</v>
      </c>
      <c r="H42" s="16">
        <v>58455</v>
      </c>
      <c r="I42" s="17">
        <v>0.00335215886944937</v>
      </c>
    </row>
    <row r="43" ht="22.5" customHeight="1" spans="1:9">
      <c r="A43" s="16" t="s">
        <v>284</v>
      </c>
      <c r="B43" s="16">
        <v>3424</v>
      </c>
      <c r="C43" s="19">
        <v>0.000668459252629271</v>
      </c>
      <c r="D43" s="17">
        <f t="shared" si="0"/>
        <v>0.00235116067958432</v>
      </c>
      <c r="E43" s="18">
        <f t="shared" si="1"/>
        <v>0.00287783086860231</v>
      </c>
      <c r="G43" s="16" t="s">
        <v>91</v>
      </c>
      <c r="H43" s="16">
        <v>56809</v>
      </c>
      <c r="I43" s="17">
        <v>0.003257767397392</v>
      </c>
    </row>
    <row r="44" ht="22.5" customHeight="1" spans="1:9">
      <c r="A44" s="16" t="s">
        <v>336</v>
      </c>
      <c r="B44" s="16">
        <v>3399</v>
      </c>
      <c r="C44" s="19">
        <v>0.000467420079060829</v>
      </c>
      <c r="D44" s="17">
        <f t="shared" si="0"/>
        <v>0.00233399391060371</v>
      </c>
      <c r="E44" s="18">
        <f t="shared" si="1"/>
        <v>0.00285681866891917</v>
      </c>
      <c r="G44" s="16" t="s">
        <v>112</v>
      </c>
      <c r="H44" s="16">
        <v>56652</v>
      </c>
      <c r="I44" s="17">
        <v>0.00324876407958337</v>
      </c>
    </row>
    <row r="45" ht="22.5" customHeight="1" spans="1:9">
      <c r="A45" s="16" t="s">
        <v>143</v>
      </c>
      <c r="B45" s="16">
        <v>3202</v>
      </c>
      <c r="C45" s="19">
        <v>0.00201001835435915</v>
      </c>
      <c r="D45" s="17">
        <f t="shared" si="0"/>
        <v>0.0021987197710365</v>
      </c>
      <c r="E45" s="18">
        <f t="shared" si="1"/>
        <v>0.00269124253541606</v>
      </c>
      <c r="G45" s="16" t="s">
        <v>114</v>
      </c>
      <c r="H45" s="16">
        <v>52400</v>
      </c>
      <c r="I45" s="17">
        <v>0.00300492900109737</v>
      </c>
    </row>
    <row r="46" ht="22.5" customHeight="1" spans="1:9">
      <c r="A46" s="16" t="s">
        <v>345</v>
      </c>
      <c r="B46" s="16">
        <v>3176</v>
      </c>
      <c r="C46" s="19">
        <v>0.000429335183882302</v>
      </c>
      <c r="D46" s="17">
        <f t="shared" si="0"/>
        <v>0.00218086633129667</v>
      </c>
      <c r="E46" s="18">
        <f t="shared" si="1"/>
        <v>0.0026693898477456</v>
      </c>
      <c r="G46" s="16" t="s">
        <v>121</v>
      </c>
      <c r="H46" s="16">
        <v>47062</v>
      </c>
      <c r="I46" s="17">
        <v>0.0026988161956039</v>
      </c>
    </row>
    <row r="47" ht="22.5" customHeight="1" spans="1:9">
      <c r="A47" s="16" t="s">
        <v>348</v>
      </c>
      <c r="B47" s="16">
        <v>2681</v>
      </c>
      <c r="C47" s="19">
        <v>0.000417760362798632</v>
      </c>
      <c r="D47" s="17">
        <f t="shared" si="0"/>
        <v>0.00184096430548059</v>
      </c>
      <c r="E47" s="18">
        <f t="shared" si="1"/>
        <v>0.00225334829401951</v>
      </c>
      <c r="G47" s="16" t="s">
        <v>116</v>
      </c>
      <c r="H47" s="16">
        <v>46561</v>
      </c>
      <c r="I47" s="19">
        <v>0.00267008586297891</v>
      </c>
    </row>
    <row r="48" ht="22.5" customHeight="1" spans="1:9">
      <c r="A48" s="16" t="s">
        <v>1555</v>
      </c>
      <c r="B48" s="16">
        <v>2678</v>
      </c>
      <c r="C48" s="17">
        <v>0.00710565998082954</v>
      </c>
      <c r="D48" s="17">
        <f t="shared" si="0"/>
        <v>0.00183890429320292</v>
      </c>
      <c r="E48" s="18">
        <f t="shared" si="1"/>
        <v>0.00225082683005753</v>
      </c>
      <c r="G48" s="16" t="s">
        <v>205</v>
      </c>
      <c r="H48" s="16">
        <v>23269</v>
      </c>
      <c r="I48" s="19">
        <v>0.00266876690559293</v>
      </c>
    </row>
    <row r="49" ht="22.5" customHeight="1" spans="1:9">
      <c r="A49" s="16" t="s">
        <v>261</v>
      </c>
      <c r="B49" s="16">
        <v>2531</v>
      </c>
      <c r="C49" s="19">
        <v>0.000826346213033249</v>
      </c>
      <c r="D49" s="17">
        <f t="shared" si="0"/>
        <v>0.00173796369159694</v>
      </c>
      <c r="E49" s="18">
        <f t="shared" si="1"/>
        <v>0.00212727509592069</v>
      </c>
      <c r="G49" s="16" t="s">
        <v>134</v>
      </c>
      <c r="H49" s="16">
        <v>39199</v>
      </c>
      <c r="I49" s="19">
        <v>0.00224790480751939</v>
      </c>
    </row>
    <row r="50" ht="22.5" customHeight="1" spans="1:9">
      <c r="A50" s="16" t="s">
        <v>252</v>
      </c>
      <c r="B50" s="16">
        <v>2259</v>
      </c>
      <c r="C50" s="19">
        <v>0.00086117735666291</v>
      </c>
      <c r="D50" s="17">
        <f t="shared" si="0"/>
        <v>0.0015511892450879</v>
      </c>
      <c r="E50" s="18">
        <f t="shared" si="1"/>
        <v>0.00189866236336817</v>
      </c>
      <c r="G50" s="16" t="s">
        <v>130</v>
      </c>
      <c r="H50" s="16">
        <v>38975</v>
      </c>
      <c r="I50" s="19">
        <v>0.00223505930949943</v>
      </c>
    </row>
    <row r="51" ht="22.5" customHeight="1" spans="1:9">
      <c r="A51" s="16" t="s">
        <v>368</v>
      </c>
      <c r="B51" s="16">
        <v>2145</v>
      </c>
      <c r="C51" s="19">
        <v>0.000372901263575745</v>
      </c>
      <c r="D51" s="17">
        <f t="shared" si="0"/>
        <v>0.00147290877853632</v>
      </c>
      <c r="E51" s="18">
        <f t="shared" si="1"/>
        <v>0.00180284673281307</v>
      </c>
      <c r="G51" s="16" t="s">
        <v>137</v>
      </c>
      <c r="H51" s="16">
        <v>38713</v>
      </c>
      <c r="I51" s="19">
        <v>0.00222003466449394</v>
      </c>
    </row>
    <row r="52" ht="22.5" customHeight="1" spans="1:9">
      <c r="A52" s="16" t="s">
        <v>565</v>
      </c>
      <c r="B52" s="16">
        <v>2097</v>
      </c>
      <c r="C52" s="19">
        <v>0.000140551398873135</v>
      </c>
      <c r="D52" s="17">
        <f t="shared" si="0"/>
        <v>0.00143994858209355</v>
      </c>
      <c r="E52" s="18">
        <f t="shared" si="1"/>
        <v>0.00176250330942145</v>
      </c>
      <c r="G52" s="16" t="s">
        <v>139</v>
      </c>
      <c r="H52" s="16">
        <v>37570</v>
      </c>
      <c r="I52" s="19">
        <v>0.00215448821700817</v>
      </c>
    </row>
    <row r="53" ht="22.5" customHeight="1" spans="1:9">
      <c r="A53" s="16" t="s">
        <v>546</v>
      </c>
      <c r="B53" s="16">
        <v>2045</v>
      </c>
      <c r="C53" s="19">
        <v>0.000149459210490522</v>
      </c>
      <c r="D53" s="17">
        <f t="shared" si="0"/>
        <v>0.00140424170261388</v>
      </c>
      <c r="E53" s="18">
        <f t="shared" si="1"/>
        <v>0.00171879793408053</v>
      </c>
      <c r="G53" s="16" t="s">
        <v>145</v>
      </c>
      <c r="H53" s="16">
        <v>37362</v>
      </c>
      <c r="I53" s="19">
        <v>0.00214256025456107</v>
      </c>
    </row>
    <row r="54" ht="22.5" customHeight="1" spans="1:9">
      <c r="A54" s="16" t="s">
        <v>376</v>
      </c>
      <c r="B54" s="16">
        <v>2039</v>
      </c>
      <c r="C54" s="19">
        <v>0.000349698281219079</v>
      </c>
      <c r="D54" s="17">
        <f t="shared" si="0"/>
        <v>0.00140012167805853</v>
      </c>
      <c r="E54" s="18">
        <f t="shared" si="1"/>
        <v>0.00171375500615657</v>
      </c>
      <c r="G54" s="16" t="s">
        <v>146</v>
      </c>
      <c r="H54" s="16">
        <v>36357</v>
      </c>
      <c r="I54" s="19">
        <v>0.00208492755139117</v>
      </c>
    </row>
    <row r="55" ht="22.5" customHeight="1" spans="1:9">
      <c r="A55" s="16" t="s">
        <v>360</v>
      </c>
      <c r="B55" s="16">
        <v>2030</v>
      </c>
      <c r="C55" s="19">
        <v>0.000389116681130748</v>
      </c>
      <c r="D55" s="17">
        <f t="shared" si="0"/>
        <v>0.00139394164122552</v>
      </c>
      <c r="E55" s="18">
        <f t="shared" si="1"/>
        <v>0.00170619061427065</v>
      </c>
      <c r="G55" s="16" t="s">
        <v>150</v>
      </c>
      <c r="H55" s="16">
        <v>35786</v>
      </c>
      <c r="I55" s="19">
        <v>0.00205218300063493</v>
      </c>
    </row>
    <row r="56" ht="22.5" customHeight="1" spans="1:9">
      <c r="A56" s="16" t="s">
        <v>462</v>
      </c>
      <c r="B56" s="16">
        <v>2027</v>
      </c>
      <c r="C56" s="19">
        <v>0.000210853768404366</v>
      </c>
      <c r="D56" s="17">
        <f t="shared" si="0"/>
        <v>0.00139188162894784</v>
      </c>
      <c r="E56" s="18">
        <f t="shared" si="1"/>
        <v>0.00170366915030867</v>
      </c>
      <c r="G56" s="16" t="s">
        <v>154</v>
      </c>
      <c r="H56" s="16">
        <v>35050</v>
      </c>
      <c r="I56" s="19">
        <v>0.00200997636428364</v>
      </c>
    </row>
    <row r="57" ht="22.5" customHeight="1" spans="1:9">
      <c r="A57" s="16" t="s">
        <v>304</v>
      </c>
      <c r="B57" s="16">
        <v>2010</v>
      </c>
      <c r="C57" s="19">
        <v>0.000532975171742075</v>
      </c>
      <c r="D57" s="17">
        <f t="shared" si="0"/>
        <v>0.00138020822604103</v>
      </c>
      <c r="E57" s="18">
        <f t="shared" si="1"/>
        <v>0.00168938085452414</v>
      </c>
      <c r="G57" s="16" t="s">
        <v>156</v>
      </c>
      <c r="H57" s="16">
        <v>34970</v>
      </c>
      <c r="I57" s="19">
        <v>0.00200538868641937</v>
      </c>
    </row>
    <row r="58" ht="22.5" customHeight="1" spans="1:9">
      <c r="A58" s="16" t="s">
        <v>387</v>
      </c>
      <c r="B58" s="16">
        <v>1974</v>
      </c>
      <c r="C58" s="19">
        <v>0.000325535175454552</v>
      </c>
      <c r="D58" s="17">
        <f t="shared" si="0"/>
        <v>0.00135548807870895</v>
      </c>
      <c r="E58" s="18">
        <f t="shared" si="1"/>
        <v>0.00165912328698042</v>
      </c>
      <c r="G58" s="16" t="s">
        <v>157</v>
      </c>
      <c r="H58" s="16">
        <v>34925</v>
      </c>
      <c r="I58" s="19">
        <v>0.00200280811762072</v>
      </c>
    </row>
    <row r="59" ht="22.5" customHeight="1" spans="1:9">
      <c r="A59" s="16" t="s">
        <v>386</v>
      </c>
      <c r="B59" s="16">
        <v>1945</v>
      </c>
      <c r="C59" s="19">
        <v>0.000336789955402268</v>
      </c>
      <c r="D59" s="17">
        <f t="shared" si="0"/>
        <v>0.00133557462669144</v>
      </c>
      <c r="E59" s="18">
        <f t="shared" si="1"/>
        <v>0.00163474913534798</v>
      </c>
      <c r="G59" s="16" t="s">
        <v>152</v>
      </c>
      <c r="H59" s="16">
        <v>34685</v>
      </c>
      <c r="I59" s="19">
        <v>0.00198904508402791</v>
      </c>
    </row>
    <row r="60" ht="22.5" customHeight="1" spans="1:9">
      <c r="A60" s="16" t="s">
        <v>357</v>
      </c>
      <c r="B60" s="16">
        <v>1925</v>
      </c>
      <c r="C60" s="19">
        <v>0.000395677524417805</v>
      </c>
      <c r="D60" s="17">
        <f t="shared" si="0"/>
        <v>0.00132184121150695</v>
      </c>
      <c r="E60" s="18">
        <f t="shared" si="1"/>
        <v>0.00161793937560147</v>
      </c>
      <c r="G60" s="16" t="s">
        <v>143</v>
      </c>
      <c r="H60" s="16">
        <v>34481</v>
      </c>
      <c r="I60" s="19">
        <v>0.00197734650547402</v>
      </c>
    </row>
    <row r="61" ht="22.5" customHeight="1" spans="1:9">
      <c r="A61" s="16" t="s">
        <v>245</v>
      </c>
      <c r="B61" s="16">
        <v>1909</v>
      </c>
      <c r="C61" s="19">
        <v>0.000892594728175728</v>
      </c>
      <c r="D61" s="17">
        <f t="shared" si="0"/>
        <v>0.00131085447935936</v>
      </c>
      <c r="E61" s="18">
        <f t="shared" si="1"/>
        <v>0.00160449156780427</v>
      </c>
      <c r="G61" s="16" t="s">
        <v>165</v>
      </c>
      <c r="H61" s="16">
        <v>32086</v>
      </c>
      <c r="I61" s="19">
        <v>0.00184000289941241</v>
      </c>
    </row>
    <row r="62" ht="22.5" customHeight="1" spans="1:9">
      <c r="A62" s="16" t="s">
        <v>503</v>
      </c>
      <c r="B62" s="16">
        <v>1877</v>
      </c>
      <c r="C62" s="19">
        <v>0.000175222521934819</v>
      </c>
      <c r="D62" s="17">
        <f t="shared" si="0"/>
        <v>0.00128888101506418</v>
      </c>
      <c r="E62" s="18">
        <f t="shared" si="1"/>
        <v>0.00157759595220985</v>
      </c>
      <c r="G62" s="16" t="s">
        <v>170</v>
      </c>
      <c r="H62" s="16">
        <v>30830</v>
      </c>
      <c r="I62" s="19">
        <v>0.00176797635694336</v>
      </c>
    </row>
    <row r="63" ht="22.5" customHeight="1" spans="1:9">
      <c r="A63" s="16" t="s">
        <v>467</v>
      </c>
      <c r="B63" s="16">
        <v>1860</v>
      </c>
      <c r="C63" s="19">
        <v>0.000203332801709446</v>
      </c>
      <c r="D63" s="17">
        <f t="shared" si="0"/>
        <v>0.00127720761215737</v>
      </c>
      <c r="E63" s="18">
        <f t="shared" si="1"/>
        <v>0.00156330765642532</v>
      </c>
      <c r="G63" s="16" t="s">
        <v>171</v>
      </c>
      <c r="H63" s="16">
        <v>30557</v>
      </c>
      <c r="I63" s="19">
        <v>0.00175232090623153</v>
      </c>
    </row>
    <row r="64" ht="22.5" customHeight="1" spans="1:9">
      <c r="A64" s="16" t="s">
        <v>423</v>
      </c>
      <c r="B64" s="16">
        <v>1833</v>
      </c>
      <c r="C64" s="19">
        <v>0.000254379362894111</v>
      </c>
      <c r="D64" s="17">
        <f t="shared" si="0"/>
        <v>0.00125866750165831</v>
      </c>
      <c r="E64" s="18">
        <f t="shared" si="1"/>
        <v>0.00154061448076753</v>
      </c>
      <c r="G64" s="16" t="s">
        <v>163</v>
      </c>
      <c r="H64" s="16">
        <v>30441</v>
      </c>
      <c r="I64" s="19">
        <v>0.00174566877332834</v>
      </c>
    </row>
    <row r="65" ht="22.5" customHeight="1" spans="1:9">
      <c r="A65" s="16" t="s">
        <v>390</v>
      </c>
      <c r="B65" s="16">
        <v>1801</v>
      </c>
      <c r="C65" s="19">
        <v>0.000313320272098974</v>
      </c>
      <c r="D65" s="17">
        <f t="shared" si="0"/>
        <v>0.00123669403736313</v>
      </c>
      <c r="E65" s="18">
        <f t="shared" si="1"/>
        <v>0.00151371886517312</v>
      </c>
      <c r="G65" s="16" t="s">
        <v>176</v>
      </c>
      <c r="H65" s="16">
        <v>30336</v>
      </c>
      <c r="I65" s="19">
        <v>0.00173964744613149</v>
      </c>
    </row>
    <row r="66" ht="22.5" customHeight="1" spans="1:9">
      <c r="A66" s="16" t="s">
        <v>163</v>
      </c>
      <c r="B66" s="16">
        <v>1760</v>
      </c>
      <c r="C66" s="19">
        <v>0.00171760743647583</v>
      </c>
      <c r="D66" s="17">
        <f t="shared" si="0"/>
        <v>0.00120854053623493</v>
      </c>
      <c r="E66" s="18">
        <f t="shared" si="1"/>
        <v>0.00147925885769278</v>
      </c>
      <c r="G66" s="16" t="s">
        <v>178</v>
      </c>
      <c r="H66" s="16">
        <v>30216</v>
      </c>
      <c r="I66" s="19">
        <v>0.00173276592933508</v>
      </c>
    </row>
    <row r="67" ht="22.5" customHeight="1" spans="1:9">
      <c r="A67" s="16" t="s">
        <v>97</v>
      </c>
      <c r="B67" s="16">
        <v>1703</v>
      </c>
      <c r="C67" s="17">
        <v>0.00472620747520081</v>
      </c>
      <c r="D67" s="17">
        <f t="shared" si="0"/>
        <v>0.00116940030295914</v>
      </c>
      <c r="E67" s="18">
        <f t="shared" si="1"/>
        <v>0.00143135104241523</v>
      </c>
      <c r="G67" s="16" t="s">
        <v>174</v>
      </c>
      <c r="H67" s="16">
        <v>30019</v>
      </c>
      <c r="I67" s="19">
        <v>0.00172146877259431</v>
      </c>
    </row>
    <row r="68" ht="22.5" customHeight="1" spans="1:9">
      <c r="A68" s="16" t="s">
        <v>414</v>
      </c>
      <c r="B68" s="16">
        <v>1691</v>
      </c>
      <c r="C68" s="19">
        <v>0.000264460658676662</v>
      </c>
      <c r="D68" s="17">
        <f t="shared" si="0"/>
        <v>0.00116116025384845</v>
      </c>
      <c r="E68" s="18">
        <f t="shared" si="1"/>
        <v>0.00142126518656732</v>
      </c>
      <c r="G68" s="16" t="s">
        <v>180</v>
      </c>
      <c r="H68" s="16">
        <v>29902</v>
      </c>
      <c r="I68" s="19">
        <v>0.00171475929371782</v>
      </c>
    </row>
    <row r="69" ht="22.5" customHeight="1" spans="1:9">
      <c r="A69" s="16" t="s">
        <v>322</v>
      </c>
      <c r="B69" s="16">
        <v>1583</v>
      </c>
      <c r="C69" s="19">
        <v>0.00050347804704498</v>
      </c>
      <c r="D69" s="17">
        <f t="shared" si="0"/>
        <v>0.00108699981185221</v>
      </c>
      <c r="E69" s="18">
        <f t="shared" si="1"/>
        <v>0.00133049248393617</v>
      </c>
      <c r="G69" s="16" t="s">
        <v>189</v>
      </c>
      <c r="H69" s="16">
        <v>28349</v>
      </c>
      <c r="I69" s="19">
        <v>0.00162570099717766</v>
      </c>
    </row>
    <row r="70" ht="22.5" customHeight="1" spans="1:9">
      <c r="A70" s="16" t="s">
        <v>226</v>
      </c>
      <c r="B70" s="16">
        <v>1500</v>
      </c>
      <c r="C70" s="19">
        <v>0.00110334181620144</v>
      </c>
      <c r="D70" s="17">
        <f t="shared" si="0"/>
        <v>0.00103000613883659</v>
      </c>
      <c r="E70" s="18">
        <f t="shared" si="1"/>
        <v>0.00126073198098816</v>
      </c>
      <c r="G70" s="16" t="s">
        <v>182</v>
      </c>
      <c r="H70" s="16">
        <v>28344</v>
      </c>
      <c r="I70" s="19">
        <v>0.00162541426731114</v>
      </c>
    </row>
    <row r="71" ht="22.5" customHeight="1" spans="1:9">
      <c r="A71" s="16" t="s">
        <v>257</v>
      </c>
      <c r="B71" s="16">
        <v>1471</v>
      </c>
      <c r="C71" s="19">
        <v>0.000828533160795601</v>
      </c>
      <c r="D71" s="17">
        <f t="shared" si="0"/>
        <v>0.00101009268681908</v>
      </c>
      <c r="E71" s="18">
        <f t="shared" si="1"/>
        <v>0.00123635782935572</v>
      </c>
      <c r="G71" s="16" t="s">
        <v>193</v>
      </c>
      <c r="H71" s="16">
        <v>28303</v>
      </c>
      <c r="I71" s="19">
        <v>0.0016230630824057</v>
      </c>
    </row>
    <row r="72" ht="22.5" customHeight="1" spans="1:9">
      <c r="A72" s="16" t="s">
        <v>331</v>
      </c>
      <c r="B72" s="16">
        <v>1445</v>
      </c>
      <c r="C72" s="19">
        <v>0.000469020284740599</v>
      </c>
      <c r="D72" s="17">
        <f t="shared" si="0"/>
        <v>0.000992239247079246</v>
      </c>
      <c r="E72" s="18">
        <f t="shared" si="1"/>
        <v>0.00121450514168526</v>
      </c>
      <c r="G72" s="16" t="s">
        <v>194</v>
      </c>
      <c r="H72" s="16">
        <v>27904</v>
      </c>
      <c r="I72" s="19">
        <v>0.00160018203905765</v>
      </c>
    </row>
    <row r="73" ht="22.5" customHeight="1" spans="1:9">
      <c r="A73" s="16" t="s">
        <v>545</v>
      </c>
      <c r="B73" s="16">
        <v>1406</v>
      </c>
      <c r="C73" s="19">
        <v>0.000149832591815801</v>
      </c>
      <c r="D73" s="17">
        <f t="shared" si="0"/>
        <v>0.000965459087469495</v>
      </c>
      <c r="E73" s="18">
        <f t="shared" si="1"/>
        <v>0.00118172611017957</v>
      </c>
      <c r="G73" s="16" t="s">
        <v>195</v>
      </c>
      <c r="H73" s="16">
        <v>27594</v>
      </c>
      <c r="I73" s="19">
        <v>0.0015824047873336</v>
      </c>
    </row>
    <row r="74" ht="22.5" customHeight="1" spans="1:9">
      <c r="A74" s="16" t="s">
        <v>290</v>
      </c>
      <c r="B74" s="16">
        <v>1378</v>
      </c>
      <c r="C74" s="19">
        <v>0.000614852362356975</v>
      </c>
      <c r="D74" s="17">
        <f t="shared" si="0"/>
        <v>0.000946232306211212</v>
      </c>
      <c r="E74" s="18">
        <f t="shared" si="1"/>
        <v>0.00115819244653446</v>
      </c>
      <c r="G74" s="16" t="s">
        <v>140</v>
      </c>
      <c r="H74" s="16">
        <v>26655</v>
      </c>
      <c r="I74" s="19">
        <v>0.00152855691840173</v>
      </c>
    </row>
    <row r="75" ht="22.5" customHeight="1" spans="1:9">
      <c r="A75" s="16" t="s">
        <v>354</v>
      </c>
      <c r="B75" s="16">
        <v>1349</v>
      </c>
      <c r="C75" s="19">
        <v>0.000398771255398694</v>
      </c>
      <c r="D75" s="17">
        <f t="shared" si="0"/>
        <v>0.000926318854193704</v>
      </c>
      <c r="E75" s="18">
        <f t="shared" si="1"/>
        <v>0.00113381829490202</v>
      </c>
      <c r="G75" s="16" t="s">
        <v>1461</v>
      </c>
      <c r="H75" s="16">
        <v>26513</v>
      </c>
      <c r="I75" s="19">
        <v>0.00152041379019265</v>
      </c>
    </row>
    <row r="76" ht="22.5" customHeight="1" spans="1:9">
      <c r="A76" s="16" t="s">
        <v>710</v>
      </c>
      <c r="B76" s="16">
        <v>1319</v>
      </c>
      <c r="C76" s="19">
        <v>7.03557097205561e-5</v>
      </c>
      <c r="D76" s="17">
        <f t="shared" si="0"/>
        <v>0.000905718731416973</v>
      </c>
      <c r="E76" s="18">
        <f t="shared" si="1"/>
        <v>0.00110860365528226</v>
      </c>
      <c r="G76" s="16" t="s">
        <v>196</v>
      </c>
      <c r="H76" s="16">
        <v>26506</v>
      </c>
      <c r="I76" s="19">
        <v>0.00152001236837952</v>
      </c>
    </row>
    <row r="77" ht="22.5" customHeight="1" spans="1:9">
      <c r="A77" s="16" t="s">
        <v>590</v>
      </c>
      <c r="B77" s="16">
        <v>1283</v>
      </c>
      <c r="C77" s="19">
        <v>0.000124762702832737</v>
      </c>
      <c r="D77" s="17">
        <f t="shared" si="0"/>
        <v>0.000880998584084895</v>
      </c>
      <c r="E77" s="18">
        <f t="shared" si="1"/>
        <v>0.00107834608773854</v>
      </c>
      <c r="G77" s="16" t="s">
        <v>199</v>
      </c>
      <c r="H77" s="16">
        <v>25885</v>
      </c>
      <c r="I77" s="19">
        <v>0.00148440051895812</v>
      </c>
    </row>
    <row r="78" ht="22.5" customHeight="1" spans="1:9">
      <c r="A78" s="16" t="s">
        <v>365</v>
      </c>
      <c r="B78" s="16">
        <v>1183</v>
      </c>
      <c r="C78" s="19">
        <v>0.000377595200236404</v>
      </c>
      <c r="D78" s="17">
        <f t="shared" si="0"/>
        <v>0.000812331508162455</v>
      </c>
      <c r="E78" s="18">
        <f t="shared" si="1"/>
        <v>0.000994297289005997</v>
      </c>
      <c r="G78" s="16" t="s">
        <v>115</v>
      </c>
      <c r="H78" s="16">
        <v>25849</v>
      </c>
      <c r="I78" s="19">
        <v>0.0014823360639192</v>
      </c>
    </row>
    <row r="79" ht="22.5" customHeight="1" spans="1:9">
      <c r="A79" s="16" t="s">
        <v>541</v>
      </c>
      <c r="B79" s="16">
        <v>1183</v>
      </c>
      <c r="C79" s="19">
        <v>0.000150686034845012</v>
      </c>
      <c r="D79" s="17">
        <f t="shared" si="0"/>
        <v>0.000812331508162455</v>
      </c>
      <c r="E79" s="18">
        <f t="shared" si="1"/>
        <v>0.000994297289005997</v>
      </c>
      <c r="G79" s="16" t="s">
        <v>201</v>
      </c>
      <c r="H79" s="16">
        <v>24973</v>
      </c>
      <c r="I79" s="19">
        <v>0.00143210099130543</v>
      </c>
    </row>
    <row r="80" ht="22.5" customHeight="1" spans="1:9">
      <c r="A80" s="16" t="s">
        <v>302</v>
      </c>
      <c r="B80" s="16">
        <v>1172</v>
      </c>
      <c r="C80" s="19">
        <v>0.000533828614771285</v>
      </c>
      <c r="D80" s="17">
        <f t="shared" si="0"/>
        <v>0.000804778129810987</v>
      </c>
      <c r="E80" s="18">
        <f t="shared" si="1"/>
        <v>0.000985051921145417</v>
      </c>
      <c r="G80" s="16" t="s">
        <v>111</v>
      </c>
      <c r="H80" s="16">
        <v>24846</v>
      </c>
      <c r="I80" s="19">
        <v>0.0014248180526959</v>
      </c>
    </row>
    <row r="81" ht="22.5" customHeight="1" spans="1:9">
      <c r="A81" s="16" t="s">
        <v>244</v>
      </c>
      <c r="B81" s="16">
        <v>1158</v>
      </c>
      <c r="C81" s="19">
        <v>0.000896275201239199</v>
      </c>
      <c r="D81" s="17">
        <f t="shared" si="0"/>
        <v>0.000795164739181846</v>
      </c>
      <c r="E81" s="18">
        <f t="shared" si="1"/>
        <v>0.000973285089322861</v>
      </c>
      <c r="G81" s="16" t="s">
        <v>202</v>
      </c>
      <c r="H81" s="16">
        <v>24363</v>
      </c>
      <c r="I81" s="19">
        <v>0.00139711994759037</v>
      </c>
    </row>
    <row r="82" ht="22.5" customHeight="1" spans="1:9">
      <c r="A82" s="16" t="s">
        <v>415</v>
      </c>
      <c r="B82" s="16">
        <v>1153</v>
      </c>
      <c r="C82" s="19">
        <v>0.000260246783719934</v>
      </c>
      <c r="D82" s="17">
        <f t="shared" si="0"/>
        <v>0.000791731385385724</v>
      </c>
      <c r="E82" s="18">
        <f t="shared" si="1"/>
        <v>0.000969082649386234</v>
      </c>
      <c r="G82" s="16" t="s">
        <v>1547</v>
      </c>
      <c r="H82" s="16">
        <v>24072</v>
      </c>
      <c r="I82" s="19">
        <v>0.00138043226935908</v>
      </c>
    </row>
    <row r="83" ht="22.5" customHeight="1" spans="1:9">
      <c r="A83" s="16" t="s">
        <v>466</v>
      </c>
      <c r="B83" s="16">
        <v>1152</v>
      </c>
      <c r="C83" s="19">
        <v>0.000203706183034726</v>
      </c>
      <c r="D83" s="17">
        <f t="shared" si="0"/>
        <v>0.000791044714626499</v>
      </c>
      <c r="E83" s="18">
        <f t="shared" si="1"/>
        <v>0.000968242161398908</v>
      </c>
      <c r="G83" s="16" t="s">
        <v>209</v>
      </c>
      <c r="H83" s="16">
        <v>23524</v>
      </c>
      <c r="I83" s="19">
        <v>0.00134900667598883</v>
      </c>
    </row>
    <row r="84" ht="22.5" customHeight="1" spans="1:9">
      <c r="A84" s="16" t="s">
        <v>477</v>
      </c>
      <c r="B84" s="16">
        <v>1114</v>
      </c>
      <c r="C84" s="19">
        <v>0.000196131876150481</v>
      </c>
      <c r="D84" s="17">
        <f t="shared" si="0"/>
        <v>0.000764951225775972</v>
      </c>
      <c r="E84" s="18">
        <f t="shared" si="1"/>
        <v>0.000936303617880541</v>
      </c>
      <c r="G84" s="16" t="s">
        <v>213</v>
      </c>
      <c r="H84" s="16">
        <v>23299</v>
      </c>
      <c r="I84" s="19">
        <v>0.00133610383199557</v>
      </c>
    </row>
    <row r="85" ht="22.5" customHeight="1" spans="1:9">
      <c r="A85" s="16" t="s">
        <v>280</v>
      </c>
      <c r="B85" s="16">
        <v>1037</v>
      </c>
      <c r="C85" s="19">
        <v>0.00068915524608763</v>
      </c>
      <c r="D85" s="17">
        <f t="shared" si="0"/>
        <v>0.000712077577315694</v>
      </c>
      <c r="E85" s="18">
        <f t="shared" si="1"/>
        <v>0.000871586042856483</v>
      </c>
      <c r="G85" s="16" t="s">
        <v>208</v>
      </c>
      <c r="H85" s="16">
        <v>23158</v>
      </c>
      <c r="I85" s="19">
        <v>0.00132801804975979</v>
      </c>
    </row>
    <row r="86" ht="22.5" customHeight="1" spans="1:9">
      <c r="A86" s="16" t="s">
        <v>776</v>
      </c>
      <c r="B86" s="16">
        <v>1012</v>
      </c>
      <c r="C86" s="19">
        <v>5.3980271597576e-5</v>
      </c>
      <c r="D86" s="17">
        <f t="shared" si="0"/>
        <v>0.000694910808335084</v>
      </c>
      <c r="E86" s="18">
        <f t="shared" si="1"/>
        <v>0.000850573843173346</v>
      </c>
      <c r="G86" s="16" t="s">
        <v>123</v>
      </c>
      <c r="H86" s="16">
        <v>22483</v>
      </c>
      <c r="I86" s="19">
        <v>0.00128930951778</v>
      </c>
    </row>
    <row r="87" ht="22.5" customHeight="1" spans="1:9">
      <c r="A87" s="16" t="s">
        <v>607</v>
      </c>
      <c r="B87" s="16">
        <v>995</v>
      </c>
      <c r="C87" s="19">
        <v>0.000112921180802439</v>
      </c>
      <c r="D87" s="17">
        <f t="shared" si="0"/>
        <v>0.00068323740542827</v>
      </c>
      <c r="E87" s="18">
        <f t="shared" si="1"/>
        <v>0.000836285547388814</v>
      </c>
      <c r="G87" s="16" t="s">
        <v>216</v>
      </c>
      <c r="H87" s="16">
        <v>22400</v>
      </c>
      <c r="I87" s="19">
        <v>0.00128454980199582</v>
      </c>
    </row>
    <row r="88" ht="22.5" customHeight="1" spans="1:9">
      <c r="A88" s="16" t="s">
        <v>366</v>
      </c>
      <c r="B88" s="16">
        <v>975</v>
      </c>
      <c r="C88" s="19">
        <v>0.000373541345847653</v>
      </c>
      <c r="D88" s="17">
        <f t="shared" si="0"/>
        <v>0.000669503990243782</v>
      </c>
      <c r="E88" s="18">
        <f t="shared" si="1"/>
        <v>0.000819475787642305</v>
      </c>
      <c r="G88" s="16" t="s">
        <v>217</v>
      </c>
      <c r="H88" s="16">
        <v>22242</v>
      </c>
      <c r="I88" s="19">
        <v>0.00127548913821389</v>
      </c>
    </row>
    <row r="89" ht="22.5" customHeight="1" spans="1:9">
      <c r="A89" s="16" t="s">
        <v>279</v>
      </c>
      <c r="B89" s="16">
        <v>916</v>
      </c>
      <c r="C89" s="19">
        <v>0.000721159359683031</v>
      </c>
      <c r="D89" s="17">
        <f t="shared" si="0"/>
        <v>0.000628990415449543</v>
      </c>
      <c r="E89" s="18">
        <f t="shared" si="1"/>
        <v>0.000769886996390104</v>
      </c>
      <c r="G89" s="16" t="s">
        <v>219</v>
      </c>
      <c r="H89" s="16">
        <v>21830</v>
      </c>
      <c r="I89" s="19">
        <v>0.00125186259721289</v>
      </c>
    </row>
    <row r="90" ht="22.5" customHeight="1" spans="1:9">
      <c r="A90" s="16" t="s">
        <v>475</v>
      </c>
      <c r="B90" s="16">
        <v>907</v>
      </c>
      <c r="C90" s="19">
        <v>0.000198745545427439</v>
      </c>
      <c r="D90" s="17">
        <f t="shared" si="0"/>
        <v>0.000622810378616523</v>
      </c>
      <c r="E90" s="18">
        <f t="shared" si="1"/>
        <v>0.000762322604504175</v>
      </c>
      <c r="G90" s="16" t="s">
        <v>220</v>
      </c>
      <c r="H90" s="16">
        <v>21784</v>
      </c>
      <c r="I90" s="19">
        <v>0.00124922468244094</v>
      </c>
    </row>
    <row r="91" ht="22.5" customHeight="1" spans="1:9">
      <c r="A91" s="16" t="s">
        <v>108</v>
      </c>
      <c r="B91" s="16">
        <v>892</v>
      </c>
      <c r="C91" s="17">
        <v>0.00326532636994942</v>
      </c>
      <c r="D91" s="17">
        <f t="shared" si="0"/>
        <v>0.000612510317228157</v>
      </c>
      <c r="E91" s="18">
        <f t="shared" si="1"/>
        <v>0.000749715284694294</v>
      </c>
      <c r="G91" s="16" t="s">
        <v>222</v>
      </c>
      <c r="H91" s="16">
        <v>21203</v>
      </c>
      <c r="I91" s="19">
        <v>0.00121590667195167</v>
      </c>
    </row>
    <row r="92" ht="22.5" customHeight="1" spans="1:9">
      <c r="A92" s="16" t="s">
        <v>275</v>
      </c>
      <c r="B92" s="16">
        <v>816</v>
      </c>
      <c r="C92" s="19">
        <v>0.000750549804001474</v>
      </c>
      <c r="D92" s="17">
        <f t="shared" si="0"/>
        <v>0.000560323339527104</v>
      </c>
      <c r="E92" s="18">
        <f t="shared" si="1"/>
        <v>0.00068583819765756</v>
      </c>
      <c r="G92" s="16" t="s">
        <v>223</v>
      </c>
      <c r="H92" s="16">
        <v>21008</v>
      </c>
      <c r="I92" s="19">
        <v>0.00120472420715751</v>
      </c>
    </row>
    <row r="93" ht="22.5" customHeight="1" spans="1:9">
      <c r="A93" s="16" t="s">
        <v>416</v>
      </c>
      <c r="B93" s="16">
        <v>788</v>
      </c>
      <c r="C93" s="19">
        <v>0.000512599219419669</v>
      </c>
      <c r="D93" s="17">
        <f t="shared" si="0"/>
        <v>0.000541096558268821</v>
      </c>
      <c r="E93" s="18">
        <f t="shared" si="1"/>
        <v>0.000662304534012448</v>
      </c>
      <c r="G93" s="16" t="s">
        <v>228</v>
      </c>
      <c r="H93" s="16">
        <v>20477</v>
      </c>
      <c r="I93" s="19">
        <v>0.00117427349533341</v>
      </c>
    </row>
    <row r="94" ht="22.5" customHeight="1" spans="1:9">
      <c r="A94" s="16" t="s">
        <v>798</v>
      </c>
      <c r="B94" s="16">
        <v>772</v>
      </c>
      <c r="C94" s="19">
        <v>5.04064789127563e-5</v>
      </c>
      <c r="D94" s="17">
        <f t="shared" si="0"/>
        <v>0.00053010982612123</v>
      </c>
      <c r="E94" s="18">
        <f t="shared" si="1"/>
        <v>0.000648856726215241</v>
      </c>
      <c r="G94" s="16" t="s">
        <v>232</v>
      </c>
      <c r="H94" s="16">
        <v>19623</v>
      </c>
      <c r="I94" s="19">
        <v>0.00112530003413232</v>
      </c>
    </row>
    <row r="95" ht="22.5" customHeight="1" spans="1:9">
      <c r="A95" s="16" t="s">
        <v>666</v>
      </c>
      <c r="B95" s="16">
        <v>759</v>
      </c>
      <c r="C95" s="19">
        <v>8.45975402705094e-5</v>
      </c>
      <c r="D95" s="17">
        <f t="shared" si="0"/>
        <v>0.000521183106251313</v>
      </c>
      <c r="E95" s="18">
        <f t="shared" si="1"/>
        <v>0.00063793038238001</v>
      </c>
      <c r="G95" s="16" t="s">
        <v>233</v>
      </c>
      <c r="H95" s="16">
        <v>19466</v>
      </c>
      <c r="I95" s="19">
        <v>0.00111629671632369</v>
      </c>
    </row>
    <row r="96" ht="22.5" customHeight="1" spans="1:9">
      <c r="A96" s="16" t="s">
        <v>530</v>
      </c>
      <c r="B96" s="16">
        <v>750</v>
      </c>
      <c r="C96" s="19">
        <v>0.000157460238889372</v>
      </c>
      <c r="D96" s="17">
        <f t="shared" si="0"/>
        <v>0.000515003069418294</v>
      </c>
      <c r="E96" s="18">
        <f t="shared" si="1"/>
        <v>0.000630365990494081</v>
      </c>
      <c r="G96" s="16" t="s">
        <v>128</v>
      </c>
      <c r="H96" s="16">
        <v>19415</v>
      </c>
      <c r="I96" s="19">
        <v>0.00111337207168522</v>
      </c>
    </row>
    <row r="97" ht="22.5" customHeight="1" spans="1:9">
      <c r="A97" s="16" t="s">
        <v>718</v>
      </c>
      <c r="B97" s="16">
        <v>749</v>
      </c>
      <c r="C97" s="19">
        <v>6.71019581716903e-5</v>
      </c>
      <c r="D97" s="17">
        <f t="shared" si="0"/>
        <v>0.000514316398659069</v>
      </c>
      <c r="E97" s="18">
        <f t="shared" si="1"/>
        <v>0.000629525502506755</v>
      </c>
      <c r="G97" s="16" t="s">
        <v>231</v>
      </c>
      <c r="H97" s="16">
        <v>19393</v>
      </c>
      <c r="I97" s="19">
        <v>0.00111211046027254</v>
      </c>
    </row>
    <row r="98" ht="22.5" customHeight="1" spans="1:9">
      <c r="A98" s="16" t="s">
        <v>139</v>
      </c>
      <c r="B98" s="16">
        <v>745</v>
      </c>
      <c r="C98" s="19">
        <v>0.00204372935401297</v>
      </c>
      <c r="D98" s="17">
        <f t="shared" si="0"/>
        <v>0.000511569715622172</v>
      </c>
      <c r="E98" s="18">
        <f t="shared" si="1"/>
        <v>0.000626163550557454</v>
      </c>
      <c r="G98" s="16" t="s">
        <v>192</v>
      </c>
      <c r="H98" s="16">
        <v>19257</v>
      </c>
      <c r="I98" s="19">
        <v>0.00110431140790328</v>
      </c>
    </row>
    <row r="99" ht="22.5" customHeight="1" spans="1:9">
      <c r="A99" s="16" t="s">
        <v>807</v>
      </c>
      <c r="B99" s="16">
        <v>689</v>
      </c>
      <c r="C99" s="19">
        <v>4.89129536116375e-5</v>
      </c>
      <c r="D99" s="17">
        <f t="shared" si="0"/>
        <v>0.000473116153105606</v>
      </c>
      <c r="E99" s="18">
        <f t="shared" si="1"/>
        <v>0.000579096223267229</v>
      </c>
      <c r="G99" s="16" t="s">
        <v>226</v>
      </c>
      <c r="H99" s="16">
        <v>19185</v>
      </c>
      <c r="I99" s="19">
        <v>0.00110018249782544</v>
      </c>
    </row>
    <row r="100" ht="22.5" customHeight="1" spans="1:9">
      <c r="A100" s="16" t="s">
        <v>624</v>
      </c>
      <c r="B100" s="16">
        <v>682</v>
      </c>
      <c r="C100" s="19">
        <v>9.92127521457425e-5</v>
      </c>
      <c r="D100" s="17">
        <f t="shared" si="0"/>
        <v>0.000468309457791035</v>
      </c>
      <c r="E100" s="18">
        <f t="shared" si="1"/>
        <v>0.000573212807355951</v>
      </c>
      <c r="G100" s="16" t="s">
        <v>235</v>
      </c>
      <c r="H100" s="16">
        <v>18668</v>
      </c>
      <c r="I100" s="19">
        <v>0.00107053462962759</v>
      </c>
    </row>
    <row r="101" ht="22.5" customHeight="1" spans="1:9">
      <c r="A101" s="16" t="s">
        <v>339</v>
      </c>
      <c r="B101" s="16">
        <v>654</v>
      </c>
      <c r="C101" s="19">
        <v>0.000438989758150248</v>
      </c>
      <c r="D101" s="17">
        <f t="shared" si="0"/>
        <v>0.000449082676532752</v>
      </c>
      <c r="E101" s="18">
        <f t="shared" si="1"/>
        <v>0.000549679143710839</v>
      </c>
      <c r="G101" s="16" t="s">
        <v>237</v>
      </c>
      <c r="H101" s="16">
        <v>18563</v>
      </c>
      <c r="I101" s="19">
        <v>0.00106451330243074</v>
      </c>
    </row>
    <row r="102" ht="22.5" customHeight="1" spans="1:9">
      <c r="A102" s="16" t="s">
        <v>205</v>
      </c>
      <c r="B102" s="16">
        <v>626</v>
      </c>
      <c r="C102" s="17">
        <v>0.00254912764787367</v>
      </c>
      <c r="D102" s="17">
        <f t="shared" si="0"/>
        <v>0.000429855895274469</v>
      </c>
      <c r="E102" s="18">
        <f t="shared" si="1"/>
        <v>0.000526145480065726</v>
      </c>
      <c r="G102" s="16" t="s">
        <v>239</v>
      </c>
      <c r="H102" s="16">
        <v>18528</v>
      </c>
      <c r="I102" s="19">
        <v>0.00106250619336512</v>
      </c>
    </row>
    <row r="103" ht="22.5" customHeight="1" spans="1:9">
      <c r="A103" s="16" t="s">
        <v>899</v>
      </c>
      <c r="B103" s="16">
        <v>614</v>
      </c>
      <c r="C103" s="19">
        <v>3.27508762459601e-5</v>
      </c>
      <c r="D103" s="17">
        <f t="shared" si="0"/>
        <v>0.000421615846163776</v>
      </c>
      <c r="E103" s="18">
        <f t="shared" si="1"/>
        <v>0.000516059624217821</v>
      </c>
      <c r="G103" s="16" t="s">
        <v>240</v>
      </c>
      <c r="H103" s="16">
        <v>17837</v>
      </c>
      <c r="I103" s="19">
        <v>0.00102288012581248</v>
      </c>
    </row>
    <row r="104" ht="22.5" customHeight="1" spans="1:9">
      <c r="A104" s="16" t="s">
        <v>318</v>
      </c>
      <c r="B104" s="16">
        <v>613</v>
      </c>
      <c r="C104" s="19">
        <v>0.000514839507371347</v>
      </c>
      <c r="D104" s="17">
        <f t="shared" si="0"/>
        <v>0.000420929175404552</v>
      </c>
      <c r="E104" s="18">
        <f t="shared" si="1"/>
        <v>0.000515219136230495</v>
      </c>
      <c r="G104" s="16" t="s">
        <v>242</v>
      </c>
      <c r="H104" s="16">
        <v>17616</v>
      </c>
      <c r="I104" s="19">
        <v>0.00101020666571243</v>
      </c>
    </row>
    <row r="105" ht="22.5" customHeight="1" spans="1:9">
      <c r="A105" s="16" t="s">
        <v>611</v>
      </c>
      <c r="B105" s="16">
        <v>601</v>
      </c>
      <c r="C105" s="19">
        <v>0.0001118010368266</v>
      </c>
      <c r="D105" s="17">
        <f t="shared" si="0"/>
        <v>0.000412689126293859</v>
      </c>
      <c r="E105" s="18">
        <f t="shared" si="1"/>
        <v>0.00050513328038259</v>
      </c>
      <c r="G105" s="16" t="s">
        <v>247</v>
      </c>
      <c r="H105" s="16">
        <v>16554</v>
      </c>
      <c r="I105" s="19">
        <v>0.000949305242064235</v>
      </c>
    </row>
    <row r="106" ht="22.5" customHeight="1" spans="1:9">
      <c r="A106" s="16" t="s">
        <v>504</v>
      </c>
      <c r="B106" s="16">
        <v>596</v>
      </c>
      <c r="C106" s="19">
        <v>0.000175169181745494</v>
      </c>
      <c r="D106" s="17">
        <f t="shared" si="0"/>
        <v>0.000409255772497737</v>
      </c>
      <c r="E106" s="18">
        <f t="shared" si="1"/>
        <v>0.000500930840445963</v>
      </c>
      <c r="G106" s="16" t="s">
        <v>253</v>
      </c>
      <c r="H106" s="16">
        <v>15725</v>
      </c>
      <c r="I106" s="19">
        <v>0.000901765430195729</v>
      </c>
    </row>
    <row r="107" ht="22.5" customHeight="1" spans="1:9">
      <c r="A107" s="16" t="s">
        <v>591</v>
      </c>
      <c r="B107" s="16">
        <v>580</v>
      </c>
      <c r="C107" s="19">
        <v>0.000124335981318132</v>
      </c>
      <c r="D107" s="17">
        <f t="shared" si="0"/>
        <v>0.000398269040350147</v>
      </c>
      <c r="E107" s="18">
        <f t="shared" si="1"/>
        <v>0.000487483032648756</v>
      </c>
      <c r="G107" s="16" t="s">
        <v>244</v>
      </c>
      <c r="H107" s="16">
        <v>15645</v>
      </c>
      <c r="I107" s="19">
        <v>0.000897177752331458</v>
      </c>
    </row>
    <row r="108" ht="22.5" customHeight="1" spans="1:9">
      <c r="A108" s="16" t="s">
        <v>323</v>
      </c>
      <c r="B108" s="16">
        <v>569</v>
      </c>
      <c r="C108" s="19">
        <v>0.0005031046657197</v>
      </c>
      <c r="D108" s="17">
        <f t="shared" si="0"/>
        <v>0.000390715661998679</v>
      </c>
      <c r="E108" s="18">
        <f t="shared" si="1"/>
        <v>0.000478237664788176</v>
      </c>
      <c r="G108" s="16" t="s">
        <v>125</v>
      </c>
      <c r="H108" s="16">
        <v>15639</v>
      </c>
      <c r="I108" s="19">
        <v>0.000896833676491638</v>
      </c>
    </row>
    <row r="109" ht="22.5" customHeight="1" spans="1:9">
      <c r="A109" s="16" t="s">
        <v>654</v>
      </c>
      <c r="B109" s="16">
        <v>558</v>
      </c>
      <c r="C109" s="19">
        <v>9.1905146208126e-5</v>
      </c>
      <c r="D109" s="17">
        <f t="shared" si="0"/>
        <v>0.000383162283647211</v>
      </c>
      <c r="E109" s="18">
        <f t="shared" si="1"/>
        <v>0.000468992296927596</v>
      </c>
      <c r="G109" s="16" t="s">
        <v>206</v>
      </c>
      <c r="H109" s="16">
        <v>15333</v>
      </c>
      <c r="I109" s="19">
        <v>0.000879285808660802</v>
      </c>
    </row>
    <row r="110" ht="22.5" customHeight="1" spans="1:9">
      <c r="A110" s="16" t="s">
        <v>644</v>
      </c>
      <c r="B110" s="16">
        <v>554</v>
      </c>
      <c r="C110" s="19">
        <v>9.4465475295758e-5</v>
      </c>
      <c r="D110" s="17">
        <f t="shared" si="0"/>
        <v>0.000380415600610313</v>
      </c>
      <c r="E110" s="18">
        <f t="shared" si="1"/>
        <v>0.000465630344978294</v>
      </c>
      <c r="G110" s="16" t="s">
        <v>266</v>
      </c>
      <c r="H110" s="16">
        <v>15247</v>
      </c>
      <c r="I110" s="19">
        <v>0.000874354054956711</v>
      </c>
    </row>
    <row r="111" ht="22.5" customHeight="1" spans="1:9">
      <c r="A111" s="16" t="s">
        <v>51</v>
      </c>
      <c r="B111" s="16">
        <v>543</v>
      </c>
      <c r="C111" s="17">
        <v>0.0162623035814203</v>
      </c>
      <c r="D111" s="17">
        <f t="shared" si="0"/>
        <v>0.000372862222258845</v>
      </c>
      <c r="E111" s="18">
        <f t="shared" si="1"/>
        <v>0.000456384977117715</v>
      </c>
      <c r="G111" s="16" t="s">
        <v>267</v>
      </c>
      <c r="H111" s="16">
        <v>14880</v>
      </c>
      <c r="I111" s="19">
        <v>0.000853308082754368</v>
      </c>
    </row>
    <row r="112" ht="22.5" customHeight="1" spans="1:9">
      <c r="A112" s="16" t="s">
        <v>447</v>
      </c>
      <c r="B112" s="16">
        <v>542</v>
      </c>
      <c r="C112" s="19">
        <v>0.000227869288799254</v>
      </c>
      <c r="D112" s="17">
        <f t="shared" si="0"/>
        <v>0.00037217555149962</v>
      </c>
      <c r="E112" s="18">
        <f t="shared" si="1"/>
        <v>0.000455544489130389</v>
      </c>
      <c r="G112" s="16" t="s">
        <v>271</v>
      </c>
      <c r="H112" s="16">
        <v>14836</v>
      </c>
      <c r="I112" s="19">
        <v>0.000850784859929019</v>
      </c>
    </row>
    <row r="113" ht="22.5" customHeight="1" spans="1:9">
      <c r="A113" s="16" t="s">
        <v>702</v>
      </c>
      <c r="B113" s="16">
        <v>532</v>
      </c>
      <c r="C113" s="19">
        <v>7.21692761576288e-5</v>
      </c>
      <c r="D113" s="17">
        <f t="shared" si="0"/>
        <v>0.000365308843907376</v>
      </c>
      <c r="E113" s="18">
        <f t="shared" si="1"/>
        <v>0.000447139609257135</v>
      </c>
      <c r="G113" s="16" t="s">
        <v>268</v>
      </c>
      <c r="H113" s="16">
        <v>14830</v>
      </c>
      <c r="I113" s="19">
        <v>0.000850440784089199</v>
      </c>
    </row>
    <row r="114" ht="22.5" customHeight="1" spans="1:9">
      <c r="A114" s="16" t="s">
        <v>853</v>
      </c>
      <c r="B114" s="16">
        <v>522</v>
      </c>
      <c r="C114" s="19">
        <v>4.03785233195307e-5</v>
      </c>
      <c r="D114" s="17">
        <f t="shared" si="0"/>
        <v>0.000358442136315132</v>
      </c>
      <c r="E114" s="18">
        <f t="shared" si="1"/>
        <v>0.00043873472938388</v>
      </c>
      <c r="G114" s="16" t="s">
        <v>245</v>
      </c>
      <c r="H114" s="16">
        <v>14825</v>
      </c>
      <c r="I114" s="19">
        <v>0.000850154054222682</v>
      </c>
    </row>
    <row r="115" ht="22.5" customHeight="1" spans="1:9">
      <c r="A115" s="16" t="s">
        <v>273</v>
      </c>
      <c r="B115" s="16">
        <v>521</v>
      </c>
      <c r="C115" s="19">
        <v>0.000760417739026723</v>
      </c>
      <c r="D115" s="17">
        <f t="shared" si="0"/>
        <v>0.000357755465555908</v>
      </c>
      <c r="E115" s="18">
        <f t="shared" si="1"/>
        <v>0.000437894241396555</v>
      </c>
      <c r="G115" s="16" t="s">
        <v>272</v>
      </c>
      <c r="H115" s="16">
        <v>14583</v>
      </c>
      <c r="I115" s="19">
        <v>0.000836276328683263</v>
      </c>
    </row>
    <row r="116" ht="22.5" customHeight="1" spans="1:9">
      <c r="A116" s="16" t="s">
        <v>40</v>
      </c>
      <c r="B116" s="16">
        <v>493</v>
      </c>
      <c r="C116" s="17">
        <v>0.0242615184138335</v>
      </c>
      <c r="D116" s="17">
        <f t="shared" si="0"/>
        <v>0.000338528684297625</v>
      </c>
      <c r="E116" s="18">
        <f t="shared" si="1"/>
        <v>0.000414360577751443</v>
      </c>
      <c r="G116" s="16" t="s">
        <v>172</v>
      </c>
      <c r="H116" s="16">
        <v>14559</v>
      </c>
      <c r="I116" s="19">
        <v>0.000834900025323982</v>
      </c>
    </row>
    <row r="117" ht="22.5" customHeight="1" spans="1:9">
      <c r="A117" s="16" t="s">
        <v>552</v>
      </c>
      <c r="B117" s="16">
        <v>488</v>
      </c>
      <c r="C117" s="19">
        <v>0.000146578840266936</v>
      </c>
      <c r="D117" s="17">
        <f t="shared" si="0"/>
        <v>0.000335095330501503</v>
      </c>
      <c r="E117" s="18">
        <f t="shared" si="1"/>
        <v>0.000410158137814815</v>
      </c>
      <c r="G117" s="16" t="s">
        <v>274</v>
      </c>
      <c r="H117" s="16">
        <v>14150</v>
      </c>
      <c r="I117" s="19">
        <v>0.000811445522242897</v>
      </c>
    </row>
    <row r="118" ht="22.5" customHeight="1" spans="1:9">
      <c r="A118" s="16" t="s">
        <v>561</v>
      </c>
      <c r="B118" s="16">
        <v>488</v>
      </c>
      <c r="C118" s="19">
        <v>0.000142044924174254</v>
      </c>
      <c r="D118" s="17">
        <f t="shared" si="0"/>
        <v>0.000335095330501503</v>
      </c>
      <c r="E118" s="18">
        <f t="shared" si="1"/>
        <v>0.000410158137814815</v>
      </c>
      <c r="G118" s="16" t="s">
        <v>215</v>
      </c>
      <c r="H118" s="16">
        <v>14071</v>
      </c>
      <c r="I118" s="19">
        <v>0.00080691519035193</v>
      </c>
    </row>
    <row r="119" ht="22.5" customHeight="1" spans="1:9">
      <c r="A119" s="16" t="s">
        <v>130</v>
      </c>
      <c r="B119" s="16">
        <v>487</v>
      </c>
      <c r="C119" s="19">
        <v>0.00210491055116951</v>
      </c>
      <c r="D119" s="17">
        <f t="shared" si="0"/>
        <v>0.000334408659742279</v>
      </c>
      <c r="E119" s="18">
        <f t="shared" si="1"/>
        <v>0.00040931764982749</v>
      </c>
      <c r="G119" s="16" t="s">
        <v>257</v>
      </c>
      <c r="H119" s="16">
        <v>14062</v>
      </c>
      <c r="I119" s="19">
        <v>0.000806399076592199</v>
      </c>
    </row>
    <row r="120" ht="22.5" customHeight="1" spans="1:9">
      <c r="A120" s="16" t="s">
        <v>507</v>
      </c>
      <c r="B120" s="16">
        <v>484</v>
      </c>
      <c r="C120" s="19">
        <v>0.00017287555360449</v>
      </c>
      <c r="D120" s="17">
        <f t="shared" si="0"/>
        <v>0.000332348647464606</v>
      </c>
      <c r="E120" s="18">
        <f t="shared" si="1"/>
        <v>0.000406796185865514</v>
      </c>
      <c r="G120" s="16" t="s">
        <v>252</v>
      </c>
      <c r="H120" s="16">
        <v>13886</v>
      </c>
      <c r="I120" s="19">
        <v>0.000796306185290804</v>
      </c>
    </row>
    <row r="121" ht="22.5" customHeight="1" spans="1:9">
      <c r="A121" s="16" t="s">
        <v>640</v>
      </c>
      <c r="B121" s="16">
        <v>484</v>
      </c>
      <c r="C121" s="19">
        <v>9.4945536999689e-5</v>
      </c>
      <c r="D121" s="17">
        <f t="shared" si="0"/>
        <v>0.000332348647464606</v>
      </c>
      <c r="E121" s="18">
        <f t="shared" si="1"/>
        <v>0.000406796185865514</v>
      </c>
      <c r="G121" s="16" t="s">
        <v>273</v>
      </c>
      <c r="H121" s="16">
        <v>13735</v>
      </c>
      <c r="I121" s="19">
        <v>0.000787646943321993</v>
      </c>
    </row>
    <row r="122" ht="22.5" customHeight="1" spans="1:9">
      <c r="A122" s="16" t="s">
        <v>706</v>
      </c>
      <c r="B122" s="16">
        <v>481</v>
      </c>
      <c r="C122" s="19">
        <v>7.08357714244871e-5</v>
      </c>
      <c r="D122" s="17">
        <f t="shared" si="0"/>
        <v>0.000330288635186932</v>
      </c>
      <c r="E122" s="18">
        <f t="shared" si="1"/>
        <v>0.000404274721903537</v>
      </c>
      <c r="G122" s="16" t="s">
        <v>277</v>
      </c>
      <c r="H122" s="16">
        <v>13623</v>
      </c>
      <c r="I122" s="19">
        <v>0.000781224194312013</v>
      </c>
    </row>
    <row r="123" ht="22.5" customHeight="1" spans="1:9">
      <c r="A123" s="16" t="s">
        <v>370</v>
      </c>
      <c r="B123" s="16">
        <v>463</v>
      </c>
      <c r="C123" s="19">
        <v>0.00036730054369655</v>
      </c>
      <c r="D123" s="17">
        <f t="shared" si="0"/>
        <v>0.000317928561520893</v>
      </c>
      <c r="E123" s="18">
        <f t="shared" si="1"/>
        <v>0.000389145938131679</v>
      </c>
      <c r="G123" s="16" t="s">
        <v>275</v>
      </c>
      <c r="H123" s="16">
        <v>13255</v>
      </c>
      <c r="I123" s="19">
        <v>0.000760120876136368</v>
      </c>
    </row>
    <row r="124" ht="22.5" customHeight="1" spans="1:9">
      <c r="A124" s="16" t="s">
        <v>342</v>
      </c>
      <c r="B124" s="16">
        <v>448</v>
      </c>
      <c r="C124" s="19">
        <v>0.000435522645844079</v>
      </c>
      <c r="D124" s="17">
        <f t="shared" si="0"/>
        <v>0.000307628500132527</v>
      </c>
      <c r="E124" s="18">
        <f t="shared" si="1"/>
        <v>0.000376538618321798</v>
      </c>
      <c r="G124" s="16" t="s">
        <v>261</v>
      </c>
      <c r="H124" s="16">
        <v>12961</v>
      </c>
      <c r="I124" s="19">
        <v>0.000743261159985173</v>
      </c>
    </row>
    <row r="125" ht="22.5" customHeight="1" spans="1:9">
      <c r="A125" s="16" t="s">
        <v>372</v>
      </c>
      <c r="B125" s="16">
        <v>447</v>
      </c>
      <c r="C125" s="19">
        <v>0.000360206298516236</v>
      </c>
      <c r="D125" s="17">
        <f t="shared" si="0"/>
        <v>0.000306941829373303</v>
      </c>
      <c r="E125" s="18">
        <f t="shared" si="1"/>
        <v>0.000375698130334472</v>
      </c>
      <c r="G125" s="16" t="s">
        <v>279</v>
      </c>
      <c r="H125" s="16">
        <v>12604</v>
      </c>
      <c r="I125" s="19">
        <v>0.000722788647515864</v>
      </c>
    </row>
    <row r="126" ht="22.5" customHeight="1" spans="1:9">
      <c r="A126" s="16" t="s">
        <v>350</v>
      </c>
      <c r="B126" s="16">
        <v>445</v>
      </c>
      <c r="C126" s="19">
        <v>0.000416160157118862</v>
      </c>
      <c r="D126" s="17">
        <f t="shared" si="0"/>
        <v>0.000305568487854854</v>
      </c>
      <c r="E126" s="18">
        <f t="shared" si="1"/>
        <v>0.000374017154359821</v>
      </c>
      <c r="G126" s="16" t="s">
        <v>285</v>
      </c>
      <c r="H126" s="16">
        <v>12478</v>
      </c>
      <c r="I126" s="19">
        <v>0.000715563054879638</v>
      </c>
    </row>
    <row r="127" ht="22.5" customHeight="1" spans="1:9">
      <c r="A127" s="16" t="s">
        <v>508</v>
      </c>
      <c r="B127" s="16">
        <v>445</v>
      </c>
      <c r="C127" s="19">
        <v>0.000170315224516858</v>
      </c>
      <c r="D127" s="17">
        <f t="shared" si="0"/>
        <v>0.000305568487854854</v>
      </c>
      <c r="E127" s="18">
        <f t="shared" si="1"/>
        <v>0.000374017154359821</v>
      </c>
      <c r="G127" s="16" t="s">
        <v>280</v>
      </c>
      <c r="H127" s="16">
        <v>11883</v>
      </c>
      <c r="I127" s="19">
        <v>0.000681442200764124</v>
      </c>
    </row>
    <row r="128" ht="22.5" customHeight="1" spans="1:9">
      <c r="A128" s="16" t="s">
        <v>400</v>
      </c>
      <c r="B128" s="16">
        <v>443</v>
      </c>
      <c r="C128" s="19">
        <v>0.000293264360912523</v>
      </c>
      <c r="D128" s="17">
        <f t="shared" si="0"/>
        <v>0.000304195146336406</v>
      </c>
      <c r="E128" s="18">
        <f t="shared" si="1"/>
        <v>0.00037233617838517</v>
      </c>
      <c r="G128" s="16" t="s">
        <v>243</v>
      </c>
      <c r="H128" s="16">
        <v>11351</v>
      </c>
      <c r="I128" s="19">
        <v>0.000650934142966723</v>
      </c>
    </row>
    <row r="129" ht="22.5" customHeight="1" spans="1:9">
      <c r="A129" s="16" t="s">
        <v>945</v>
      </c>
      <c r="B129" s="16">
        <v>440</v>
      </c>
      <c r="C129" s="19">
        <v>2.61366927695773e-5</v>
      </c>
      <c r="D129" s="17">
        <f t="shared" si="0"/>
        <v>0.000302135134058732</v>
      </c>
      <c r="E129" s="18">
        <f t="shared" si="1"/>
        <v>0.000369814714423194</v>
      </c>
      <c r="G129" s="16" t="s">
        <v>291</v>
      </c>
      <c r="H129" s="16">
        <v>11256</v>
      </c>
      <c r="I129" s="19">
        <v>0.000645486275502901</v>
      </c>
    </row>
    <row r="130" ht="22.5" customHeight="1" spans="1:9">
      <c r="A130" s="16" t="s">
        <v>755</v>
      </c>
      <c r="B130" s="16">
        <v>434</v>
      </c>
      <c r="C130" s="19">
        <v>6.01143933700278e-5</v>
      </c>
      <c r="D130" s="17">
        <f t="shared" si="0"/>
        <v>0.000298015109503386</v>
      </c>
      <c r="E130" s="18">
        <f t="shared" si="1"/>
        <v>0.000364771786499241</v>
      </c>
      <c r="G130" s="16" t="s">
        <v>292</v>
      </c>
      <c r="H130" s="16">
        <v>11090</v>
      </c>
      <c r="I130" s="19">
        <v>0.000635966843934539</v>
      </c>
    </row>
    <row r="131" ht="22.5" customHeight="1" spans="1:9">
      <c r="A131" s="16" t="s">
        <v>605</v>
      </c>
      <c r="B131" s="16">
        <v>432</v>
      </c>
      <c r="C131" s="19">
        <v>0.000114094664967604</v>
      </c>
      <c r="D131" s="17">
        <f t="shared" si="0"/>
        <v>0.000296641767984937</v>
      </c>
      <c r="E131" s="18">
        <f t="shared" si="1"/>
        <v>0.000363090810524591</v>
      </c>
      <c r="G131" s="16" t="s">
        <v>249</v>
      </c>
      <c r="H131" s="16">
        <v>11039</v>
      </c>
      <c r="I131" s="19">
        <v>0.000633042199296067</v>
      </c>
    </row>
    <row r="132" ht="22.5" customHeight="1" spans="1:9">
      <c r="A132" s="16" t="s">
        <v>152</v>
      </c>
      <c r="B132" s="16">
        <v>424</v>
      </c>
      <c r="C132" s="19">
        <v>0.00187272070703488</v>
      </c>
      <c r="D132" s="17">
        <f t="shared" si="0"/>
        <v>0.000291148401911142</v>
      </c>
      <c r="E132" s="18">
        <f t="shared" si="1"/>
        <v>0.000356366906625987</v>
      </c>
      <c r="G132" s="16" t="s">
        <v>162</v>
      </c>
      <c r="H132" s="16">
        <v>10722</v>
      </c>
      <c r="I132" s="19">
        <v>0.000614863525758894</v>
      </c>
    </row>
    <row r="133" ht="22.5" customHeight="1" spans="1:9">
      <c r="A133" s="16" t="s">
        <v>103</v>
      </c>
      <c r="B133" s="16">
        <v>423</v>
      </c>
      <c r="C133" s="17">
        <v>0.00357043225289224</v>
      </c>
      <c r="D133" s="17">
        <f t="shared" si="0"/>
        <v>0.000290461731151918</v>
      </c>
      <c r="E133" s="18">
        <f t="shared" si="1"/>
        <v>0.000355526418638662</v>
      </c>
      <c r="G133" s="16" t="s">
        <v>293</v>
      </c>
      <c r="H133" s="16">
        <v>10629</v>
      </c>
      <c r="I133" s="19">
        <v>0.000609530350241679</v>
      </c>
    </row>
    <row r="134" ht="22.5" customHeight="1" spans="1:9">
      <c r="A134" s="16" t="s">
        <v>182</v>
      </c>
      <c r="B134" s="16">
        <v>422</v>
      </c>
      <c r="C134" s="19">
        <v>0.00153438388614217</v>
      </c>
      <c r="D134" s="17">
        <f t="shared" si="0"/>
        <v>0.000289775060392693</v>
      </c>
      <c r="E134" s="18">
        <f t="shared" si="1"/>
        <v>0.000354685930651336</v>
      </c>
      <c r="G134" s="16" t="s">
        <v>1442</v>
      </c>
      <c r="H134" s="16">
        <v>10459</v>
      </c>
      <c r="I134" s="19">
        <v>0.000599781534780103</v>
      </c>
    </row>
    <row r="135" ht="22.5" customHeight="1" spans="1:9">
      <c r="A135" s="16" t="s">
        <v>800</v>
      </c>
      <c r="B135" s="16">
        <v>417</v>
      </c>
      <c r="C135" s="19">
        <v>5.00330975874766e-5</v>
      </c>
      <c r="D135" s="17">
        <f t="shared" si="0"/>
        <v>0.000286341706596571</v>
      </c>
      <c r="E135" s="18">
        <f t="shared" si="1"/>
        <v>0.000350483490714709</v>
      </c>
      <c r="G135" s="16" t="s">
        <v>204</v>
      </c>
      <c r="H135" s="16">
        <v>10356</v>
      </c>
      <c r="I135" s="19">
        <v>0.000593874899529855</v>
      </c>
    </row>
    <row r="136" ht="22.5" customHeight="1" spans="1:9">
      <c r="A136" s="16" t="s">
        <v>872</v>
      </c>
      <c r="B136" s="16">
        <v>412</v>
      </c>
      <c r="C136" s="19">
        <v>3.68047306347109e-5</v>
      </c>
      <c r="D136" s="17">
        <f t="shared" si="0"/>
        <v>0.000282908352800449</v>
      </c>
      <c r="E136" s="18">
        <f t="shared" si="1"/>
        <v>0.000346281050778082</v>
      </c>
      <c r="G136" s="16" t="s">
        <v>296</v>
      </c>
      <c r="H136" s="16">
        <v>10304</v>
      </c>
      <c r="I136" s="19">
        <v>0.000590892908918079</v>
      </c>
    </row>
    <row r="137" ht="22.5" customHeight="1" spans="1:9">
      <c r="A137" s="16" t="s">
        <v>208</v>
      </c>
      <c r="B137" s="16">
        <v>411</v>
      </c>
      <c r="C137" s="19">
        <v>0.00125717492221667</v>
      </c>
      <c r="D137" s="17">
        <f t="shared" si="0"/>
        <v>0.000282221682041225</v>
      </c>
      <c r="E137" s="18">
        <f t="shared" si="1"/>
        <v>0.000345440562790756</v>
      </c>
      <c r="G137" s="16" t="s">
        <v>297</v>
      </c>
      <c r="H137" s="16">
        <v>10247</v>
      </c>
      <c r="I137" s="19">
        <v>0.000587624188439786</v>
      </c>
    </row>
    <row r="138" ht="22.5" customHeight="1" spans="1:9">
      <c r="A138" s="16" t="s">
        <v>716</v>
      </c>
      <c r="B138" s="16">
        <v>411</v>
      </c>
      <c r="C138" s="19">
        <v>6.7955401200901e-5</v>
      </c>
      <c r="D138" s="17">
        <f t="shared" si="0"/>
        <v>0.000282221682041225</v>
      </c>
      <c r="E138" s="18">
        <f t="shared" si="1"/>
        <v>0.000345440562790756</v>
      </c>
      <c r="G138" s="16" t="s">
        <v>299</v>
      </c>
      <c r="H138" s="16">
        <v>10233</v>
      </c>
      <c r="I138" s="19">
        <v>0.000586821344813538</v>
      </c>
    </row>
    <row r="139" ht="22.5" customHeight="1" spans="1:9">
      <c r="A139" s="16" t="s">
        <v>581</v>
      </c>
      <c r="B139" s="16">
        <v>406</v>
      </c>
      <c r="C139" s="19">
        <v>0.000128816557221488</v>
      </c>
      <c r="D139" s="17">
        <f t="shared" si="0"/>
        <v>0.000278788328245103</v>
      </c>
      <c r="E139" s="18">
        <f t="shared" si="1"/>
        <v>0.000341238122854129</v>
      </c>
      <c r="G139" s="16" t="s">
        <v>301</v>
      </c>
      <c r="H139" s="16">
        <v>10178</v>
      </c>
      <c r="I139" s="19">
        <v>0.000583667316281852</v>
      </c>
    </row>
    <row r="140" ht="22.5" customHeight="1" spans="1:9">
      <c r="A140" s="16" t="s">
        <v>443</v>
      </c>
      <c r="B140" s="16">
        <v>403</v>
      </c>
      <c r="C140" s="19">
        <v>0.000231816462809353</v>
      </c>
      <c r="D140" s="17">
        <f t="shared" si="0"/>
        <v>0.00027672831596743</v>
      </c>
      <c r="E140" s="18">
        <f t="shared" si="1"/>
        <v>0.000338716658892153</v>
      </c>
      <c r="G140" s="16" t="s">
        <v>290</v>
      </c>
      <c r="H140" s="16">
        <v>10149</v>
      </c>
      <c r="I140" s="19">
        <v>0.000582004283056054</v>
      </c>
    </row>
    <row r="141" ht="22.5" customHeight="1" spans="1:9">
      <c r="A141" s="16" t="s">
        <v>433</v>
      </c>
      <c r="B141" s="16">
        <v>397</v>
      </c>
      <c r="C141" s="19">
        <v>0.000240990975373368</v>
      </c>
      <c r="D141" s="17">
        <f t="shared" si="0"/>
        <v>0.000272608291412083</v>
      </c>
      <c r="E141" s="18">
        <f t="shared" si="1"/>
        <v>0.0003336737309682</v>
      </c>
      <c r="G141" s="16" t="s">
        <v>307</v>
      </c>
      <c r="H141" s="16">
        <v>9804</v>
      </c>
      <c r="I141" s="19">
        <v>0.000562219922266386</v>
      </c>
    </row>
    <row r="142" ht="22.5" customHeight="1" spans="1:9">
      <c r="A142" s="16" t="s">
        <v>66</v>
      </c>
      <c r="B142" s="16">
        <v>371</v>
      </c>
      <c r="C142" s="17">
        <v>0.00986884180846711</v>
      </c>
      <c r="D142" s="17">
        <f t="shared" si="0"/>
        <v>0.000254754851672249</v>
      </c>
      <c r="E142" s="18">
        <f t="shared" si="1"/>
        <v>0.000311821043297739</v>
      </c>
      <c r="G142" s="16" t="s">
        <v>314</v>
      </c>
      <c r="H142" s="16">
        <v>9705</v>
      </c>
      <c r="I142" s="19">
        <v>0.000556542670909351</v>
      </c>
    </row>
    <row r="143" ht="22.5" customHeight="1" spans="1:9">
      <c r="A143" s="16" t="s">
        <v>809</v>
      </c>
      <c r="B143" s="16">
        <v>371</v>
      </c>
      <c r="C143" s="19">
        <v>4.86462526650092e-5</v>
      </c>
      <c r="D143" s="17">
        <f t="shared" si="0"/>
        <v>0.000254754851672249</v>
      </c>
      <c r="E143" s="18">
        <f t="shared" si="1"/>
        <v>0.000311821043297739</v>
      </c>
      <c r="G143" s="16" t="s">
        <v>310</v>
      </c>
      <c r="H143" s="16">
        <v>9629</v>
      </c>
      <c r="I143" s="19">
        <v>0.000552184376938294</v>
      </c>
    </row>
    <row r="144" ht="22.5" customHeight="1" spans="1:9">
      <c r="A144" s="16" t="s">
        <v>555</v>
      </c>
      <c r="B144" s="16">
        <v>370</v>
      </c>
      <c r="C144" s="19">
        <v>0.000145832077616376</v>
      </c>
      <c r="D144" s="17">
        <f t="shared" si="0"/>
        <v>0.000254068180913025</v>
      </c>
      <c r="E144" s="18">
        <f t="shared" si="1"/>
        <v>0.000310980555310413</v>
      </c>
      <c r="G144" s="16" t="s">
        <v>120</v>
      </c>
      <c r="H144" s="16">
        <v>9548</v>
      </c>
      <c r="I144" s="19">
        <v>0.00054753935310072</v>
      </c>
    </row>
    <row r="145" ht="22.5" customHeight="1" spans="1:9">
      <c r="A145" s="16" t="s">
        <v>935</v>
      </c>
      <c r="B145" s="16">
        <v>367</v>
      </c>
      <c r="C145" s="19">
        <v>2.7310176934742e-5</v>
      </c>
      <c r="D145" s="17">
        <f t="shared" si="0"/>
        <v>0.000252008168635352</v>
      </c>
      <c r="E145" s="18">
        <f t="shared" si="1"/>
        <v>0.000308459091348437</v>
      </c>
      <c r="G145" s="16" t="s">
        <v>308</v>
      </c>
      <c r="H145" s="16">
        <v>9541</v>
      </c>
      <c r="I145" s="19">
        <v>0.000547137931287596</v>
      </c>
    </row>
    <row r="146" ht="22.5" customHeight="1" spans="1:9">
      <c r="A146" s="16" t="s">
        <v>202</v>
      </c>
      <c r="B146" s="16">
        <v>364</v>
      </c>
      <c r="C146" s="19">
        <v>0.00131894286145579</v>
      </c>
      <c r="D146" s="17">
        <f t="shared" si="0"/>
        <v>0.000249948156357679</v>
      </c>
      <c r="E146" s="18">
        <f t="shared" si="1"/>
        <v>0.000305937627386461</v>
      </c>
      <c r="G146" s="16" t="s">
        <v>313</v>
      </c>
      <c r="H146" s="16">
        <v>9465</v>
      </c>
      <c r="I146" s="19">
        <v>0.000542779637316539</v>
      </c>
    </row>
    <row r="147" ht="22.5" customHeight="1" spans="1:9">
      <c r="A147" s="16" t="s">
        <v>564</v>
      </c>
      <c r="B147" s="16">
        <v>362</v>
      </c>
      <c r="C147" s="19">
        <v>0.000140924780198415</v>
      </c>
      <c r="D147" s="17">
        <f t="shared" si="0"/>
        <v>0.00024857481483923</v>
      </c>
      <c r="E147" s="18">
        <f t="shared" si="1"/>
        <v>0.00030425665141181</v>
      </c>
      <c r="G147" s="16" t="s">
        <v>321</v>
      </c>
      <c r="H147" s="16">
        <v>9389</v>
      </c>
      <c r="I147" s="19">
        <v>0.000538421343345481</v>
      </c>
    </row>
    <row r="148" ht="22.5" customHeight="1" spans="1:9">
      <c r="A148" s="16" t="s">
        <v>174</v>
      </c>
      <c r="B148" s="16">
        <v>361</v>
      </c>
      <c r="C148" s="19">
        <v>0.00162047495171379</v>
      </c>
      <c r="D148" s="17">
        <f t="shared" si="0"/>
        <v>0.000247888144080005</v>
      </c>
      <c r="E148" s="18">
        <f t="shared" si="1"/>
        <v>0.000303416163424484</v>
      </c>
      <c r="G148" s="16" t="s">
        <v>320</v>
      </c>
      <c r="H148" s="16">
        <v>9302</v>
      </c>
      <c r="I148" s="19">
        <v>0.000533432243668087</v>
      </c>
    </row>
    <row r="149" ht="22.5" customHeight="1" spans="1:9">
      <c r="A149" s="16" t="s">
        <v>743</v>
      </c>
      <c r="B149" s="16">
        <v>326</v>
      </c>
      <c r="C149" s="19">
        <v>6.21946607537289e-5</v>
      </c>
      <c r="D149" s="17">
        <f t="shared" si="0"/>
        <v>0.000223854667507152</v>
      </c>
      <c r="E149" s="18">
        <f t="shared" si="1"/>
        <v>0.000273999083868094</v>
      </c>
      <c r="G149" s="16" t="s">
        <v>326</v>
      </c>
      <c r="H149" s="16">
        <v>9296</v>
      </c>
      <c r="I149" s="19">
        <v>0.000533088167828267</v>
      </c>
    </row>
    <row r="150" ht="22.5" customHeight="1" spans="1:9">
      <c r="A150" s="16" t="s">
        <v>313</v>
      </c>
      <c r="B150" s="16">
        <v>324</v>
      </c>
      <c r="C150" s="19">
        <v>0.000522147113308964</v>
      </c>
      <c r="D150" s="17">
        <f t="shared" si="0"/>
        <v>0.000222481325988703</v>
      </c>
      <c r="E150" s="18">
        <f t="shared" si="1"/>
        <v>0.000272318107893443</v>
      </c>
      <c r="G150" s="16" t="s">
        <v>325</v>
      </c>
      <c r="H150" s="16">
        <v>9288</v>
      </c>
      <c r="I150" s="19">
        <v>0.00053262940004184</v>
      </c>
    </row>
    <row r="151" ht="22.5" customHeight="1" spans="1:9">
      <c r="A151" s="16" t="s">
        <v>699</v>
      </c>
      <c r="B151" s="16">
        <v>323</v>
      </c>
      <c r="C151" s="19">
        <v>7.27560182402111e-5</v>
      </c>
      <c r="D151" s="17">
        <f t="shared" si="0"/>
        <v>0.000221794655229478</v>
      </c>
      <c r="E151" s="18">
        <f t="shared" si="1"/>
        <v>0.000271477619906117</v>
      </c>
      <c r="G151" s="16" t="s">
        <v>324</v>
      </c>
      <c r="H151" s="16">
        <v>9263</v>
      </c>
      <c r="I151" s="19">
        <v>0.000531195750709255</v>
      </c>
    </row>
    <row r="152" ht="22.5" customHeight="1" spans="1:9">
      <c r="A152" s="16" t="s">
        <v>615</v>
      </c>
      <c r="B152" s="16">
        <v>322</v>
      </c>
      <c r="C152" s="19">
        <v>0.00010417338975303</v>
      </c>
      <c r="D152" s="17">
        <f t="shared" si="0"/>
        <v>0.000221107984470254</v>
      </c>
      <c r="E152" s="18">
        <f t="shared" si="1"/>
        <v>0.000270637131918792</v>
      </c>
      <c r="G152" s="16" t="s">
        <v>284</v>
      </c>
      <c r="H152" s="16">
        <v>9108</v>
      </c>
      <c r="I152" s="19">
        <v>0.00052230712484723</v>
      </c>
    </row>
    <row r="153" ht="22.5" customHeight="1" spans="1:9">
      <c r="A153" s="16" t="s">
        <v>603</v>
      </c>
      <c r="B153" s="16">
        <v>321</v>
      </c>
      <c r="C153" s="19">
        <v>0.0001157482108367</v>
      </c>
      <c r="D153" s="17">
        <f t="shared" si="0"/>
        <v>0.00022042131371103</v>
      </c>
      <c r="E153" s="18">
        <f t="shared" si="1"/>
        <v>0.000269796643931467</v>
      </c>
      <c r="G153" s="16" t="s">
        <v>318</v>
      </c>
      <c r="H153" s="16">
        <v>9039</v>
      </c>
      <c r="I153" s="19">
        <v>0.000518350252689297</v>
      </c>
    </row>
    <row r="154" ht="22.5" customHeight="1" spans="1:9">
      <c r="A154" s="16" t="s">
        <v>717</v>
      </c>
      <c r="B154" s="16">
        <v>312</v>
      </c>
      <c r="C154" s="19">
        <v>6.7635360064947e-5</v>
      </c>
      <c r="D154" s="17">
        <f t="shared" si="0"/>
        <v>0.00021424127687801</v>
      </c>
      <c r="E154" s="18">
        <f t="shared" si="1"/>
        <v>0.000262232252045538</v>
      </c>
      <c r="G154" s="16" t="s">
        <v>329</v>
      </c>
      <c r="H154" s="16">
        <v>9020</v>
      </c>
      <c r="I154" s="19">
        <v>0.000517260679196532</v>
      </c>
    </row>
    <row r="155" ht="22.5" customHeight="1" spans="1:9">
      <c r="A155" s="16" t="s">
        <v>308</v>
      </c>
      <c r="B155" s="16">
        <v>306</v>
      </c>
      <c r="C155" s="19">
        <v>0.000525240844289853</v>
      </c>
      <c r="D155" s="17">
        <f t="shared" si="0"/>
        <v>0.000210121252322664</v>
      </c>
      <c r="E155" s="18">
        <f t="shared" si="1"/>
        <v>0.000257189324121585</v>
      </c>
      <c r="G155" s="16" t="s">
        <v>323</v>
      </c>
      <c r="H155" s="16">
        <v>8863</v>
      </c>
      <c r="I155" s="19">
        <v>0.000508257361387901</v>
      </c>
    </row>
    <row r="156" ht="22.5" customHeight="1" spans="1:9">
      <c r="A156" s="16" t="s">
        <v>740</v>
      </c>
      <c r="B156" s="16">
        <v>305</v>
      </c>
      <c r="C156" s="19">
        <v>6.27814028363112e-5</v>
      </c>
      <c r="D156" s="17">
        <f t="shared" si="0"/>
        <v>0.000209434581563439</v>
      </c>
      <c r="E156" s="18">
        <f t="shared" si="1"/>
        <v>0.00025634883613426</v>
      </c>
      <c r="G156" s="16" t="s">
        <v>302</v>
      </c>
      <c r="H156" s="16">
        <v>8836</v>
      </c>
      <c r="I156" s="19">
        <v>0.00050670902010871</v>
      </c>
    </row>
    <row r="157" ht="22.5" customHeight="1" spans="1:9">
      <c r="A157" s="16" t="s">
        <v>189</v>
      </c>
      <c r="B157" s="16">
        <v>302</v>
      </c>
      <c r="C157" s="19">
        <v>0.00152824976436971</v>
      </c>
      <c r="D157" s="17">
        <f t="shared" si="0"/>
        <v>0.000207374569285766</v>
      </c>
      <c r="E157" s="18">
        <f t="shared" si="1"/>
        <v>0.000253827372172283</v>
      </c>
      <c r="G157" s="16" t="s">
        <v>332</v>
      </c>
      <c r="H157" s="16">
        <v>8791</v>
      </c>
      <c r="I157" s="19">
        <v>0.000504128451310057</v>
      </c>
    </row>
    <row r="158" ht="22.5" customHeight="1" spans="1:9">
      <c r="A158" s="16" t="s">
        <v>886</v>
      </c>
      <c r="B158" s="16">
        <v>299</v>
      </c>
      <c r="C158" s="19">
        <v>3.40310407897762e-5</v>
      </c>
      <c r="D158" s="17">
        <f t="shared" si="0"/>
        <v>0.000205314557008093</v>
      </c>
      <c r="E158" s="18">
        <f t="shared" si="1"/>
        <v>0.000251305908210307</v>
      </c>
      <c r="G158" s="16" t="s">
        <v>333</v>
      </c>
      <c r="H158" s="16">
        <v>8778</v>
      </c>
      <c r="I158" s="19">
        <v>0.000503382953657113</v>
      </c>
    </row>
    <row r="159" ht="22.5" customHeight="1" spans="1:9">
      <c r="A159" s="16" t="s">
        <v>752</v>
      </c>
      <c r="B159" s="16">
        <v>284</v>
      </c>
      <c r="C159" s="19">
        <v>6.02210737486792e-5</v>
      </c>
      <c r="D159" s="17">
        <f t="shared" si="0"/>
        <v>0.000195014495619727</v>
      </c>
      <c r="E159" s="18">
        <f t="shared" si="1"/>
        <v>0.000238698588400425</v>
      </c>
      <c r="G159" s="16" t="s">
        <v>161</v>
      </c>
      <c r="H159" s="16">
        <v>8681</v>
      </c>
      <c r="I159" s="19">
        <v>0.000497820394246685</v>
      </c>
    </row>
    <row r="160" ht="22.5" customHeight="1" spans="1:9">
      <c r="A160" s="16" t="s">
        <v>846</v>
      </c>
      <c r="B160" s="16">
        <v>279</v>
      </c>
      <c r="C160" s="19">
        <v>4.18720486206494e-5</v>
      </c>
      <c r="D160" s="17">
        <f t="shared" si="0"/>
        <v>0.000191581141823605</v>
      </c>
      <c r="E160" s="18">
        <f t="shared" si="1"/>
        <v>0.000234496148463798</v>
      </c>
      <c r="G160" s="16" t="s">
        <v>255</v>
      </c>
      <c r="H160" s="16">
        <v>8586</v>
      </c>
      <c r="I160" s="19">
        <v>0.000492372526782863</v>
      </c>
    </row>
    <row r="161" ht="22.5" customHeight="1" spans="1:9">
      <c r="A161" s="16" t="s">
        <v>684</v>
      </c>
      <c r="B161" s="16">
        <v>277</v>
      </c>
      <c r="C161" s="19">
        <v>7.65965118716592e-5</v>
      </c>
      <c r="D161" s="17">
        <f t="shared" si="0"/>
        <v>0.000190207800305156</v>
      </c>
      <c r="E161" s="18">
        <f t="shared" si="1"/>
        <v>0.000232815172489147</v>
      </c>
      <c r="G161" s="16" t="s">
        <v>337</v>
      </c>
      <c r="H161" s="16">
        <v>8311</v>
      </c>
      <c r="I161" s="19">
        <v>0.000476602384124433</v>
      </c>
    </row>
    <row r="162" ht="22.5" customHeight="1" spans="1:9">
      <c r="A162" s="16" t="s">
        <v>439</v>
      </c>
      <c r="B162" s="16">
        <v>276</v>
      </c>
      <c r="C162" s="19">
        <v>0.000234323451707659</v>
      </c>
      <c r="D162" s="17">
        <f t="shared" si="0"/>
        <v>0.000189521129545932</v>
      </c>
      <c r="E162" s="18">
        <f t="shared" si="1"/>
        <v>0.000231974684501822</v>
      </c>
      <c r="G162" s="16" t="s">
        <v>341</v>
      </c>
      <c r="H162" s="16">
        <v>8212</v>
      </c>
      <c r="I162" s="19">
        <v>0.000470925132767397</v>
      </c>
    </row>
    <row r="163" ht="22.5" customHeight="1" spans="1:9">
      <c r="A163" s="16" t="s">
        <v>465</v>
      </c>
      <c r="B163" s="16">
        <v>275</v>
      </c>
      <c r="C163" s="19">
        <v>0.00020402622417068</v>
      </c>
      <c r="D163" s="17">
        <f t="shared" si="0"/>
        <v>0.000188834458786708</v>
      </c>
      <c r="E163" s="18">
        <f t="shared" si="1"/>
        <v>0.000231134196514496</v>
      </c>
      <c r="G163" s="16" t="s">
        <v>416</v>
      </c>
      <c r="H163" s="16">
        <v>4017</v>
      </c>
      <c r="I163" s="19">
        <v>0.000460717549519395</v>
      </c>
    </row>
    <row r="164" ht="22.5" customHeight="1" spans="1:9">
      <c r="A164" s="16" t="s">
        <v>231</v>
      </c>
      <c r="B164" s="16">
        <v>272</v>
      </c>
      <c r="C164" s="19">
        <v>0.00104893482308926</v>
      </c>
      <c r="D164" s="17">
        <f t="shared" si="0"/>
        <v>0.000186774446509035</v>
      </c>
      <c r="E164" s="18">
        <f t="shared" si="1"/>
        <v>0.00022861273255252</v>
      </c>
      <c r="G164" s="16" t="s">
        <v>344</v>
      </c>
      <c r="H164" s="16">
        <v>7993</v>
      </c>
      <c r="I164" s="19">
        <v>0.000458366364613956</v>
      </c>
    </row>
    <row r="165" ht="22.5" customHeight="1" spans="1:9">
      <c r="A165" s="16" t="s">
        <v>896</v>
      </c>
      <c r="B165" s="16">
        <v>259</v>
      </c>
      <c r="C165" s="19">
        <v>3.31242575712398e-5</v>
      </c>
      <c r="D165" s="17">
        <f t="shared" si="0"/>
        <v>0.000177847726639117</v>
      </c>
      <c r="E165" s="18">
        <f t="shared" si="1"/>
        <v>0.000217686388717289</v>
      </c>
      <c r="G165" s="16" t="s">
        <v>346</v>
      </c>
      <c r="H165" s="16">
        <v>7985</v>
      </c>
      <c r="I165" s="19">
        <v>0.000457907596827529</v>
      </c>
    </row>
    <row r="166" ht="22.5" customHeight="1" spans="1:9">
      <c r="A166" s="16" t="s">
        <v>107</v>
      </c>
      <c r="B166" s="16">
        <v>258</v>
      </c>
      <c r="C166" s="17">
        <v>0.00334042935651996</v>
      </c>
      <c r="D166" s="17">
        <f t="shared" si="0"/>
        <v>0.000177161055879893</v>
      </c>
      <c r="E166" s="18">
        <f t="shared" si="1"/>
        <v>0.000216845900729964</v>
      </c>
      <c r="G166" s="16" t="s">
        <v>304</v>
      </c>
      <c r="H166" s="16">
        <v>7982</v>
      </c>
      <c r="I166" s="19">
        <v>0.000457735558907619</v>
      </c>
    </row>
    <row r="167" ht="22.5" customHeight="1" spans="1:9">
      <c r="A167" s="16" t="s">
        <v>550</v>
      </c>
      <c r="B167" s="16">
        <v>257</v>
      </c>
      <c r="C167" s="19">
        <v>0.000148072365568054</v>
      </c>
      <c r="D167" s="17">
        <f t="shared" si="0"/>
        <v>0.000176474385120669</v>
      </c>
      <c r="E167" s="18">
        <f t="shared" si="1"/>
        <v>0.000216005412742638</v>
      </c>
      <c r="G167" s="16" t="s">
        <v>322</v>
      </c>
      <c r="H167" s="16">
        <v>7856</v>
      </c>
      <c r="I167" s="19">
        <v>0.000450509966271392</v>
      </c>
    </row>
    <row r="168" ht="22.5" customHeight="1" spans="1:9">
      <c r="A168" s="16" t="s">
        <v>819</v>
      </c>
      <c r="B168" s="16">
        <v>252</v>
      </c>
      <c r="C168" s="19">
        <v>4.69393666065878e-5</v>
      </c>
      <c r="D168" s="17">
        <f t="shared" si="0"/>
        <v>0.000173041031324547</v>
      </c>
      <c r="E168" s="18">
        <f t="shared" si="1"/>
        <v>0.000211802972806011</v>
      </c>
      <c r="G168" s="16" t="s">
        <v>352</v>
      </c>
      <c r="H168" s="16">
        <v>7749</v>
      </c>
      <c r="I168" s="19">
        <v>0.00044437394712793</v>
      </c>
    </row>
    <row r="169" ht="22.5" customHeight="1" spans="1:9">
      <c r="A169" s="16" t="s">
        <v>749</v>
      </c>
      <c r="B169" s="16">
        <v>251</v>
      </c>
      <c r="C169" s="19">
        <v>6.09144962099128e-5</v>
      </c>
      <c r="D169" s="17">
        <f t="shared" si="0"/>
        <v>0.000172354360565322</v>
      </c>
      <c r="E169" s="18">
        <f t="shared" si="1"/>
        <v>0.000210962484818686</v>
      </c>
      <c r="G169" s="16" t="s">
        <v>351</v>
      </c>
      <c r="H169" s="16">
        <v>7741</v>
      </c>
      <c r="I169" s="19">
        <v>0.000443915179341503</v>
      </c>
    </row>
    <row r="170" ht="22.5" customHeight="1" spans="1:9">
      <c r="A170" s="16" t="s">
        <v>773</v>
      </c>
      <c r="B170" s="16">
        <v>249</v>
      </c>
      <c r="C170" s="19">
        <v>5.42469725442044e-5</v>
      </c>
      <c r="D170" s="17">
        <f t="shared" si="0"/>
        <v>0.000170981019046874</v>
      </c>
      <c r="E170" s="18">
        <f t="shared" si="1"/>
        <v>0.000209281508844035</v>
      </c>
      <c r="G170" s="16" t="s">
        <v>342</v>
      </c>
      <c r="H170" s="16">
        <v>7717</v>
      </c>
      <c r="I170" s="19">
        <v>0.000442538875982222</v>
      </c>
    </row>
    <row r="171" ht="22.5" customHeight="1" spans="1:9">
      <c r="A171" s="16" t="s">
        <v>687</v>
      </c>
      <c r="B171" s="16">
        <v>244</v>
      </c>
      <c r="C171" s="19">
        <v>7.59030894104256e-5</v>
      </c>
      <c r="D171" s="17">
        <f t="shared" si="0"/>
        <v>0.000167547665250752</v>
      </c>
      <c r="E171" s="18">
        <f t="shared" si="1"/>
        <v>0.000205079068907408</v>
      </c>
      <c r="G171" s="16" t="s">
        <v>286</v>
      </c>
      <c r="H171" s="16">
        <v>7709</v>
      </c>
      <c r="I171" s="19">
        <v>0.000442080108195795</v>
      </c>
    </row>
    <row r="172" ht="22.5" customHeight="1" spans="1:9">
      <c r="A172" s="16" t="s">
        <v>170</v>
      </c>
      <c r="B172" s="16">
        <v>241</v>
      </c>
      <c r="C172" s="19">
        <v>0.00165733302253783</v>
      </c>
      <c r="D172" s="17">
        <f t="shared" si="0"/>
        <v>0.000165487652973078</v>
      </c>
      <c r="E172" s="18">
        <f t="shared" si="1"/>
        <v>0.000202557604945431</v>
      </c>
      <c r="G172" s="16" t="s">
        <v>353</v>
      </c>
      <c r="H172" s="16">
        <v>7668</v>
      </c>
      <c r="I172" s="19">
        <v>0.000439728923290356</v>
      </c>
    </row>
    <row r="173" ht="22.5" customHeight="1" spans="1:9">
      <c r="A173" s="16" t="s">
        <v>1056</v>
      </c>
      <c r="B173" s="16">
        <v>235</v>
      </c>
      <c r="C173" s="19">
        <v>1.57353558510721e-5</v>
      </c>
      <c r="D173" s="17">
        <f t="shared" si="0"/>
        <v>0.000161367628417732</v>
      </c>
      <c r="E173" s="18">
        <f t="shared" si="1"/>
        <v>0.000197514677021479</v>
      </c>
      <c r="G173" s="16" t="s">
        <v>283</v>
      </c>
      <c r="H173" s="16">
        <v>7656</v>
      </c>
      <c r="I173" s="19">
        <v>0.000439040771610715</v>
      </c>
    </row>
    <row r="174" ht="22.5" customHeight="1" spans="1:9">
      <c r="A174" s="16" t="s">
        <v>686</v>
      </c>
      <c r="B174" s="16">
        <v>229</v>
      </c>
      <c r="C174" s="19">
        <v>7.62764707357052e-5</v>
      </c>
      <c r="D174" s="17">
        <f t="shared" si="0"/>
        <v>0.000157247603862386</v>
      </c>
      <c r="E174" s="18">
        <f t="shared" si="1"/>
        <v>0.000192471749097526</v>
      </c>
      <c r="G174" s="16" t="s">
        <v>339</v>
      </c>
      <c r="H174" s="16">
        <v>7576</v>
      </c>
      <c r="I174" s="19">
        <v>0.000434453093746445</v>
      </c>
    </row>
    <row r="175" ht="22.5" customHeight="1" spans="1:9">
      <c r="A175" s="16" t="s">
        <v>940</v>
      </c>
      <c r="B175" s="16">
        <v>227</v>
      </c>
      <c r="C175" s="19">
        <v>2.635005352688e-5</v>
      </c>
      <c r="D175" s="17">
        <f t="shared" si="0"/>
        <v>0.000155874262343937</v>
      </c>
      <c r="E175" s="18">
        <f t="shared" si="1"/>
        <v>0.000190790773122875</v>
      </c>
      <c r="G175" s="16" t="s">
        <v>1453</v>
      </c>
      <c r="H175" s="16">
        <v>7528</v>
      </c>
      <c r="I175" s="19">
        <v>0.000431700487027882</v>
      </c>
    </row>
    <row r="176" ht="22.5" customHeight="1" spans="1:9">
      <c r="A176" s="16" t="s">
        <v>735</v>
      </c>
      <c r="B176" s="16">
        <v>226</v>
      </c>
      <c r="C176" s="19">
        <v>6.51283711666406e-5</v>
      </c>
      <c r="D176" s="17">
        <f t="shared" si="0"/>
        <v>0.000155187591584713</v>
      </c>
      <c r="E176" s="18">
        <f t="shared" si="1"/>
        <v>0.00018995028513555</v>
      </c>
      <c r="G176" s="16" t="s">
        <v>355</v>
      </c>
      <c r="H176" s="16">
        <v>7459</v>
      </c>
      <c r="I176" s="19">
        <v>0.000427743614869948</v>
      </c>
    </row>
    <row r="177" ht="22.5" customHeight="1" spans="1:9">
      <c r="A177" s="16" t="s">
        <v>885</v>
      </c>
      <c r="B177" s="16">
        <v>226</v>
      </c>
      <c r="C177" s="19">
        <v>3.46177828723585e-5</v>
      </c>
      <c r="D177" s="17">
        <f t="shared" si="0"/>
        <v>0.000155187591584713</v>
      </c>
      <c r="E177" s="18">
        <f t="shared" si="1"/>
        <v>0.00018995028513555</v>
      </c>
      <c r="G177" s="16" t="s">
        <v>356</v>
      </c>
      <c r="H177" s="16">
        <v>7421</v>
      </c>
      <c r="I177" s="19">
        <v>0.00042556446788442</v>
      </c>
    </row>
    <row r="178" ht="22.5" customHeight="1" spans="1:9">
      <c r="A178" s="16" t="s">
        <v>494</v>
      </c>
      <c r="B178" s="16">
        <v>222</v>
      </c>
      <c r="C178" s="19">
        <v>0.000185250477528045</v>
      </c>
      <c r="D178" s="17">
        <f t="shared" si="0"/>
        <v>0.000152440908547815</v>
      </c>
      <c r="E178" s="18">
        <f t="shared" si="1"/>
        <v>0.000186588333186248</v>
      </c>
      <c r="G178" s="16" t="s">
        <v>350</v>
      </c>
      <c r="H178" s="16">
        <v>7357</v>
      </c>
      <c r="I178" s="19">
        <v>0.000421894325593003</v>
      </c>
    </row>
    <row r="179" ht="22.5" customHeight="1" spans="1:9">
      <c r="A179" s="16" t="s">
        <v>901</v>
      </c>
      <c r="B179" s="16">
        <v>219</v>
      </c>
      <c r="C179" s="19">
        <v>3.23241547313548e-5</v>
      </c>
      <c r="D179" s="17">
        <f t="shared" si="0"/>
        <v>0.000150380896270142</v>
      </c>
      <c r="E179" s="18">
        <f t="shared" si="1"/>
        <v>0.000184066869224272</v>
      </c>
      <c r="G179" s="16" t="s">
        <v>331</v>
      </c>
      <c r="H179" s="16">
        <v>7348</v>
      </c>
      <c r="I179" s="19">
        <v>0.000421378211833273</v>
      </c>
    </row>
    <row r="180" ht="22.5" customHeight="1" spans="1:9">
      <c r="A180" s="16" t="s">
        <v>310</v>
      </c>
      <c r="B180" s="16">
        <v>217</v>
      </c>
      <c r="C180" s="19">
        <v>0.000525187504100527</v>
      </c>
      <c r="D180" s="17">
        <f t="shared" si="0"/>
        <v>0.000149007554751693</v>
      </c>
      <c r="E180" s="18">
        <f t="shared" si="1"/>
        <v>0.000182385893249621</v>
      </c>
      <c r="G180" s="16" t="s">
        <v>401</v>
      </c>
      <c r="H180" s="16">
        <v>7332</v>
      </c>
      <c r="I180" s="19">
        <v>0.000420460676260419</v>
      </c>
    </row>
    <row r="181" ht="22.5" customHeight="1" spans="1:9">
      <c r="A181" s="16" t="s">
        <v>509</v>
      </c>
      <c r="B181" s="16">
        <v>215</v>
      </c>
      <c r="C181" s="19">
        <v>0.000169888503002253</v>
      </c>
      <c r="D181" s="17">
        <f t="shared" si="0"/>
        <v>0.000147634213233244</v>
      </c>
      <c r="E181" s="18">
        <f t="shared" si="1"/>
        <v>0.00018070491727497</v>
      </c>
      <c r="G181" s="16" t="s">
        <v>359</v>
      </c>
      <c r="H181" s="16">
        <v>7317</v>
      </c>
      <c r="I181" s="19">
        <v>0.000419600486660868</v>
      </c>
    </row>
    <row r="182" ht="22.5" customHeight="1" spans="1:9">
      <c r="A182" s="16" t="s">
        <v>1460</v>
      </c>
      <c r="B182" s="16">
        <v>215</v>
      </c>
      <c r="C182" s="19">
        <v>7.15291938857208e-5</v>
      </c>
      <c r="D182" s="17">
        <f t="shared" si="0"/>
        <v>0.000147634213233244</v>
      </c>
      <c r="E182" s="18">
        <f t="shared" si="1"/>
        <v>0.00018070491727497</v>
      </c>
      <c r="G182" s="16" t="s">
        <v>361</v>
      </c>
      <c r="H182" s="16">
        <v>7216</v>
      </c>
      <c r="I182" s="19">
        <v>0.000413808543357226</v>
      </c>
    </row>
    <row r="183" ht="22.5" customHeight="1" spans="1:9">
      <c r="A183" s="16" t="s">
        <v>455</v>
      </c>
      <c r="B183" s="16">
        <v>214</v>
      </c>
      <c r="C183" s="19">
        <v>0.000215281004118396</v>
      </c>
      <c r="D183" s="17">
        <f t="shared" si="0"/>
        <v>0.00014694754247402</v>
      </c>
      <c r="E183" s="18">
        <f t="shared" si="1"/>
        <v>0.000179864429287644</v>
      </c>
      <c r="G183" s="16" t="s">
        <v>363</v>
      </c>
      <c r="H183" s="16">
        <v>7182</v>
      </c>
      <c r="I183" s="19">
        <v>0.000411858780264911</v>
      </c>
    </row>
    <row r="184" ht="22.5" customHeight="1" spans="1:9">
      <c r="A184" s="16" t="s">
        <v>691</v>
      </c>
      <c r="B184" s="16">
        <v>207</v>
      </c>
      <c r="C184" s="19">
        <v>7.49963061918892e-5</v>
      </c>
      <c r="D184" s="17">
        <f t="shared" si="0"/>
        <v>0.000142140847159449</v>
      </c>
      <c r="E184" s="18">
        <f t="shared" si="1"/>
        <v>0.000173981013376366</v>
      </c>
      <c r="G184" s="16" t="s">
        <v>287</v>
      </c>
      <c r="H184" s="16">
        <v>7144</v>
      </c>
      <c r="I184" s="19">
        <v>0.000409679633279382</v>
      </c>
    </row>
    <row r="185" ht="22.5" customHeight="1" spans="1:9">
      <c r="A185" s="16" t="s">
        <v>483</v>
      </c>
      <c r="B185" s="16">
        <v>205</v>
      </c>
      <c r="C185" s="19">
        <v>0.000192238042329707</v>
      </c>
      <c r="D185" s="17">
        <f t="shared" si="0"/>
        <v>0.000140767505641</v>
      </c>
      <c r="E185" s="18">
        <f t="shared" si="1"/>
        <v>0.000172300037401715</v>
      </c>
      <c r="G185" s="16" t="s">
        <v>364</v>
      </c>
      <c r="H185" s="16">
        <v>7101</v>
      </c>
      <c r="I185" s="19">
        <v>0.000407213756427337</v>
      </c>
    </row>
    <row r="186" ht="22.5" customHeight="1" spans="1:9">
      <c r="A186" s="16" t="s">
        <v>454</v>
      </c>
      <c r="B186" s="16">
        <v>203</v>
      </c>
      <c r="C186" s="19">
        <v>0.000218374735099285</v>
      </c>
      <c r="D186" s="17">
        <f t="shared" si="0"/>
        <v>0.000139394164122552</v>
      </c>
      <c r="E186" s="18">
        <f t="shared" si="1"/>
        <v>0.000170619061427065</v>
      </c>
      <c r="G186" s="16" t="s">
        <v>367</v>
      </c>
      <c r="H186" s="16">
        <v>6970</v>
      </c>
      <c r="I186" s="19">
        <v>0.000399701433924593</v>
      </c>
    </row>
    <row r="187" ht="22.5" customHeight="1" spans="1:9">
      <c r="A187" s="16" t="s">
        <v>816</v>
      </c>
      <c r="B187" s="16">
        <v>201</v>
      </c>
      <c r="C187" s="19">
        <v>4.76327890678215e-5</v>
      </c>
      <c r="D187" s="17">
        <f t="shared" si="0"/>
        <v>0.000138020822604103</v>
      </c>
      <c r="E187" s="18">
        <f t="shared" si="1"/>
        <v>0.000168938085452414</v>
      </c>
      <c r="G187" s="16" t="s">
        <v>369</v>
      </c>
      <c r="H187" s="16">
        <v>6906</v>
      </c>
      <c r="I187" s="19">
        <v>0.000396031291633177</v>
      </c>
    </row>
    <row r="188" ht="22.5" customHeight="1" spans="1:9">
      <c r="A188" s="16" t="s">
        <v>739</v>
      </c>
      <c r="B188" s="16">
        <v>195</v>
      </c>
      <c r="C188" s="19">
        <v>6.36881860548476e-5</v>
      </c>
      <c r="D188" s="17">
        <f t="shared" si="0"/>
        <v>0.000133900798048756</v>
      </c>
      <c r="E188" s="18">
        <f t="shared" si="1"/>
        <v>0.000163895157528461</v>
      </c>
      <c r="G188" s="16" t="s">
        <v>373</v>
      </c>
      <c r="H188" s="16">
        <v>6575</v>
      </c>
      <c r="I188" s="19">
        <v>0.000377049774469756</v>
      </c>
    </row>
    <row r="189" ht="22.5" customHeight="1" spans="1:9">
      <c r="A189" s="16" t="s">
        <v>667</v>
      </c>
      <c r="B189" s="16">
        <v>193</v>
      </c>
      <c r="C189" s="19">
        <v>8.42774991345554e-5</v>
      </c>
      <c r="D189" s="17">
        <f t="shared" si="0"/>
        <v>0.000132527456530308</v>
      </c>
      <c r="E189" s="18">
        <f t="shared" si="1"/>
        <v>0.00016221418155381</v>
      </c>
      <c r="G189" s="16" t="s">
        <v>377</v>
      </c>
      <c r="H189" s="16">
        <v>6515</v>
      </c>
      <c r="I189" s="19">
        <v>0.000373609016071553</v>
      </c>
    </row>
    <row r="190" ht="22.5" customHeight="1" spans="1:9">
      <c r="A190" s="16" t="s">
        <v>320</v>
      </c>
      <c r="B190" s="16">
        <v>190</v>
      </c>
      <c r="C190" s="19">
        <v>0.000506305077079241</v>
      </c>
      <c r="D190" s="17">
        <f t="shared" si="0"/>
        <v>0.000130467444252634</v>
      </c>
      <c r="E190" s="18">
        <f t="shared" si="1"/>
        <v>0.000159692717591834</v>
      </c>
      <c r="G190" s="16" t="s">
        <v>380</v>
      </c>
      <c r="H190" s="16">
        <v>6440</v>
      </c>
      <c r="I190" s="19">
        <v>0.000369308068073799</v>
      </c>
    </row>
    <row r="191" ht="22.5" customHeight="1" spans="1:9">
      <c r="A191" s="16" t="s">
        <v>1111</v>
      </c>
      <c r="B191" s="16">
        <v>185</v>
      </c>
      <c r="C191" s="19">
        <v>1.2214903355578e-5</v>
      </c>
      <c r="D191" s="17">
        <f t="shared" si="0"/>
        <v>0.000127034090456512</v>
      </c>
      <c r="E191" s="18">
        <f t="shared" si="1"/>
        <v>0.000155490277655207</v>
      </c>
      <c r="G191" s="16" t="s">
        <v>370</v>
      </c>
      <c r="H191" s="16">
        <v>6423</v>
      </c>
      <c r="I191" s="19">
        <v>0.000368333186527642</v>
      </c>
    </row>
    <row r="192" ht="22.5" customHeight="1" spans="1:9">
      <c r="A192" s="16" t="s">
        <v>834</v>
      </c>
      <c r="B192" s="16">
        <v>181</v>
      </c>
      <c r="C192" s="19">
        <v>4.46990786549098e-5</v>
      </c>
      <c r="D192" s="17">
        <f t="shared" si="0"/>
        <v>0.000124287407419615</v>
      </c>
      <c r="E192" s="18">
        <f t="shared" si="1"/>
        <v>0.000152128325705905</v>
      </c>
      <c r="G192" s="16" t="s">
        <v>381</v>
      </c>
      <c r="H192" s="16">
        <v>6415</v>
      </c>
      <c r="I192" s="19">
        <v>0.000367874418741215</v>
      </c>
    </row>
    <row r="193" ht="22.5" customHeight="1" spans="1:9">
      <c r="A193" s="16" t="s">
        <v>121</v>
      </c>
      <c r="B193" s="16">
        <v>172</v>
      </c>
      <c r="C193" s="17">
        <v>0.0025194705026086</v>
      </c>
      <c r="D193" s="17">
        <f t="shared" si="0"/>
        <v>0.000118107370586595</v>
      </c>
      <c r="E193" s="18">
        <f t="shared" si="1"/>
        <v>0.000144563933819976</v>
      </c>
      <c r="G193" s="16" t="s">
        <v>383</v>
      </c>
      <c r="H193" s="16">
        <v>6336</v>
      </c>
      <c r="I193" s="19">
        <v>0.000363344086850247</v>
      </c>
    </row>
    <row r="194" ht="22.5" customHeight="1" spans="1:9">
      <c r="A194" s="16" t="s">
        <v>700</v>
      </c>
      <c r="B194" s="16">
        <v>171</v>
      </c>
      <c r="C194" s="19">
        <v>7.26493378615598e-5</v>
      </c>
      <c r="D194" s="17">
        <f t="shared" si="0"/>
        <v>0.000117420699827371</v>
      </c>
      <c r="E194" s="18">
        <f t="shared" si="1"/>
        <v>0.00014372344583265</v>
      </c>
      <c r="G194" s="16" t="s">
        <v>372</v>
      </c>
      <c r="H194" s="16">
        <v>6306</v>
      </c>
      <c r="I194" s="19">
        <v>0.000361623707651146</v>
      </c>
    </row>
    <row r="195" ht="22.5" customHeight="1" spans="1:9">
      <c r="A195" s="16" t="s">
        <v>461</v>
      </c>
      <c r="B195" s="16">
        <v>168</v>
      </c>
      <c r="C195" s="19">
        <v>0.000211120469350994</v>
      </c>
      <c r="D195" s="17">
        <f t="shared" si="0"/>
        <v>0.000115360687549698</v>
      </c>
      <c r="E195" s="18">
        <f t="shared" si="1"/>
        <v>0.000141201981870674</v>
      </c>
      <c r="G195" s="16" t="s">
        <v>354</v>
      </c>
      <c r="H195" s="16">
        <v>6127</v>
      </c>
      <c r="I195" s="19">
        <v>0.00035135877842984</v>
      </c>
    </row>
    <row r="196" ht="22.5" customHeight="1" spans="1:9">
      <c r="A196" s="16" t="s">
        <v>897</v>
      </c>
      <c r="B196" s="16">
        <v>162</v>
      </c>
      <c r="C196" s="19">
        <v>3.31242575712398e-5</v>
      </c>
      <c r="D196" s="17">
        <f t="shared" si="0"/>
        <v>0.000111240662994351</v>
      </c>
      <c r="E196" s="18">
        <f t="shared" si="1"/>
        <v>0.000136159053946721</v>
      </c>
      <c r="G196" s="16" t="s">
        <v>366</v>
      </c>
      <c r="H196" s="16">
        <v>6028</v>
      </c>
      <c r="I196" s="19">
        <v>0.000345681527072805</v>
      </c>
    </row>
    <row r="197" ht="22.5" customHeight="1" spans="1:9">
      <c r="A197" s="16" t="s">
        <v>1034</v>
      </c>
      <c r="B197" s="16">
        <v>161</v>
      </c>
      <c r="C197" s="19">
        <v>1.76022624774704e-5</v>
      </c>
      <c r="D197" s="17">
        <f t="shared" si="0"/>
        <v>0.000110553992235127</v>
      </c>
      <c r="E197" s="18">
        <f t="shared" si="1"/>
        <v>0.000135318565959396</v>
      </c>
      <c r="G197" s="16" t="s">
        <v>365</v>
      </c>
      <c r="H197" s="16">
        <v>5896</v>
      </c>
      <c r="I197" s="19">
        <v>0.000338111858596758</v>
      </c>
    </row>
    <row r="198" ht="22.5" customHeight="1" spans="1:9">
      <c r="A198" s="16" t="s">
        <v>805</v>
      </c>
      <c r="B198" s="16">
        <v>158</v>
      </c>
      <c r="C198" s="19">
        <v>4.93930153155686e-5</v>
      </c>
      <c r="D198" s="17">
        <f t="shared" si="0"/>
        <v>0.000108493979957454</v>
      </c>
      <c r="E198" s="18">
        <f t="shared" si="1"/>
        <v>0.00013279710199742</v>
      </c>
      <c r="G198" s="16" t="s">
        <v>389</v>
      </c>
      <c r="H198" s="16">
        <v>5879</v>
      </c>
      <c r="I198" s="19">
        <v>0.0003371369770506</v>
      </c>
    </row>
    <row r="199" ht="22.5" customHeight="1" spans="1:9">
      <c r="A199" s="16" t="s">
        <v>645</v>
      </c>
      <c r="B199" s="16">
        <v>155</v>
      </c>
      <c r="C199" s="19">
        <v>9.44121351064324e-5</v>
      </c>
      <c r="D199" s="17">
        <f t="shared" si="0"/>
        <v>0.000106433967679781</v>
      </c>
      <c r="E199" s="18">
        <f t="shared" si="1"/>
        <v>0.000130275638035443</v>
      </c>
      <c r="G199" s="16" t="s">
        <v>394</v>
      </c>
      <c r="H199" s="16">
        <v>5789</v>
      </c>
      <c r="I199" s="19">
        <v>0.000331975839453296</v>
      </c>
    </row>
    <row r="200" ht="22.5" customHeight="1" spans="1:9">
      <c r="A200" s="16" t="s">
        <v>277</v>
      </c>
      <c r="B200" s="16">
        <v>154</v>
      </c>
      <c r="C200" s="19">
        <v>0.000734867788339728</v>
      </c>
      <c r="D200" s="17">
        <f t="shared" si="0"/>
        <v>0.000105747296920556</v>
      </c>
      <c r="E200" s="18">
        <f t="shared" si="1"/>
        <v>0.000129435150048118</v>
      </c>
      <c r="G200" s="16" t="s">
        <v>393</v>
      </c>
      <c r="H200" s="16">
        <v>5782</v>
      </c>
      <c r="I200" s="19">
        <v>0.000331574417640172</v>
      </c>
    </row>
    <row r="201" ht="22.5" customHeight="1" spans="1:9">
      <c r="A201" s="16" t="s">
        <v>69</v>
      </c>
      <c r="B201" s="16">
        <v>151</v>
      </c>
      <c r="C201" s="17">
        <v>0.00974285228127989</v>
      </c>
      <c r="D201" s="17">
        <f t="shared" si="0"/>
        <v>0.000103687284642883</v>
      </c>
      <c r="E201" s="18">
        <f t="shared" si="1"/>
        <v>0.000126913686086142</v>
      </c>
      <c r="G201" s="16" t="s">
        <v>396</v>
      </c>
      <c r="H201" s="16">
        <v>5656</v>
      </c>
      <c r="I201" s="19">
        <v>0.000324348825003945</v>
      </c>
    </row>
    <row r="202" ht="22.5" customHeight="1" spans="1:9">
      <c r="A202" s="16" t="s">
        <v>731</v>
      </c>
      <c r="B202" s="16">
        <v>151</v>
      </c>
      <c r="C202" s="19">
        <v>6.52883917346176e-5</v>
      </c>
      <c r="D202" s="17">
        <f t="shared" si="0"/>
        <v>0.000103687284642883</v>
      </c>
      <c r="E202" s="18">
        <f t="shared" si="1"/>
        <v>0.000126913686086142</v>
      </c>
      <c r="G202" s="16" t="s">
        <v>395</v>
      </c>
      <c r="H202" s="16">
        <v>5635</v>
      </c>
      <c r="I202" s="19">
        <v>0.000323144559564574</v>
      </c>
    </row>
    <row r="203" ht="22.5" customHeight="1" spans="1:9">
      <c r="A203" s="16" t="s">
        <v>960</v>
      </c>
      <c r="B203" s="16">
        <v>150</v>
      </c>
      <c r="C203" s="19">
        <v>2.44298067111559e-5</v>
      </c>
      <c r="D203" s="17">
        <f t="shared" si="0"/>
        <v>0.000103000613883659</v>
      </c>
      <c r="E203" s="18">
        <f t="shared" si="1"/>
        <v>0.000126073198098816</v>
      </c>
      <c r="G203" s="16" t="s">
        <v>397</v>
      </c>
      <c r="H203" s="16">
        <v>5593</v>
      </c>
      <c r="I203" s="19">
        <v>0.000320736028685832</v>
      </c>
    </row>
    <row r="204" ht="22.5" customHeight="1" spans="1:9">
      <c r="A204" s="16" t="s">
        <v>750</v>
      </c>
      <c r="B204" s="16">
        <v>149</v>
      </c>
      <c r="C204" s="19">
        <v>6.04877746953075e-5</v>
      </c>
      <c r="D204" s="17">
        <f t="shared" si="0"/>
        <v>0.000102313943124434</v>
      </c>
      <c r="E204" s="18">
        <f t="shared" si="1"/>
        <v>0.000125232710111491</v>
      </c>
      <c r="G204" s="16" t="s">
        <v>398</v>
      </c>
      <c r="H204" s="16">
        <v>5565</v>
      </c>
      <c r="I204" s="19">
        <v>0.000319130341433337</v>
      </c>
    </row>
    <row r="205" ht="22.5" customHeight="1" spans="1:9">
      <c r="A205" s="16" t="s">
        <v>569</v>
      </c>
      <c r="B205" s="16">
        <v>145</v>
      </c>
      <c r="C205" s="19">
        <v>0.000139484595086622</v>
      </c>
      <c r="D205" s="17">
        <f t="shared" si="0"/>
        <v>9.95672600875368e-5</v>
      </c>
      <c r="E205" s="18">
        <f t="shared" si="1"/>
        <v>0.000121870758162189</v>
      </c>
      <c r="G205" s="16" t="s">
        <v>289</v>
      </c>
      <c r="H205" s="16">
        <v>5550</v>
      </c>
      <c r="I205" s="19">
        <v>0.000318270151833787</v>
      </c>
    </row>
    <row r="206" ht="22.5" customHeight="1" spans="1:9">
      <c r="A206" s="16" t="s">
        <v>864</v>
      </c>
      <c r="B206" s="16">
        <v>141</v>
      </c>
      <c r="C206" s="19">
        <v>3.80848951785269e-5</v>
      </c>
      <c r="D206" s="17">
        <f t="shared" si="0"/>
        <v>9.68205770506392e-5</v>
      </c>
      <c r="E206" s="18">
        <f t="shared" si="1"/>
        <v>0.000118508806212887</v>
      </c>
      <c r="G206" s="16" t="s">
        <v>357</v>
      </c>
      <c r="H206" s="16">
        <v>5493</v>
      </c>
      <c r="I206" s="19">
        <v>0.000315001431355494</v>
      </c>
    </row>
    <row r="207" ht="22.5" customHeight="1" spans="1:9">
      <c r="A207" s="16" t="s">
        <v>395</v>
      </c>
      <c r="B207" s="16">
        <v>139</v>
      </c>
      <c r="C207" s="19">
        <v>0.000307986253166407</v>
      </c>
      <c r="D207" s="17">
        <f t="shared" si="0"/>
        <v>9.54472355321904e-5</v>
      </c>
      <c r="E207" s="18">
        <f t="shared" si="1"/>
        <v>0.000116827830238236</v>
      </c>
      <c r="G207" s="16" t="s">
        <v>311</v>
      </c>
      <c r="H207" s="16">
        <v>5484</v>
      </c>
      <c r="I207" s="19">
        <v>0.000314485317595763</v>
      </c>
    </row>
    <row r="208" ht="22.5" customHeight="1" spans="1:9">
      <c r="A208" s="16" t="s">
        <v>429</v>
      </c>
      <c r="B208" s="16">
        <v>139</v>
      </c>
      <c r="C208" s="19">
        <v>0.000243604644650326</v>
      </c>
      <c r="D208" s="17">
        <f t="shared" si="0"/>
        <v>9.54472355321904e-5</v>
      </c>
      <c r="E208" s="18">
        <f t="shared" si="1"/>
        <v>0.000116827830238236</v>
      </c>
      <c r="G208" s="16" t="s">
        <v>402</v>
      </c>
      <c r="H208" s="16">
        <v>5470</v>
      </c>
      <c r="I208" s="19">
        <v>0.000313682473969516</v>
      </c>
    </row>
    <row r="209" ht="22.5" customHeight="1" spans="1:9">
      <c r="A209" s="16" t="s">
        <v>324</v>
      </c>
      <c r="B209" s="16">
        <v>134</v>
      </c>
      <c r="C209" s="19">
        <v>0.000501237759093302</v>
      </c>
      <c r="D209" s="17">
        <f t="shared" si="0"/>
        <v>9.20138817360685e-5</v>
      </c>
      <c r="E209" s="18">
        <f t="shared" si="1"/>
        <v>0.000112625390301609</v>
      </c>
      <c r="G209" s="16" t="s">
        <v>336</v>
      </c>
      <c r="H209" s="16">
        <v>5364</v>
      </c>
      <c r="I209" s="19">
        <v>0.000307603800799357</v>
      </c>
    </row>
    <row r="210" ht="22.5" customHeight="1" spans="1:9">
      <c r="A210" s="16" t="s">
        <v>471</v>
      </c>
      <c r="B210" s="16">
        <v>134</v>
      </c>
      <c r="C210" s="19">
        <v>0.000200985833379117</v>
      </c>
      <c r="D210" s="17">
        <f t="shared" si="0"/>
        <v>9.20138817360685e-5</v>
      </c>
      <c r="E210" s="18">
        <f t="shared" si="1"/>
        <v>0.000112625390301609</v>
      </c>
      <c r="G210" s="16" t="s">
        <v>404</v>
      </c>
      <c r="H210" s="16">
        <v>5303</v>
      </c>
      <c r="I210" s="19">
        <v>0.00030410569642785</v>
      </c>
    </row>
    <row r="211" ht="22.5" customHeight="1" spans="1:9">
      <c r="A211" s="16" t="s">
        <v>240</v>
      </c>
      <c r="B211" s="16">
        <v>131</v>
      </c>
      <c r="C211" s="19">
        <v>0.000958416521803603</v>
      </c>
      <c r="D211" s="17">
        <f t="shared" si="0"/>
        <v>8.99538694583953e-5</v>
      </c>
      <c r="E211" s="18">
        <f t="shared" si="1"/>
        <v>0.000110103926339633</v>
      </c>
      <c r="G211" s="16" t="s">
        <v>360</v>
      </c>
      <c r="H211" s="16">
        <v>5265</v>
      </c>
      <c r="I211" s="19">
        <v>0.000301926549442322</v>
      </c>
    </row>
    <row r="212" ht="22.5" customHeight="1" spans="1:9">
      <c r="A212" s="16" t="s">
        <v>344</v>
      </c>
      <c r="B212" s="16">
        <v>130</v>
      </c>
      <c r="C212" s="19">
        <v>0.000433282357892401</v>
      </c>
      <c r="D212" s="17">
        <f t="shared" si="0"/>
        <v>8.92671986991709e-5</v>
      </c>
      <c r="E212" s="18">
        <f t="shared" si="1"/>
        <v>0.000109263438352307</v>
      </c>
      <c r="G212" s="16" t="s">
        <v>406</v>
      </c>
      <c r="H212" s="16">
        <v>5252</v>
      </c>
      <c r="I212" s="19">
        <v>0.000301181051789378</v>
      </c>
    </row>
    <row r="213" ht="22.5" customHeight="1" spans="1:9">
      <c r="A213" s="16" t="s">
        <v>765</v>
      </c>
      <c r="B213" s="16">
        <v>125</v>
      </c>
      <c r="C213" s="19">
        <v>5.75007240930701e-5</v>
      </c>
      <c r="D213" s="17">
        <f t="shared" si="0"/>
        <v>8.58338449030489e-5</v>
      </c>
      <c r="E213" s="18">
        <f t="shared" si="1"/>
        <v>0.00010506099841568</v>
      </c>
      <c r="G213" s="16" t="s">
        <v>403</v>
      </c>
      <c r="H213" s="16">
        <v>5243</v>
      </c>
      <c r="I213" s="19">
        <v>0.000300664938029647</v>
      </c>
    </row>
    <row r="214" ht="22.5" customHeight="1" spans="1:9">
      <c r="A214" s="16" t="s">
        <v>907</v>
      </c>
      <c r="B214" s="16">
        <v>119</v>
      </c>
      <c r="C214" s="19">
        <v>3.21641341633778e-5</v>
      </c>
      <c r="D214" s="17">
        <f t="shared" si="0"/>
        <v>8.17138203477026e-5</v>
      </c>
      <c r="E214" s="18">
        <f t="shared" si="1"/>
        <v>0.000100018070491728</v>
      </c>
      <c r="G214" s="16" t="s">
        <v>405</v>
      </c>
      <c r="H214" s="16">
        <v>5193</v>
      </c>
      <c r="I214" s="19">
        <v>0.000297797639364478</v>
      </c>
    </row>
    <row r="215" ht="22.5" customHeight="1" spans="1:9">
      <c r="A215" s="16" t="s">
        <v>384</v>
      </c>
      <c r="B215" s="16">
        <v>117</v>
      </c>
      <c r="C215" s="19">
        <v>0.000138311110921457</v>
      </c>
      <c r="D215" s="17">
        <f t="shared" si="0"/>
        <v>8.03404788292538e-5</v>
      </c>
      <c r="E215" s="18">
        <f t="shared" si="1"/>
        <v>9.83370945170766e-5</v>
      </c>
      <c r="G215" s="16" t="s">
        <v>408</v>
      </c>
      <c r="H215" s="16">
        <v>5159</v>
      </c>
      <c r="I215" s="19">
        <v>0.000295847876272163</v>
      </c>
    </row>
    <row r="216" ht="22.5" customHeight="1" spans="1:9">
      <c r="A216" s="16" t="s">
        <v>827</v>
      </c>
      <c r="B216" s="16">
        <v>117</v>
      </c>
      <c r="C216" s="19">
        <v>4.56592020627718e-5</v>
      </c>
      <c r="D216" s="17">
        <f t="shared" si="0"/>
        <v>8.03404788292538e-5</v>
      </c>
      <c r="E216" s="18">
        <f t="shared" si="1"/>
        <v>9.83370945170766e-5</v>
      </c>
      <c r="G216" s="16" t="s">
        <v>348</v>
      </c>
      <c r="H216" s="16">
        <v>5151</v>
      </c>
      <c r="I216" s="19">
        <v>0.000295389108485736</v>
      </c>
    </row>
    <row r="217" ht="22.5" customHeight="1" spans="1:9">
      <c r="A217" s="16" t="s">
        <v>228</v>
      </c>
      <c r="B217" s="16">
        <v>116</v>
      </c>
      <c r="C217" s="19">
        <v>0.00109843451878348</v>
      </c>
      <c r="D217" s="17">
        <f t="shared" si="0"/>
        <v>7.96538080700294e-5</v>
      </c>
      <c r="E217" s="18">
        <f t="shared" si="1"/>
        <v>9.74966065297512e-5</v>
      </c>
      <c r="G217" s="16" t="s">
        <v>300</v>
      </c>
      <c r="H217" s="16">
        <v>5148</v>
      </c>
      <c r="I217" s="19">
        <v>0.000295217070565826</v>
      </c>
    </row>
    <row r="218" ht="22.5" customHeight="1" spans="1:9">
      <c r="A218" s="16" t="s">
        <v>629</v>
      </c>
      <c r="B218" s="16">
        <v>114</v>
      </c>
      <c r="C218" s="19">
        <v>9.69191240047387e-5</v>
      </c>
      <c r="D218" s="17">
        <f t="shared" si="0"/>
        <v>7.82804665515806e-5</v>
      </c>
      <c r="E218" s="18">
        <f t="shared" si="1"/>
        <v>9.58156305551003e-5</v>
      </c>
      <c r="G218" s="16" t="s">
        <v>410</v>
      </c>
      <c r="H218" s="16">
        <v>5123</v>
      </c>
      <c r="I218" s="19">
        <v>0.000293783421233241</v>
      </c>
    </row>
    <row r="219" ht="22.5" customHeight="1" spans="1:9">
      <c r="A219" s="16" t="s">
        <v>171</v>
      </c>
      <c r="B219" s="16">
        <v>111</v>
      </c>
      <c r="C219" s="19">
        <v>0.00163583692623959</v>
      </c>
      <c r="D219" s="17">
        <f t="shared" si="0"/>
        <v>7.62204542739075e-5</v>
      </c>
      <c r="E219" s="18">
        <f t="shared" si="1"/>
        <v>9.3294166593124e-5</v>
      </c>
      <c r="G219" s="16" t="s">
        <v>411</v>
      </c>
      <c r="H219" s="16">
        <v>5079</v>
      </c>
      <c r="I219" s="19">
        <v>0.000291260198407892</v>
      </c>
    </row>
    <row r="220" ht="22.5" customHeight="1" spans="1:9">
      <c r="A220" s="16" t="s">
        <v>837</v>
      </c>
      <c r="B220" s="16">
        <v>109</v>
      </c>
      <c r="C220" s="19">
        <v>4.41123365723274e-5</v>
      </c>
      <c r="D220" s="17">
        <f t="shared" si="0"/>
        <v>7.48471127554587e-5</v>
      </c>
      <c r="E220" s="18">
        <f t="shared" si="1"/>
        <v>9.16131906184731e-5</v>
      </c>
      <c r="G220" s="16" t="s">
        <v>400</v>
      </c>
      <c r="H220" s="16">
        <v>5055</v>
      </c>
      <c r="I220" s="19">
        <v>0.000289883895048611</v>
      </c>
    </row>
    <row r="221" ht="22.5" customHeight="1" spans="1:9">
      <c r="A221" s="16" t="s">
        <v>918</v>
      </c>
      <c r="B221" s="16">
        <v>109</v>
      </c>
      <c r="C221" s="19">
        <v>3.00838667796767e-5</v>
      </c>
      <c r="D221" s="17">
        <f t="shared" si="0"/>
        <v>7.48471127554587e-5</v>
      </c>
      <c r="E221" s="18">
        <f t="shared" si="1"/>
        <v>9.16131906184731e-5</v>
      </c>
      <c r="G221" s="16" t="s">
        <v>413</v>
      </c>
      <c r="H221" s="16">
        <v>4966</v>
      </c>
      <c r="I221" s="19">
        <v>0.00028478010342461</v>
      </c>
    </row>
    <row r="222" ht="22.5" customHeight="1" spans="1:9">
      <c r="A222" s="16" t="s">
        <v>438</v>
      </c>
      <c r="B222" s="16">
        <v>104</v>
      </c>
      <c r="C222" s="19">
        <v>0.000237310502309897</v>
      </c>
      <c r="D222" s="17">
        <f t="shared" si="0"/>
        <v>7.14137589593367e-5</v>
      </c>
      <c r="E222" s="18">
        <f t="shared" si="1"/>
        <v>8.74107506818459e-5</v>
      </c>
      <c r="G222" s="16" t="s">
        <v>412</v>
      </c>
      <c r="H222" s="16">
        <v>4928</v>
      </c>
      <c r="I222" s="19">
        <v>0.000282600956439081</v>
      </c>
    </row>
    <row r="223" ht="22.5" customHeight="1" spans="1:9">
      <c r="A223" s="16" t="s">
        <v>325</v>
      </c>
      <c r="B223" s="16">
        <v>102</v>
      </c>
      <c r="C223" s="19">
        <v>0.000500864377768022</v>
      </c>
      <c r="D223" s="17">
        <f t="shared" si="0"/>
        <v>7.00404174408879e-5</v>
      </c>
      <c r="E223" s="18">
        <f t="shared" si="1"/>
        <v>8.5729774707195e-5</v>
      </c>
      <c r="G223" s="16" t="s">
        <v>1605</v>
      </c>
      <c r="H223" s="16">
        <v>4873</v>
      </c>
      <c r="I223" s="19">
        <v>0.000279446927907395</v>
      </c>
    </row>
    <row r="224" ht="22.5" customHeight="1" spans="1:9">
      <c r="A224" s="16" t="s">
        <v>403</v>
      </c>
      <c r="B224" s="16">
        <v>95</v>
      </c>
      <c r="C224" s="19">
        <v>0.000284729930620416</v>
      </c>
      <c r="D224" s="17">
        <f t="shared" si="0"/>
        <v>6.52337221263172e-5</v>
      </c>
      <c r="E224" s="18">
        <f t="shared" si="1"/>
        <v>7.98463587959169e-5</v>
      </c>
      <c r="G224" s="16" t="s">
        <v>345</v>
      </c>
      <c r="H224" s="16">
        <v>4873</v>
      </c>
      <c r="I224" s="19">
        <v>0.000279446927907395</v>
      </c>
    </row>
    <row r="225" ht="22.5" customHeight="1" spans="1:9">
      <c r="A225" s="16" t="s">
        <v>879</v>
      </c>
      <c r="B225" s="16">
        <v>94</v>
      </c>
      <c r="C225" s="19">
        <v>3.52045249549409e-5</v>
      </c>
      <c r="D225" s="17">
        <f t="shared" si="0"/>
        <v>6.45470513670928e-5</v>
      </c>
      <c r="E225" s="18">
        <f t="shared" si="1"/>
        <v>7.90058708085915e-5</v>
      </c>
      <c r="G225" s="16" t="s">
        <v>368</v>
      </c>
      <c r="H225" s="16">
        <v>4846</v>
      </c>
      <c r="I225" s="19">
        <v>0.000277898586628204</v>
      </c>
    </row>
    <row r="226" ht="22.5" customHeight="1" spans="1:9">
      <c r="A226" s="16" t="s">
        <v>997</v>
      </c>
      <c r="B226" s="16">
        <v>94</v>
      </c>
      <c r="C226" s="19">
        <v>2.05893130797078e-5</v>
      </c>
      <c r="D226" s="17">
        <f t="shared" si="0"/>
        <v>6.45470513670928e-5</v>
      </c>
      <c r="E226" s="18">
        <f t="shared" si="1"/>
        <v>7.90058708085915e-5</v>
      </c>
      <c r="G226" s="16" t="s">
        <v>328</v>
      </c>
      <c r="H226" s="16">
        <v>4805</v>
      </c>
      <c r="I226" s="19">
        <v>0.000275547401722765</v>
      </c>
    </row>
    <row r="227" ht="22.5" customHeight="1" spans="1:9">
      <c r="A227" s="16" t="s">
        <v>612</v>
      </c>
      <c r="B227" s="16">
        <v>92</v>
      </c>
      <c r="C227" s="19">
        <v>0.000108867326413688</v>
      </c>
      <c r="D227" s="17">
        <f t="shared" si="0"/>
        <v>6.3173709848644e-5</v>
      </c>
      <c r="E227" s="18">
        <f t="shared" si="1"/>
        <v>7.73248948339406e-5</v>
      </c>
      <c r="G227" s="16" t="s">
        <v>418</v>
      </c>
      <c r="H227" s="16">
        <v>4794</v>
      </c>
      <c r="I227" s="19">
        <v>0.000274916596016428</v>
      </c>
    </row>
    <row r="228" ht="22.5" customHeight="1" spans="1:9">
      <c r="A228" s="16" t="s">
        <v>768</v>
      </c>
      <c r="B228" s="16">
        <v>91</v>
      </c>
      <c r="C228" s="19">
        <v>5.68073016318364e-5</v>
      </c>
      <c r="D228" s="17">
        <f t="shared" si="0"/>
        <v>6.24870390894196e-5</v>
      </c>
      <c r="E228" s="18">
        <f t="shared" si="1"/>
        <v>7.64844068466151e-5</v>
      </c>
      <c r="G228" s="16" t="s">
        <v>420</v>
      </c>
      <c r="H228" s="16">
        <v>4793</v>
      </c>
      <c r="I228" s="19">
        <v>0.000274859250043124</v>
      </c>
    </row>
    <row r="229" ht="22.5" customHeight="1" spans="1:9">
      <c r="A229" s="16" t="s">
        <v>821</v>
      </c>
      <c r="B229" s="16">
        <v>91</v>
      </c>
      <c r="C229" s="19">
        <v>4.62459441453542e-5</v>
      </c>
      <c r="D229" s="17">
        <f t="shared" si="0"/>
        <v>6.24870390894196e-5</v>
      </c>
      <c r="E229" s="18">
        <f t="shared" si="1"/>
        <v>7.64844068466151e-5</v>
      </c>
      <c r="G229" s="16" t="s">
        <v>424</v>
      </c>
      <c r="H229" s="16">
        <v>4732</v>
      </c>
      <c r="I229" s="19">
        <v>0.000271361145671618</v>
      </c>
    </row>
    <row r="230" ht="22.5" customHeight="1" spans="1:9">
      <c r="A230" s="16" t="s">
        <v>534</v>
      </c>
      <c r="B230" s="16">
        <v>90</v>
      </c>
      <c r="C230" s="19">
        <v>0.000155006590180391</v>
      </c>
      <c r="D230" s="17">
        <f t="shared" si="0"/>
        <v>6.18003683301953e-5</v>
      </c>
      <c r="E230" s="18">
        <f t="shared" si="1"/>
        <v>7.56439188592897e-5</v>
      </c>
      <c r="G230" s="16" t="s">
        <v>316</v>
      </c>
      <c r="H230" s="16">
        <v>4656</v>
      </c>
      <c r="I230" s="19">
        <v>0.00026700285170056</v>
      </c>
    </row>
    <row r="231" ht="22.5" customHeight="1" spans="1:9">
      <c r="A231" s="16" t="s">
        <v>1110</v>
      </c>
      <c r="B231" s="16">
        <v>90</v>
      </c>
      <c r="C231" s="19">
        <v>1.22682435449036e-5</v>
      </c>
      <c r="D231" s="17">
        <f t="shared" si="0"/>
        <v>6.18003683301953e-5</v>
      </c>
      <c r="E231" s="18">
        <f t="shared" si="1"/>
        <v>7.56439188592897e-5</v>
      </c>
      <c r="G231" s="16" t="s">
        <v>425</v>
      </c>
      <c r="H231" s="16">
        <v>4651</v>
      </c>
      <c r="I231" s="19">
        <v>0.000266716121834044</v>
      </c>
    </row>
    <row r="232" ht="22.5" customHeight="1" spans="1:9">
      <c r="A232" s="16" t="s">
        <v>1259</v>
      </c>
      <c r="B232" s="16">
        <v>87</v>
      </c>
      <c r="C232" s="19">
        <v>4.64059647133312e-6</v>
      </c>
      <c r="D232" s="17">
        <f t="shared" si="0"/>
        <v>5.97403560525221e-5</v>
      </c>
      <c r="E232" s="18">
        <f t="shared" si="1"/>
        <v>7.31224548973134e-5</v>
      </c>
      <c r="G232" s="16" t="s">
        <v>427</v>
      </c>
      <c r="H232" s="16">
        <v>4576</v>
      </c>
      <c r="I232" s="19">
        <v>0.00026241517383629</v>
      </c>
    </row>
    <row r="233" ht="22.5" customHeight="1" spans="1:9">
      <c r="A233" s="16" t="s">
        <v>560</v>
      </c>
      <c r="B233" s="16">
        <v>86</v>
      </c>
      <c r="C233" s="19">
        <v>0.000142578326067511</v>
      </c>
      <c r="D233" s="17">
        <f t="shared" si="0"/>
        <v>5.90536852932977e-5</v>
      </c>
      <c r="E233" s="18">
        <f t="shared" si="1"/>
        <v>7.22819669099879e-5</v>
      </c>
      <c r="G233" s="16" t="s">
        <v>426</v>
      </c>
      <c r="H233" s="16">
        <v>4569</v>
      </c>
      <c r="I233" s="19">
        <v>0.000262013752023166</v>
      </c>
    </row>
    <row r="234" ht="22.5" customHeight="1" spans="1:9">
      <c r="A234" s="16" t="s">
        <v>533</v>
      </c>
      <c r="B234" s="16">
        <v>84</v>
      </c>
      <c r="C234" s="19">
        <v>0.000156340094913533</v>
      </c>
      <c r="D234" s="17">
        <f t="shared" si="0"/>
        <v>5.76803437748489e-5</v>
      </c>
      <c r="E234" s="18">
        <f t="shared" si="1"/>
        <v>7.0600990935337e-5</v>
      </c>
      <c r="G234" s="16" t="s">
        <v>432</v>
      </c>
      <c r="H234" s="16">
        <v>4540</v>
      </c>
      <c r="I234" s="19">
        <v>0.000260350718797368</v>
      </c>
    </row>
    <row r="235" ht="22.5" customHeight="1" spans="1:9">
      <c r="A235" s="16" t="s">
        <v>547</v>
      </c>
      <c r="B235" s="16">
        <v>83</v>
      </c>
      <c r="C235" s="19">
        <v>0.000148819128218614</v>
      </c>
      <c r="D235" s="17">
        <f t="shared" si="0"/>
        <v>5.69936730156245e-5</v>
      </c>
      <c r="E235" s="18">
        <f t="shared" si="1"/>
        <v>6.97605029480116e-5</v>
      </c>
      <c r="G235" s="16" t="s">
        <v>376</v>
      </c>
      <c r="H235" s="16">
        <v>4517</v>
      </c>
      <c r="I235" s="19">
        <v>0.00025903176141139</v>
      </c>
    </row>
    <row r="236" ht="22.5" customHeight="1" spans="1:9">
      <c r="A236" s="16" t="s">
        <v>1163</v>
      </c>
      <c r="B236" s="16">
        <v>81</v>
      </c>
      <c r="C236" s="19">
        <v>9.44121351064323e-6</v>
      </c>
      <c r="D236" s="17">
        <f t="shared" si="0"/>
        <v>5.56203314971757e-5</v>
      </c>
      <c r="E236" s="18">
        <f t="shared" si="1"/>
        <v>6.80795269733607e-5</v>
      </c>
      <c r="G236" s="16" t="s">
        <v>431</v>
      </c>
      <c r="H236" s="16">
        <v>4497</v>
      </c>
      <c r="I236" s="19">
        <v>0.000257884841945322</v>
      </c>
    </row>
    <row r="237" ht="22.5" customHeight="1" spans="1:9">
      <c r="A237" s="16" t="s">
        <v>393</v>
      </c>
      <c r="B237" s="16">
        <v>80</v>
      </c>
      <c r="C237" s="19">
        <v>0.000312680189827066</v>
      </c>
      <c r="D237" s="17">
        <f t="shared" si="0"/>
        <v>5.49336607379513e-5</v>
      </c>
      <c r="E237" s="18">
        <f t="shared" si="1"/>
        <v>6.72390389860353e-5</v>
      </c>
      <c r="G237" s="16" t="s">
        <v>294</v>
      </c>
      <c r="H237" s="16">
        <v>4493</v>
      </c>
      <c r="I237" s="19">
        <v>0.000257655458052109</v>
      </c>
    </row>
    <row r="238" ht="22.5" customHeight="1" spans="1:9">
      <c r="A238" s="16" t="s">
        <v>543</v>
      </c>
      <c r="B238" s="16">
        <v>79</v>
      </c>
      <c r="C238" s="19">
        <v>0.000150472674087709</v>
      </c>
      <c r="D238" s="17">
        <f t="shared" si="0"/>
        <v>5.42469899787269e-5</v>
      </c>
      <c r="E238" s="18">
        <f t="shared" si="1"/>
        <v>6.63985509987098e-5</v>
      </c>
      <c r="G238" s="16" t="s">
        <v>434</v>
      </c>
      <c r="H238" s="16">
        <v>4474</v>
      </c>
      <c r="I238" s="19">
        <v>0.000256565884559344</v>
      </c>
    </row>
    <row r="239" ht="22.5" customHeight="1" spans="1:9">
      <c r="A239" s="16" t="s">
        <v>405</v>
      </c>
      <c r="B239" s="16">
        <v>77</v>
      </c>
      <c r="C239" s="19">
        <v>0.00028110279774627</v>
      </c>
      <c r="D239" s="17">
        <f t="shared" si="0"/>
        <v>5.28736484602782e-5</v>
      </c>
      <c r="E239" s="18">
        <f t="shared" si="1"/>
        <v>6.4717575024059e-5</v>
      </c>
      <c r="G239" s="16" t="s">
        <v>437</v>
      </c>
      <c r="H239" s="16">
        <v>4453</v>
      </c>
      <c r="I239" s="19">
        <v>0.000255361619119973</v>
      </c>
    </row>
    <row r="240" ht="22.5" customHeight="1" spans="1:9">
      <c r="A240" s="16" t="s">
        <v>806</v>
      </c>
      <c r="B240" s="16">
        <v>77</v>
      </c>
      <c r="C240" s="19">
        <v>4.91263143689402e-5</v>
      </c>
      <c r="D240" s="17">
        <f t="shared" si="0"/>
        <v>5.28736484602782e-5</v>
      </c>
      <c r="E240" s="18">
        <f t="shared" si="1"/>
        <v>6.4717575024059e-5</v>
      </c>
      <c r="G240" s="16" t="s">
        <v>429</v>
      </c>
      <c r="H240" s="16">
        <v>4428</v>
      </c>
      <c r="I240" s="19">
        <v>0.000253927969787389</v>
      </c>
    </row>
    <row r="241" ht="22.5" customHeight="1" spans="1:9">
      <c r="A241" s="16" t="s">
        <v>697</v>
      </c>
      <c r="B241" s="16">
        <v>75</v>
      </c>
      <c r="C241" s="19">
        <v>7.37161416480732e-5</v>
      </c>
      <c r="D241" s="17">
        <f t="shared" si="0"/>
        <v>5.15003069418294e-5</v>
      </c>
      <c r="E241" s="18">
        <f t="shared" si="1"/>
        <v>6.30365990494081e-5</v>
      </c>
      <c r="G241" s="16" t="s">
        <v>850</v>
      </c>
      <c r="H241" s="16">
        <v>4403</v>
      </c>
      <c r="I241" s="19">
        <v>0.000252494320454804</v>
      </c>
    </row>
    <row r="242" ht="22.5" customHeight="1" spans="1:9">
      <c r="A242" s="16" t="s">
        <v>762</v>
      </c>
      <c r="B242" s="16">
        <v>75</v>
      </c>
      <c r="C242" s="19">
        <v>5.82474867436294e-5</v>
      </c>
      <c r="D242" s="17">
        <f t="shared" si="0"/>
        <v>5.15003069418294e-5</v>
      </c>
      <c r="E242" s="18">
        <f t="shared" si="1"/>
        <v>6.30365990494081e-5</v>
      </c>
      <c r="G242" s="16" t="s">
        <v>386</v>
      </c>
      <c r="H242" s="16">
        <v>4369</v>
      </c>
      <c r="I242" s="19">
        <v>0.000250544557362489</v>
      </c>
    </row>
    <row r="243" ht="22.5" customHeight="1" spans="1:9">
      <c r="A243" s="16" t="s">
        <v>790</v>
      </c>
      <c r="B243" s="16">
        <v>75</v>
      </c>
      <c r="C243" s="19">
        <v>5.15266228885953e-5</v>
      </c>
      <c r="D243" s="17">
        <f t="shared" si="0"/>
        <v>5.15003069418294e-5</v>
      </c>
      <c r="E243" s="18">
        <f t="shared" si="1"/>
        <v>6.30365990494081e-5</v>
      </c>
      <c r="G243" s="16" t="s">
        <v>442</v>
      </c>
      <c r="H243" s="16">
        <v>4351</v>
      </c>
      <c r="I243" s="19">
        <v>0.000249512329843028</v>
      </c>
    </row>
    <row r="244" ht="22.5" customHeight="1" spans="1:9">
      <c r="A244" s="16" t="s">
        <v>1077</v>
      </c>
      <c r="B244" s="16">
        <v>73</v>
      </c>
      <c r="C244" s="19">
        <v>1.42418305499534e-5</v>
      </c>
      <c r="D244" s="17">
        <f t="shared" si="0"/>
        <v>5.01269654233806e-5</v>
      </c>
      <c r="E244" s="18">
        <f t="shared" si="1"/>
        <v>6.13556230747572e-5</v>
      </c>
      <c r="G244" s="16" t="s">
        <v>438</v>
      </c>
      <c r="H244" s="16">
        <v>4345</v>
      </c>
      <c r="I244" s="19">
        <v>0.000249168254003208</v>
      </c>
    </row>
    <row r="245" ht="22.5" customHeight="1" spans="1:9">
      <c r="A245" s="16" t="s">
        <v>600</v>
      </c>
      <c r="B245" s="16">
        <v>71</v>
      </c>
      <c r="C245" s="19">
        <v>0.000119535364278822</v>
      </c>
      <c r="D245" s="17">
        <f t="shared" si="0"/>
        <v>4.87536239049318e-5</v>
      </c>
      <c r="E245" s="18">
        <f t="shared" si="1"/>
        <v>5.96746471001063e-5</v>
      </c>
      <c r="G245" s="16" t="s">
        <v>441</v>
      </c>
      <c r="H245" s="16">
        <v>4312</v>
      </c>
      <c r="I245" s="19">
        <v>0.000247275836884196</v>
      </c>
    </row>
    <row r="246" ht="22.5" customHeight="1" spans="1:9">
      <c r="A246" s="16" t="s">
        <v>1193</v>
      </c>
      <c r="B246" s="16">
        <v>71</v>
      </c>
      <c r="C246" s="19">
        <v>7.68098726289619e-6</v>
      </c>
      <c r="D246" s="17">
        <f t="shared" si="0"/>
        <v>4.87536239049318e-5</v>
      </c>
      <c r="E246" s="18">
        <f t="shared" si="1"/>
        <v>5.96746471001063e-5</v>
      </c>
      <c r="G246" s="16" t="s">
        <v>445</v>
      </c>
      <c r="H246" s="16">
        <v>4303</v>
      </c>
      <c r="I246" s="19">
        <v>0.000246759723124466</v>
      </c>
    </row>
    <row r="247" ht="22.5" customHeight="1" spans="1:9">
      <c r="A247" s="16" t="s">
        <v>1206</v>
      </c>
      <c r="B247" s="16">
        <v>71</v>
      </c>
      <c r="C247" s="19">
        <v>7.04090499098818e-6</v>
      </c>
      <c r="D247" s="17">
        <f t="shared" si="0"/>
        <v>4.87536239049318e-5</v>
      </c>
      <c r="E247" s="18">
        <f t="shared" si="1"/>
        <v>5.96746471001063e-5</v>
      </c>
      <c r="G247" s="16" t="s">
        <v>448</v>
      </c>
      <c r="H247" s="16">
        <v>4253</v>
      </c>
      <c r="I247" s="19">
        <v>0.000243892424459296</v>
      </c>
    </row>
    <row r="248" ht="22.5" customHeight="1" spans="1:9">
      <c r="A248" s="16" t="s">
        <v>1442</v>
      </c>
      <c r="B248" s="16">
        <v>70</v>
      </c>
      <c r="C248" s="19">
        <v>0.000561618853409958</v>
      </c>
      <c r="D248" s="17">
        <f t="shared" si="0"/>
        <v>4.80669531457074e-5</v>
      </c>
      <c r="E248" s="18">
        <f t="shared" si="1"/>
        <v>5.88341591127809e-5</v>
      </c>
      <c r="G248" s="16" t="s">
        <v>449</v>
      </c>
      <c r="H248" s="16">
        <v>4207</v>
      </c>
      <c r="I248" s="19">
        <v>0.000241254509687341</v>
      </c>
    </row>
    <row r="249" ht="22.5" customHeight="1" spans="1:9">
      <c r="A249" s="16" t="s">
        <v>321</v>
      </c>
      <c r="B249" s="16">
        <v>70</v>
      </c>
      <c r="C249" s="19">
        <v>0.000504544850831494</v>
      </c>
      <c r="D249" s="17">
        <f t="shared" si="0"/>
        <v>4.80669531457074e-5</v>
      </c>
      <c r="E249" s="18">
        <f t="shared" si="1"/>
        <v>5.88341591127809e-5</v>
      </c>
      <c r="G249" s="16" t="s">
        <v>452</v>
      </c>
      <c r="H249" s="16">
        <v>4140</v>
      </c>
      <c r="I249" s="19">
        <v>0.000237412329476014</v>
      </c>
    </row>
    <row r="250" ht="22.5" customHeight="1" spans="1:9">
      <c r="A250" s="16" t="s">
        <v>426</v>
      </c>
      <c r="B250" s="16">
        <v>70</v>
      </c>
      <c r="C250" s="19">
        <v>0.000247445138281774</v>
      </c>
      <c r="D250" s="17">
        <f t="shared" si="0"/>
        <v>4.80669531457074e-5</v>
      </c>
      <c r="E250" s="18">
        <f t="shared" si="1"/>
        <v>5.88341591127809e-5</v>
      </c>
      <c r="G250" s="16" t="s">
        <v>387</v>
      </c>
      <c r="H250" s="16">
        <v>4129</v>
      </c>
      <c r="I250" s="19">
        <v>0.000236781523769677</v>
      </c>
    </row>
    <row r="251" ht="22.5" customHeight="1" spans="1:9">
      <c r="A251" s="16" t="s">
        <v>1010</v>
      </c>
      <c r="B251" s="16">
        <v>69</v>
      </c>
      <c r="C251" s="19">
        <v>5.41936323548787e-5</v>
      </c>
      <c r="D251" s="17">
        <f t="shared" si="0"/>
        <v>4.7380282386483e-5</v>
      </c>
      <c r="E251" s="18">
        <f t="shared" si="1"/>
        <v>5.79936711254554e-5</v>
      </c>
      <c r="G251" s="16" t="s">
        <v>433</v>
      </c>
      <c r="H251" s="16">
        <v>4121</v>
      </c>
      <c r="I251" s="19">
        <v>0.000236322755983249</v>
      </c>
    </row>
    <row r="252" ht="22.5" customHeight="1" spans="1:9">
      <c r="A252" s="16" t="s">
        <v>668</v>
      </c>
      <c r="B252" s="16">
        <v>66</v>
      </c>
      <c r="C252" s="19">
        <v>8.37440972412987e-5</v>
      </c>
      <c r="D252" s="17">
        <f t="shared" si="0"/>
        <v>4.53202701088099e-5</v>
      </c>
      <c r="E252" s="18">
        <f t="shared" si="1"/>
        <v>5.54722071634791e-5</v>
      </c>
      <c r="G252" s="16" t="s">
        <v>439</v>
      </c>
      <c r="H252" s="16">
        <v>4117</v>
      </c>
      <c r="I252" s="19">
        <v>0.000236093372090036</v>
      </c>
    </row>
    <row r="253" ht="22.5" customHeight="1" spans="1:9">
      <c r="A253" s="16" t="s">
        <v>787</v>
      </c>
      <c r="B253" s="16">
        <v>66</v>
      </c>
      <c r="C253" s="19">
        <v>5.19533444032006e-5</v>
      </c>
      <c r="D253" s="17">
        <f t="shared" si="0"/>
        <v>4.53202701088099e-5</v>
      </c>
      <c r="E253" s="18">
        <f t="shared" si="1"/>
        <v>5.54722071634791e-5</v>
      </c>
      <c r="G253" s="16" t="s">
        <v>390</v>
      </c>
      <c r="H253" s="16">
        <v>4073</v>
      </c>
      <c r="I253" s="19">
        <v>0.000233570149264687</v>
      </c>
    </row>
    <row r="254" ht="22.5" customHeight="1" spans="1:9">
      <c r="A254" s="16" t="s">
        <v>1154</v>
      </c>
      <c r="B254" s="16">
        <v>66</v>
      </c>
      <c r="C254" s="19">
        <v>9.86793502524858e-6</v>
      </c>
      <c r="D254" s="17">
        <f t="shared" si="0"/>
        <v>4.53202701088099e-5</v>
      </c>
      <c r="E254" s="18">
        <f t="shared" si="1"/>
        <v>5.54722071634791e-5</v>
      </c>
      <c r="G254" s="16" t="s">
        <v>458</v>
      </c>
      <c r="H254" s="16">
        <v>4023</v>
      </c>
      <c r="I254" s="19">
        <v>0.000230702850599518</v>
      </c>
    </row>
    <row r="255" ht="22.5" customHeight="1" spans="1:9">
      <c r="A255" s="16" t="s">
        <v>983</v>
      </c>
      <c r="B255" s="16">
        <v>65</v>
      </c>
      <c r="C255" s="19">
        <v>2.27762608420602e-5</v>
      </c>
      <c r="D255" s="17">
        <f t="shared" si="0"/>
        <v>4.46335993495855e-5</v>
      </c>
      <c r="E255" s="18">
        <f t="shared" si="1"/>
        <v>5.46317191761537e-5</v>
      </c>
      <c r="G255" s="16" t="s">
        <v>459</v>
      </c>
      <c r="H255" s="16">
        <v>4018</v>
      </c>
      <c r="I255" s="19">
        <v>0.000230416120733001</v>
      </c>
    </row>
    <row r="256" ht="22.5" customHeight="1" spans="1:9">
      <c r="A256" s="16" t="s">
        <v>1215</v>
      </c>
      <c r="B256" s="16">
        <v>65</v>
      </c>
      <c r="C256" s="19">
        <v>6.50750309773149e-6</v>
      </c>
      <c r="D256" s="17">
        <f t="shared" si="0"/>
        <v>4.46335993495855e-5</v>
      </c>
      <c r="E256" s="18">
        <f t="shared" si="1"/>
        <v>5.46317191761537e-5</v>
      </c>
      <c r="G256" s="16" t="s">
        <v>456</v>
      </c>
      <c r="H256" s="16">
        <v>4007</v>
      </c>
      <c r="I256" s="19">
        <v>0.000229785315026664</v>
      </c>
    </row>
    <row r="257" ht="22.5" customHeight="1" spans="1:9">
      <c r="A257" s="16" t="s">
        <v>685</v>
      </c>
      <c r="B257" s="16">
        <v>64</v>
      </c>
      <c r="C257" s="19">
        <v>7.65431716823336e-5</v>
      </c>
      <c r="D257" s="17">
        <f t="shared" si="0"/>
        <v>4.39469285903611e-5</v>
      </c>
      <c r="E257" s="18">
        <f t="shared" si="1"/>
        <v>5.37912311888282e-5</v>
      </c>
      <c r="G257" s="16" t="s">
        <v>460</v>
      </c>
      <c r="H257" s="16">
        <v>4000</v>
      </c>
      <c r="I257" s="19">
        <v>0.00022938389321354</v>
      </c>
    </row>
    <row r="258" ht="22.5" customHeight="1" spans="1:9">
      <c r="A258" s="16" t="s">
        <v>696</v>
      </c>
      <c r="B258" s="16">
        <v>64</v>
      </c>
      <c r="C258" s="19">
        <v>7.38228220267245e-5</v>
      </c>
      <c r="D258" s="17">
        <f t="shared" si="0"/>
        <v>4.39469285903611e-5</v>
      </c>
      <c r="E258" s="18">
        <f t="shared" si="1"/>
        <v>5.37912311888282e-5</v>
      </c>
      <c r="G258" s="16" t="s">
        <v>443</v>
      </c>
      <c r="H258" s="16">
        <v>3943</v>
      </c>
      <c r="I258" s="19">
        <v>0.000226115172735247</v>
      </c>
    </row>
    <row r="259" ht="22.5" customHeight="1" spans="1:9">
      <c r="A259" s="16" t="s">
        <v>1095</v>
      </c>
      <c r="B259" s="16">
        <v>64</v>
      </c>
      <c r="C259" s="19">
        <v>1.32283669527657e-5</v>
      </c>
      <c r="D259" s="17">
        <f t="shared" si="0"/>
        <v>4.39469285903611e-5</v>
      </c>
      <c r="E259" s="18">
        <f t="shared" si="1"/>
        <v>5.37912311888282e-5</v>
      </c>
      <c r="G259" s="16" t="s">
        <v>464</v>
      </c>
      <c r="H259" s="16">
        <v>3915</v>
      </c>
      <c r="I259" s="19">
        <v>0.000224509485482752</v>
      </c>
    </row>
    <row r="260" ht="22.5" customHeight="1" spans="1:9">
      <c r="A260" s="16" t="s">
        <v>954</v>
      </c>
      <c r="B260" s="16">
        <v>63</v>
      </c>
      <c r="C260" s="19">
        <v>2.48031880364356e-5</v>
      </c>
      <c r="D260" s="17">
        <f t="shared" si="0"/>
        <v>4.32602578311367e-5</v>
      </c>
      <c r="E260" s="18">
        <f t="shared" si="1"/>
        <v>5.29507432015028e-5</v>
      </c>
      <c r="G260" s="16" t="s">
        <v>454</v>
      </c>
      <c r="H260" s="16">
        <v>3891</v>
      </c>
      <c r="I260" s="19">
        <v>0.000223133182123471</v>
      </c>
    </row>
    <row r="261" ht="22.5" customHeight="1" spans="1:9">
      <c r="A261" s="16" t="s">
        <v>912</v>
      </c>
      <c r="B261" s="16">
        <v>62</v>
      </c>
      <c r="C261" s="19">
        <v>3.14173715128184e-5</v>
      </c>
      <c r="D261" s="17">
        <f t="shared" si="0"/>
        <v>4.25735870719123e-5</v>
      </c>
      <c r="E261" s="18">
        <f t="shared" si="1"/>
        <v>5.21102552141774e-5</v>
      </c>
      <c r="G261" s="16" t="s">
        <v>455</v>
      </c>
      <c r="H261" s="16">
        <v>3822</v>
      </c>
      <c r="I261" s="19">
        <v>0.000219176309965537</v>
      </c>
    </row>
    <row r="262" ht="22.5" customHeight="1" spans="1:9">
      <c r="A262" s="16" t="s">
        <v>898</v>
      </c>
      <c r="B262" s="16">
        <v>61</v>
      </c>
      <c r="C262" s="19">
        <v>3.30175771925885e-5</v>
      </c>
      <c r="D262" s="17">
        <f t="shared" si="0"/>
        <v>4.18869163126879e-5</v>
      </c>
      <c r="E262" s="18">
        <f t="shared" si="1"/>
        <v>5.12697672268519e-5</v>
      </c>
      <c r="G262" s="16" t="s">
        <v>469</v>
      </c>
      <c r="H262" s="16">
        <v>3798</v>
      </c>
      <c r="I262" s="19">
        <v>0.000217800006606256</v>
      </c>
    </row>
    <row r="263" ht="22.5" customHeight="1" spans="1:9">
      <c r="A263" s="16" t="s">
        <v>943</v>
      </c>
      <c r="B263" s="16">
        <v>60</v>
      </c>
      <c r="C263" s="19">
        <v>2.62433731482287e-5</v>
      </c>
      <c r="D263" s="17">
        <f t="shared" si="0"/>
        <v>4.12002455534635e-5</v>
      </c>
      <c r="E263" s="18">
        <f t="shared" si="1"/>
        <v>5.04292792395265e-5</v>
      </c>
      <c r="G263" s="16" t="s">
        <v>461</v>
      </c>
      <c r="H263" s="16">
        <v>3790</v>
      </c>
      <c r="I263" s="19">
        <v>0.000217341238819829</v>
      </c>
    </row>
    <row r="264" ht="22.5" customHeight="1" spans="1:9">
      <c r="A264" s="16" t="s">
        <v>1049</v>
      </c>
      <c r="B264" s="16">
        <v>60</v>
      </c>
      <c r="C264" s="19">
        <v>1.61087371763517e-5</v>
      </c>
      <c r="D264" s="17">
        <f t="shared" si="0"/>
        <v>4.12002455534635e-5</v>
      </c>
      <c r="E264" s="18">
        <f t="shared" si="1"/>
        <v>5.04292792395265e-5</v>
      </c>
      <c r="G264" s="16" t="s">
        <v>1455</v>
      </c>
      <c r="H264" s="16">
        <v>3789</v>
      </c>
      <c r="I264" s="19">
        <v>0.000217283892846526</v>
      </c>
    </row>
    <row r="265" ht="22.5" customHeight="1" spans="1:9">
      <c r="A265" s="16" t="s">
        <v>1279</v>
      </c>
      <c r="B265" s="16">
        <v>60</v>
      </c>
      <c r="C265" s="19">
        <v>4.05385438875077e-6</v>
      </c>
      <c r="D265" s="17">
        <f t="shared" si="0"/>
        <v>4.12002455534635e-5</v>
      </c>
      <c r="E265" s="18">
        <f t="shared" si="1"/>
        <v>5.04292792395265e-5</v>
      </c>
      <c r="G265" s="16" t="s">
        <v>470</v>
      </c>
      <c r="H265" s="16">
        <v>3770</v>
      </c>
      <c r="I265" s="19">
        <v>0.000216194319353761</v>
      </c>
    </row>
    <row r="266" ht="22.5" customHeight="1" spans="1:9">
      <c r="A266" s="16" t="s">
        <v>917</v>
      </c>
      <c r="B266" s="16">
        <v>59</v>
      </c>
      <c r="C266" s="19">
        <v>3.01905471583281e-5</v>
      </c>
      <c r="D266" s="17">
        <f t="shared" si="0"/>
        <v>4.05135747942391e-5</v>
      </c>
      <c r="E266" s="18">
        <f t="shared" si="1"/>
        <v>4.9588791252201e-5</v>
      </c>
      <c r="G266" s="16" t="s">
        <v>473</v>
      </c>
      <c r="H266" s="16">
        <v>3753</v>
      </c>
      <c r="I266" s="19">
        <v>0.000215219437807604</v>
      </c>
    </row>
    <row r="267" ht="22.5" customHeight="1" spans="1:9">
      <c r="A267" s="16" t="s">
        <v>196</v>
      </c>
      <c r="B267" s="16">
        <v>58</v>
      </c>
      <c r="C267" s="19">
        <v>0.00141692878924704</v>
      </c>
      <c r="D267" s="17">
        <f t="shared" si="0"/>
        <v>3.98269040350147e-5</v>
      </c>
      <c r="E267" s="18">
        <f t="shared" si="1"/>
        <v>4.87483032648756e-5</v>
      </c>
      <c r="G267" s="16" t="s">
        <v>447</v>
      </c>
      <c r="H267" s="16">
        <v>3730</v>
      </c>
      <c r="I267" s="19">
        <v>0.000213900480421626</v>
      </c>
    </row>
    <row r="268" ht="22.5" customHeight="1" spans="1:9">
      <c r="A268" s="16" t="s">
        <v>431</v>
      </c>
      <c r="B268" s="16">
        <v>58</v>
      </c>
      <c r="C268" s="19">
        <v>0.000242964562378418</v>
      </c>
      <c r="D268" s="17">
        <f t="shared" si="0"/>
        <v>3.98269040350147e-5</v>
      </c>
      <c r="E268" s="18">
        <f t="shared" si="1"/>
        <v>4.87483032648756e-5</v>
      </c>
      <c r="G268" s="16" t="s">
        <v>415</v>
      </c>
      <c r="H268" s="16">
        <v>3726</v>
      </c>
      <c r="I268" s="19">
        <v>0.000213671096528412</v>
      </c>
    </row>
    <row r="269" ht="22.5" customHeight="1" spans="1:9">
      <c r="A269" s="16" t="s">
        <v>976</v>
      </c>
      <c r="B269" s="16">
        <v>58</v>
      </c>
      <c r="C269" s="19">
        <v>2.32563225459912e-5</v>
      </c>
      <c r="D269" s="17">
        <f t="shared" si="0"/>
        <v>3.98269040350147e-5</v>
      </c>
      <c r="E269" s="18">
        <f t="shared" si="1"/>
        <v>4.87483032648756e-5</v>
      </c>
      <c r="G269" s="16" t="s">
        <v>476</v>
      </c>
      <c r="H269" s="16">
        <v>3694</v>
      </c>
      <c r="I269" s="19">
        <v>0.000211836025382704</v>
      </c>
    </row>
    <row r="270" ht="22.5" customHeight="1" spans="1:9">
      <c r="A270" s="16" t="s">
        <v>307</v>
      </c>
      <c r="B270" s="16">
        <v>57</v>
      </c>
      <c r="C270" s="19">
        <v>0.000525987606940412</v>
      </c>
      <c r="D270" s="17">
        <f t="shared" si="0"/>
        <v>3.91402332757903e-5</v>
      </c>
      <c r="E270" s="18">
        <f t="shared" si="1"/>
        <v>4.79078152775501e-5</v>
      </c>
      <c r="G270" s="16" t="s">
        <v>478</v>
      </c>
      <c r="H270" s="16">
        <v>3656</v>
      </c>
      <c r="I270" s="19">
        <v>0.000209656878397175</v>
      </c>
    </row>
    <row r="271" ht="22.5" customHeight="1" spans="1:9">
      <c r="A271" s="16" t="s">
        <v>817</v>
      </c>
      <c r="B271" s="16">
        <v>57</v>
      </c>
      <c r="C271" s="19">
        <v>4.75794488784958e-5</v>
      </c>
      <c r="D271" s="17">
        <f t="shared" si="0"/>
        <v>3.91402332757903e-5</v>
      </c>
      <c r="E271" s="18">
        <f t="shared" si="1"/>
        <v>4.79078152775501e-5</v>
      </c>
      <c r="G271" s="16" t="s">
        <v>479</v>
      </c>
      <c r="H271" s="16">
        <v>3655</v>
      </c>
      <c r="I271" s="19">
        <v>0.000209599532423872</v>
      </c>
    </row>
    <row r="272" ht="22.5" customHeight="1" spans="1:9">
      <c r="A272" s="16" t="s">
        <v>369</v>
      </c>
      <c r="B272" s="16">
        <v>55</v>
      </c>
      <c r="C272" s="19">
        <v>0.000371301057895975</v>
      </c>
      <c r="D272" s="17">
        <f t="shared" si="0"/>
        <v>3.77668917573415e-5</v>
      </c>
      <c r="E272" s="18">
        <f t="shared" si="1"/>
        <v>4.62268393028993e-5</v>
      </c>
      <c r="G272" s="16" t="s">
        <v>480</v>
      </c>
      <c r="H272" s="16">
        <v>3646</v>
      </c>
      <c r="I272" s="19">
        <v>0.000209083418664142</v>
      </c>
    </row>
    <row r="273" ht="22.5" customHeight="1" spans="1:9">
      <c r="A273" s="16" t="s">
        <v>1047</v>
      </c>
      <c r="B273" s="16">
        <v>55</v>
      </c>
      <c r="C273" s="19">
        <v>1.61620773656774e-5</v>
      </c>
      <c r="D273" s="17">
        <f t="shared" si="0"/>
        <v>3.77668917573415e-5</v>
      </c>
      <c r="E273" s="18">
        <f t="shared" si="1"/>
        <v>4.62268393028993e-5</v>
      </c>
      <c r="G273" s="16" t="s">
        <v>471</v>
      </c>
      <c r="H273" s="16">
        <v>3634</v>
      </c>
      <c r="I273" s="19">
        <v>0.000208395266984501</v>
      </c>
    </row>
    <row r="274" ht="22.5" customHeight="1" spans="1:9">
      <c r="A274" s="16" t="s">
        <v>928</v>
      </c>
      <c r="B274" s="16">
        <v>54</v>
      </c>
      <c r="C274" s="19">
        <v>2.91770835611404e-5</v>
      </c>
      <c r="D274" s="17">
        <f t="shared" si="0"/>
        <v>3.70802209981171e-5</v>
      </c>
      <c r="E274" s="18">
        <f t="shared" si="1"/>
        <v>4.53863513155738e-5</v>
      </c>
      <c r="G274" s="16" t="s">
        <v>484</v>
      </c>
      <c r="H274" s="16">
        <v>3579</v>
      </c>
      <c r="I274" s="19">
        <v>0.000205241238452815</v>
      </c>
    </row>
    <row r="275" ht="22.5" customHeight="1" spans="1:9">
      <c r="A275" s="16" t="s">
        <v>1243</v>
      </c>
      <c r="B275" s="16">
        <v>54</v>
      </c>
      <c r="C275" s="19">
        <v>5.70740025784647e-6</v>
      </c>
      <c r="D275" s="17">
        <f t="shared" si="0"/>
        <v>3.70802209981171e-5</v>
      </c>
      <c r="E275" s="18">
        <f t="shared" si="1"/>
        <v>4.53863513155738e-5</v>
      </c>
      <c r="G275" s="16" t="s">
        <v>330</v>
      </c>
      <c r="H275" s="16">
        <v>3565</v>
      </c>
      <c r="I275" s="19">
        <v>0.000204438394826567</v>
      </c>
    </row>
    <row r="276" ht="22.5" customHeight="1" spans="1:9">
      <c r="A276" s="16" t="s">
        <v>299</v>
      </c>
      <c r="B276" s="16">
        <v>53</v>
      </c>
      <c r="C276" s="19">
        <v>0.000548657187403821</v>
      </c>
      <c r="D276" s="17">
        <f t="shared" si="0"/>
        <v>3.63935502388928e-5</v>
      </c>
      <c r="E276" s="18">
        <f t="shared" si="1"/>
        <v>4.45458633282484e-5</v>
      </c>
      <c r="G276" s="16" t="s">
        <v>485</v>
      </c>
      <c r="H276" s="16">
        <v>3565</v>
      </c>
      <c r="I276" s="19">
        <v>0.000204438394826567</v>
      </c>
    </row>
    <row r="277" ht="22.5" customHeight="1" spans="1:9">
      <c r="A277" s="16" t="s">
        <v>487</v>
      </c>
      <c r="B277" s="16">
        <v>53</v>
      </c>
      <c r="C277" s="19">
        <v>0.000189784393620727</v>
      </c>
      <c r="D277" s="17">
        <f t="shared" si="0"/>
        <v>3.63935502388928e-5</v>
      </c>
      <c r="E277" s="18">
        <f t="shared" si="1"/>
        <v>4.45458633282484e-5</v>
      </c>
      <c r="G277" s="16" t="s">
        <v>488</v>
      </c>
      <c r="H277" s="16">
        <v>3552</v>
      </c>
      <c r="I277" s="19">
        <v>0.000203692897173623</v>
      </c>
    </row>
    <row r="278" ht="22.5" customHeight="1" spans="1:9">
      <c r="A278" s="16" t="s">
        <v>799</v>
      </c>
      <c r="B278" s="16">
        <v>53</v>
      </c>
      <c r="C278" s="19">
        <v>5.04064789127563e-5</v>
      </c>
      <c r="D278" s="17">
        <f t="shared" si="0"/>
        <v>3.63935502388928e-5</v>
      </c>
      <c r="E278" s="18">
        <f t="shared" si="1"/>
        <v>4.45458633282484e-5</v>
      </c>
      <c r="G278" s="16" t="s">
        <v>465</v>
      </c>
      <c r="H278" s="16">
        <v>3550</v>
      </c>
      <c r="I278" s="19">
        <v>0.000203578205227017</v>
      </c>
    </row>
    <row r="279" ht="22.5" customHeight="1" spans="1:9">
      <c r="A279" s="16" t="s">
        <v>562</v>
      </c>
      <c r="B279" s="16">
        <v>51</v>
      </c>
      <c r="C279" s="19">
        <v>0.000141458182091672</v>
      </c>
      <c r="D279" s="17">
        <f t="shared" si="0"/>
        <v>3.5020208720444e-5</v>
      </c>
      <c r="E279" s="18">
        <f t="shared" si="1"/>
        <v>4.28648873535975e-5</v>
      </c>
      <c r="G279" s="16" t="s">
        <v>489</v>
      </c>
      <c r="H279" s="16">
        <v>3545</v>
      </c>
      <c r="I279" s="19">
        <v>0.0002032914753605</v>
      </c>
    </row>
    <row r="280" ht="22.5" customHeight="1" spans="1:9">
      <c r="A280" s="16" t="s">
        <v>989</v>
      </c>
      <c r="B280" s="16">
        <v>51</v>
      </c>
      <c r="C280" s="19">
        <v>2.23495393274549e-5</v>
      </c>
      <c r="D280" s="17">
        <f t="shared" si="0"/>
        <v>3.5020208720444e-5</v>
      </c>
      <c r="E280" s="18">
        <f t="shared" si="1"/>
        <v>4.28648873535975e-5</v>
      </c>
      <c r="G280" s="16" t="s">
        <v>490</v>
      </c>
      <c r="H280" s="16">
        <v>3526</v>
      </c>
      <c r="I280" s="19">
        <v>0.000202201901867735</v>
      </c>
    </row>
    <row r="281" ht="22.5" customHeight="1" spans="1:9">
      <c r="A281" s="16" t="s">
        <v>833</v>
      </c>
      <c r="B281" s="16">
        <v>50</v>
      </c>
      <c r="C281" s="19">
        <v>4.49657796015381e-5</v>
      </c>
      <c r="D281" s="17">
        <f t="shared" si="0"/>
        <v>3.43335379612196e-5</v>
      </c>
      <c r="E281" s="18">
        <f t="shared" si="1"/>
        <v>4.20243993662721e-5</v>
      </c>
      <c r="G281" s="16" t="s">
        <v>491</v>
      </c>
      <c r="H281" s="16">
        <v>3511</v>
      </c>
      <c r="I281" s="19">
        <v>0.000201341712268185</v>
      </c>
    </row>
    <row r="282" ht="22.5" customHeight="1" spans="1:9">
      <c r="A282" s="16" t="s">
        <v>1100</v>
      </c>
      <c r="B282" s="16">
        <v>50</v>
      </c>
      <c r="C282" s="19">
        <v>1.28016454381603e-5</v>
      </c>
      <c r="D282" s="17">
        <f t="shared" si="0"/>
        <v>3.43335379612196e-5</v>
      </c>
      <c r="E282" s="18">
        <f t="shared" si="1"/>
        <v>4.20243993662721e-5</v>
      </c>
      <c r="G282" s="16" t="s">
        <v>487</v>
      </c>
      <c r="H282" s="16">
        <v>3505</v>
      </c>
      <c r="I282" s="19">
        <v>0.000200997636428364</v>
      </c>
    </row>
    <row r="283" ht="22.5" customHeight="1" spans="1:9">
      <c r="A283" s="16" t="s">
        <v>1080</v>
      </c>
      <c r="B283" s="16">
        <v>49</v>
      </c>
      <c r="C283" s="19">
        <v>1.40818099819764e-5</v>
      </c>
      <c r="D283" s="17">
        <f t="shared" si="0"/>
        <v>3.36468672019952e-5</v>
      </c>
      <c r="E283" s="18">
        <f t="shared" si="1"/>
        <v>4.11839113789466e-5</v>
      </c>
      <c r="G283" s="16" t="s">
        <v>492</v>
      </c>
      <c r="H283" s="16">
        <v>3487</v>
      </c>
      <c r="I283" s="19">
        <v>0.000199965408908903</v>
      </c>
    </row>
    <row r="284" ht="22.5" customHeight="1" spans="1:9">
      <c r="A284" s="16" t="s">
        <v>608</v>
      </c>
      <c r="B284" s="16">
        <v>47</v>
      </c>
      <c r="C284" s="19">
        <v>0.000112761160234462</v>
      </c>
      <c r="D284" s="17">
        <f t="shared" si="0"/>
        <v>3.22735256835464e-5</v>
      </c>
      <c r="E284" s="18">
        <f t="shared" si="1"/>
        <v>3.95029354042957e-5</v>
      </c>
      <c r="G284" s="16" t="s">
        <v>493</v>
      </c>
      <c r="H284" s="16">
        <v>3475</v>
      </c>
      <c r="I284" s="19">
        <v>0.000199277257229263</v>
      </c>
    </row>
    <row r="285" ht="22.5" customHeight="1" spans="1:9">
      <c r="A285" s="16" t="s">
        <v>888</v>
      </c>
      <c r="B285" s="16">
        <v>47</v>
      </c>
      <c r="C285" s="19">
        <v>3.37643398431478e-5</v>
      </c>
      <c r="D285" s="17">
        <f t="shared" si="0"/>
        <v>3.22735256835464e-5</v>
      </c>
      <c r="E285" s="18">
        <f t="shared" si="1"/>
        <v>3.95029354042957e-5</v>
      </c>
      <c r="G285" s="16" t="s">
        <v>495</v>
      </c>
      <c r="H285" s="16">
        <v>3470</v>
      </c>
      <c r="I285" s="19">
        <v>0.000198990527362746</v>
      </c>
    </row>
    <row r="286" ht="22.5" customHeight="1" spans="1:9">
      <c r="A286" s="16" t="s">
        <v>653</v>
      </c>
      <c r="B286" s="16">
        <v>46</v>
      </c>
      <c r="C286" s="19">
        <v>9.23318677227313e-5</v>
      </c>
      <c r="D286" s="17">
        <f t="shared" si="0"/>
        <v>3.1586854924322e-5</v>
      </c>
      <c r="E286" s="18">
        <f t="shared" si="1"/>
        <v>3.86624474169703e-5</v>
      </c>
      <c r="G286" s="16" t="s">
        <v>483</v>
      </c>
      <c r="H286" s="16">
        <v>3399</v>
      </c>
      <c r="I286" s="19">
        <v>0.000194918963258206</v>
      </c>
    </row>
    <row r="287" ht="22.5" customHeight="1" spans="1:9">
      <c r="A287" s="16" t="s">
        <v>915</v>
      </c>
      <c r="B287" s="16">
        <v>46</v>
      </c>
      <c r="C287" s="19">
        <v>3.05639284836078e-5</v>
      </c>
      <c r="D287" s="17">
        <f t="shared" si="0"/>
        <v>3.1586854924322e-5</v>
      </c>
      <c r="E287" s="18">
        <f t="shared" si="1"/>
        <v>3.86624474169703e-5</v>
      </c>
      <c r="G287" s="16" t="s">
        <v>497</v>
      </c>
      <c r="H287" s="16">
        <v>3384</v>
      </c>
      <c r="I287" s="19">
        <v>0.000194058773658655</v>
      </c>
    </row>
    <row r="288" ht="22.5" customHeight="1" spans="1:9">
      <c r="A288" s="16" t="s">
        <v>502</v>
      </c>
      <c r="B288" s="16">
        <v>44</v>
      </c>
      <c r="C288" s="19">
        <v>0.000176769387425264</v>
      </c>
      <c r="D288" s="17">
        <f t="shared" si="0"/>
        <v>3.02135134058732e-5</v>
      </c>
      <c r="E288" s="18">
        <f t="shared" si="1"/>
        <v>3.69814714423194e-5</v>
      </c>
      <c r="G288" s="16" t="s">
        <v>498</v>
      </c>
      <c r="H288" s="16">
        <v>3356</v>
      </c>
      <c r="I288" s="19">
        <v>0.00019245308640616</v>
      </c>
    </row>
    <row r="289" ht="22.5" customHeight="1" spans="1:9">
      <c r="A289" s="16" t="s">
        <v>1133</v>
      </c>
      <c r="B289" s="16">
        <v>44</v>
      </c>
      <c r="C289" s="19">
        <v>1.08280584331106e-5</v>
      </c>
      <c r="D289" s="17">
        <f t="shared" si="0"/>
        <v>3.02135134058732e-5</v>
      </c>
      <c r="E289" s="18">
        <f t="shared" si="1"/>
        <v>3.69814714423194e-5</v>
      </c>
      <c r="G289" s="16" t="s">
        <v>499</v>
      </c>
      <c r="H289" s="16">
        <v>3353</v>
      </c>
      <c r="I289" s="19">
        <v>0.00019228104848625</v>
      </c>
    </row>
    <row r="290" ht="22.5" customHeight="1" spans="1:9">
      <c r="A290" s="16" t="s">
        <v>576</v>
      </c>
      <c r="B290" s="16">
        <v>43</v>
      </c>
      <c r="C290" s="19">
        <v>0.00013372385463945</v>
      </c>
      <c r="D290" s="17">
        <f t="shared" si="0"/>
        <v>2.95268426466488e-5</v>
      </c>
      <c r="E290" s="18">
        <f t="shared" si="1"/>
        <v>3.6140983454994e-5</v>
      </c>
      <c r="G290" s="16" t="s">
        <v>500</v>
      </c>
      <c r="H290" s="16">
        <v>3337</v>
      </c>
      <c r="I290" s="19">
        <v>0.000191363512913396</v>
      </c>
    </row>
    <row r="291" ht="22.5" customHeight="1" spans="1:9">
      <c r="A291" s="16" t="s">
        <v>1009</v>
      </c>
      <c r="B291" s="16">
        <v>43</v>
      </c>
      <c r="C291" s="19">
        <v>1.93091485358918e-5</v>
      </c>
      <c r="D291" s="17">
        <f t="shared" si="0"/>
        <v>2.95268426466488e-5</v>
      </c>
      <c r="E291" s="18">
        <f t="shared" si="1"/>
        <v>3.6140983454994e-5</v>
      </c>
      <c r="G291" s="16" t="s">
        <v>501</v>
      </c>
      <c r="H291" s="16">
        <v>3337</v>
      </c>
      <c r="I291" s="19">
        <v>0.000191363512913396</v>
      </c>
    </row>
    <row r="292" ht="22.5" customHeight="1" spans="1:9">
      <c r="A292" s="16" t="s">
        <v>1065</v>
      </c>
      <c r="B292" s="16">
        <v>43</v>
      </c>
      <c r="C292" s="19">
        <v>1.49885932005127e-5</v>
      </c>
      <c r="D292" s="17">
        <f t="shared" si="0"/>
        <v>2.95268426466488e-5</v>
      </c>
      <c r="E292" s="18">
        <f t="shared" si="1"/>
        <v>3.6140983454994e-5</v>
      </c>
      <c r="G292" s="16" t="s">
        <v>505</v>
      </c>
      <c r="H292" s="16">
        <v>3282</v>
      </c>
      <c r="I292" s="19">
        <v>0.000188209484381709</v>
      </c>
    </row>
    <row r="293" ht="22.5" customHeight="1" spans="1:9">
      <c r="A293" s="16" t="s">
        <v>524</v>
      </c>
      <c r="B293" s="16">
        <v>42</v>
      </c>
      <c r="C293" s="19">
        <v>0.000160287268923632</v>
      </c>
      <c r="D293" s="17">
        <f t="shared" si="0"/>
        <v>2.88401718874244e-5</v>
      </c>
      <c r="E293" s="18">
        <f t="shared" si="1"/>
        <v>3.53004954676685e-5</v>
      </c>
      <c r="G293" s="16" t="s">
        <v>502</v>
      </c>
      <c r="H293" s="16">
        <v>3270</v>
      </c>
      <c r="I293" s="19">
        <v>0.000187521332702069</v>
      </c>
    </row>
    <row r="294" ht="22.5" customHeight="1" spans="1:9">
      <c r="A294" s="16" t="s">
        <v>881</v>
      </c>
      <c r="B294" s="16">
        <v>42</v>
      </c>
      <c r="C294" s="19">
        <v>3.49911641976382e-5</v>
      </c>
      <c r="D294" s="17">
        <f t="shared" si="0"/>
        <v>2.88401718874244e-5</v>
      </c>
      <c r="E294" s="18">
        <f t="shared" si="1"/>
        <v>3.53004954676685e-5</v>
      </c>
      <c r="G294" s="16" t="s">
        <v>414</v>
      </c>
      <c r="H294" s="16">
        <v>3267</v>
      </c>
      <c r="I294" s="19">
        <v>0.000187349294782159</v>
      </c>
    </row>
    <row r="295" ht="22.5" customHeight="1" spans="1:9">
      <c r="A295" s="16" t="s">
        <v>883</v>
      </c>
      <c r="B295" s="16">
        <v>42</v>
      </c>
      <c r="C295" s="19">
        <v>3.49378240083125e-5</v>
      </c>
      <c r="D295" s="17">
        <f t="shared" si="0"/>
        <v>2.88401718874244e-5</v>
      </c>
      <c r="E295" s="18">
        <f t="shared" si="1"/>
        <v>3.53004954676685e-5</v>
      </c>
      <c r="G295" s="16" t="s">
        <v>494</v>
      </c>
      <c r="H295" s="16">
        <v>3251</v>
      </c>
      <c r="I295" s="19">
        <v>0.000186431759209305</v>
      </c>
    </row>
    <row r="296" ht="22.5" customHeight="1" spans="1:9">
      <c r="A296" s="16" t="s">
        <v>297</v>
      </c>
      <c r="B296" s="16">
        <v>41</v>
      </c>
      <c r="C296" s="19">
        <v>0.000548763867782472</v>
      </c>
      <c r="D296" s="17">
        <f t="shared" si="0"/>
        <v>2.81535011282001e-5</v>
      </c>
      <c r="E296" s="18">
        <f t="shared" si="1"/>
        <v>3.44600074803431e-5</v>
      </c>
      <c r="G296" s="16" t="s">
        <v>506</v>
      </c>
      <c r="H296" s="16">
        <v>3246</v>
      </c>
      <c r="I296" s="19">
        <v>0.000186145029342788</v>
      </c>
    </row>
    <row r="297" ht="22.5" customHeight="1" spans="1:9">
      <c r="A297" s="16" t="s">
        <v>412</v>
      </c>
      <c r="B297" s="16">
        <v>41</v>
      </c>
      <c r="C297" s="19">
        <v>0.000265047400759244</v>
      </c>
      <c r="D297" s="17">
        <f t="shared" si="0"/>
        <v>2.81535011282001e-5</v>
      </c>
      <c r="E297" s="18">
        <f t="shared" si="1"/>
        <v>3.44600074803431e-5</v>
      </c>
      <c r="G297" s="16" t="s">
        <v>512</v>
      </c>
      <c r="H297" s="16">
        <v>3170</v>
      </c>
      <c r="I297" s="19">
        <v>0.00018178673537173</v>
      </c>
    </row>
    <row r="298" ht="22.5" customHeight="1" spans="1:9">
      <c r="A298" s="16" t="s">
        <v>1066</v>
      </c>
      <c r="B298" s="16">
        <v>41</v>
      </c>
      <c r="C298" s="19">
        <v>1.49885932005127e-5</v>
      </c>
      <c r="D298" s="17">
        <f t="shared" si="0"/>
        <v>2.81535011282001e-5</v>
      </c>
      <c r="E298" s="18">
        <f t="shared" si="1"/>
        <v>3.44600074803431e-5</v>
      </c>
      <c r="G298" s="16" t="s">
        <v>515</v>
      </c>
      <c r="H298" s="16">
        <v>3145</v>
      </c>
      <c r="I298" s="19">
        <v>0.000180353086039146</v>
      </c>
    </row>
    <row r="299" ht="22.5" customHeight="1" spans="1:9">
      <c r="A299" s="16" t="s">
        <v>1244</v>
      </c>
      <c r="B299" s="16">
        <v>41</v>
      </c>
      <c r="C299" s="19">
        <v>5.70740025784647e-6</v>
      </c>
      <c r="D299" s="17">
        <f t="shared" si="0"/>
        <v>2.81535011282001e-5</v>
      </c>
      <c r="E299" s="18">
        <f t="shared" si="1"/>
        <v>3.44600074803431e-5</v>
      </c>
      <c r="G299" s="16" t="s">
        <v>516</v>
      </c>
      <c r="H299" s="16">
        <v>3128</v>
      </c>
      <c r="I299" s="19">
        <v>0.000179378204492988</v>
      </c>
    </row>
    <row r="300" ht="22.5" customHeight="1" spans="1:9">
      <c r="A300" s="16" t="s">
        <v>949</v>
      </c>
      <c r="B300" s="16">
        <v>40</v>
      </c>
      <c r="C300" s="19">
        <v>2.51765693617153e-5</v>
      </c>
      <c r="D300" s="17">
        <f t="shared" si="0"/>
        <v>2.74668303689757e-5</v>
      </c>
      <c r="E300" s="18">
        <f t="shared" si="1"/>
        <v>3.36195194930176e-5</v>
      </c>
      <c r="G300" s="16" t="s">
        <v>517</v>
      </c>
      <c r="H300" s="16">
        <v>3077</v>
      </c>
      <c r="I300" s="19">
        <v>0.000176453559854516</v>
      </c>
    </row>
    <row r="301" ht="22.5" customHeight="1" spans="1:9">
      <c r="A301" s="16" t="s">
        <v>951</v>
      </c>
      <c r="B301" s="16">
        <v>40</v>
      </c>
      <c r="C301" s="19">
        <v>2.51232291723896e-5</v>
      </c>
      <c r="D301" s="17">
        <f t="shared" si="0"/>
        <v>2.74668303689757e-5</v>
      </c>
      <c r="E301" s="18">
        <f t="shared" si="1"/>
        <v>3.36195194930176e-5</v>
      </c>
      <c r="G301" s="16" t="s">
        <v>519</v>
      </c>
      <c r="H301" s="16">
        <v>3048</v>
      </c>
      <c r="I301" s="19">
        <v>0.000174790526628717</v>
      </c>
    </row>
    <row r="302" ht="22.5" customHeight="1" spans="1:9">
      <c r="A302" s="16" t="s">
        <v>441</v>
      </c>
      <c r="B302" s="16">
        <v>39</v>
      </c>
      <c r="C302" s="19">
        <v>0.000232083163755981</v>
      </c>
      <c r="D302" s="17">
        <f t="shared" si="0"/>
        <v>2.67801596097513e-5</v>
      </c>
      <c r="E302" s="18">
        <f t="shared" si="1"/>
        <v>3.27790315056922e-5</v>
      </c>
      <c r="G302" s="16" t="s">
        <v>522</v>
      </c>
      <c r="H302" s="16">
        <v>3044</v>
      </c>
      <c r="I302" s="19">
        <v>0.000174561142735504</v>
      </c>
    </row>
    <row r="303" ht="22.5" customHeight="1" spans="1:9">
      <c r="A303" s="16" t="s">
        <v>620</v>
      </c>
      <c r="B303" s="16">
        <v>39</v>
      </c>
      <c r="C303" s="19">
        <v>0.000102999905587865</v>
      </c>
      <c r="D303" s="17">
        <f t="shared" si="0"/>
        <v>2.67801596097513e-5</v>
      </c>
      <c r="E303" s="18">
        <f t="shared" si="1"/>
        <v>3.27790315056922e-5</v>
      </c>
      <c r="G303" s="16" t="s">
        <v>518</v>
      </c>
      <c r="H303" s="16">
        <v>3040</v>
      </c>
      <c r="I303" s="19">
        <v>0.00017433175884229</v>
      </c>
    </row>
    <row r="304" ht="22.5" customHeight="1" spans="1:9">
      <c r="A304" s="16" t="s">
        <v>49</v>
      </c>
      <c r="B304" s="16">
        <v>38</v>
      </c>
      <c r="C304" s="17">
        <v>0.0174706188902147</v>
      </c>
      <c r="D304" s="17">
        <f t="shared" si="0"/>
        <v>2.60934888505269e-5</v>
      </c>
      <c r="E304" s="18">
        <f t="shared" si="1"/>
        <v>3.19385435183668e-5</v>
      </c>
      <c r="G304" s="16" t="s">
        <v>521</v>
      </c>
      <c r="H304" s="16">
        <v>3032</v>
      </c>
      <c r="I304" s="19">
        <v>0.000173872991055863</v>
      </c>
    </row>
    <row r="305" ht="22.5" customHeight="1" spans="1:9">
      <c r="A305" s="16" t="s">
        <v>427</v>
      </c>
      <c r="B305" s="16">
        <v>37</v>
      </c>
      <c r="C305" s="19">
        <v>0.000246058293359306</v>
      </c>
      <c r="D305" s="17">
        <f t="shared" si="0"/>
        <v>2.54068180913025e-5</v>
      </c>
      <c r="E305" s="18">
        <f t="shared" si="1"/>
        <v>3.10980555310413e-5</v>
      </c>
      <c r="G305" s="16" t="s">
        <v>523</v>
      </c>
      <c r="H305" s="16">
        <v>3026</v>
      </c>
      <c r="I305" s="19">
        <v>0.000173528915216043</v>
      </c>
    </row>
    <row r="306" ht="22.5" customHeight="1" spans="1:9">
      <c r="A306" s="16" t="s">
        <v>944</v>
      </c>
      <c r="B306" s="16">
        <v>37</v>
      </c>
      <c r="C306" s="19">
        <v>2.6190032958903e-5</v>
      </c>
      <c r="D306" s="17">
        <f t="shared" si="0"/>
        <v>2.54068180913025e-5</v>
      </c>
      <c r="E306" s="18">
        <f t="shared" si="1"/>
        <v>3.10980555310413e-5</v>
      </c>
      <c r="G306" s="16" t="s">
        <v>710</v>
      </c>
      <c r="H306" s="16">
        <v>3009</v>
      </c>
      <c r="I306" s="19">
        <v>0.000172554033669885</v>
      </c>
    </row>
    <row r="307" ht="22.5" customHeight="1" spans="1:9">
      <c r="A307" s="16" t="s">
        <v>1131</v>
      </c>
      <c r="B307" s="16">
        <v>37</v>
      </c>
      <c r="C307" s="19">
        <v>1.10947593797389e-5</v>
      </c>
      <c r="D307" s="17">
        <f t="shared" si="0"/>
        <v>2.54068180913025e-5</v>
      </c>
      <c r="E307" s="18">
        <f t="shared" si="1"/>
        <v>3.10980555310413e-5</v>
      </c>
      <c r="G307" s="16" t="s">
        <v>525</v>
      </c>
      <c r="H307" s="16">
        <v>2999</v>
      </c>
      <c r="I307" s="19">
        <v>0.000171980573936852</v>
      </c>
    </row>
    <row r="308" ht="22.5" customHeight="1" spans="1:9">
      <c r="A308" s="16" t="s">
        <v>1204</v>
      </c>
      <c r="B308" s="16">
        <v>37</v>
      </c>
      <c r="C308" s="19">
        <v>7.14758536963951e-6</v>
      </c>
      <c r="D308" s="17">
        <f t="shared" si="0"/>
        <v>2.54068180913025e-5</v>
      </c>
      <c r="E308" s="18">
        <f t="shared" si="1"/>
        <v>3.10980555310413e-5</v>
      </c>
      <c r="G308" s="16" t="s">
        <v>527</v>
      </c>
      <c r="H308" s="16">
        <v>2973</v>
      </c>
      <c r="I308" s="19">
        <v>0.000170489578630964</v>
      </c>
    </row>
    <row r="309" ht="22.5" customHeight="1" spans="1:9">
      <c r="A309" s="16" t="s">
        <v>1357</v>
      </c>
      <c r="B309" s="16">
        <v>37</v>
      </c>
      <c r="C309" s="19">
        <v>1.97358700504972e-6</v>
      </c>
      <c r="D309" s="17">
        <f t="shared" si="0"/>
        <v>2.54068180913025e-5</v>
      </c>
      <c r="E309" s="18">
        <f t="shared" si="1"/>
        <v>3.10980555310413e-5</v>
      </c>
      <c r="G309" s="16" t="s">
        <v>509</v>
      </c>
      <c r="H309" s="16">
        <v>2970</v>
      </c>
      <c r="I309" s="19">
        <v>0.000170317540711053</v>
      </c>
    </row>
    <row r="310" ht="22.5" customHeight="1" spans="1:9">
      <c r="A310" s="16" t="s">
        <v>828</v>
      </c>
      <c r="B310" s="16">
        <v>35</v>
      </c>
      <c r="C310" s="19">
        <v>4.53925011161435e-5</v>
      </c>
      <c r="D310" s="17">
        <f t="shared" si="0"/>
        <v>2.40334765728537e-5</v>
      </c>
      <c r="E310" s="18">
        <f t="shared" si="1"/>
        <v>2.94170795563904e-5</v>
      </c>
      <c r="G310" s="16" t="s">
        <v>524</v>
      </c>
      <c r="H310" s="16">
        <v>2963</v>
      </c>
      <c r="I310" s="19">
        <v>0.00016991611889793</v>
      </c>
    </row>
    <row r="311" ht="22.5" customHeight="1" spans="1:9">
      <c r="A311" s="16" t="s">
        <v>220</v>
      </c>
      <c r="B311" s="16">
        <v>33</v>
      </c>
      <c r="C311" s="19">
        <v>0.0011637229105181</v>
      </c>
      <c r="D311" s="17">
        <f t="shared" si="0"/>
        <v>2.26601350544049e-5</v>
      </c>
      <c r="E311" s="18">
        <f t="shared" si="1"/>
        <v>2.77361035817396e-5</v>
      </c>
      <c r="G311" s="16" t="s">
        <v>531</v>
      </c>
      <c r="H311" s="16">
        <v>2943</v>
      </c>
      <c r="I311" s="19">
        <v>0.000168769199431862</v>
      </c>
    </row>
    <row r="312" ht="22.5" customHeight="1" spans="1:9">
      <c r="A312" s="16" t="s">
        <v>852</v>
      </c>
      <c r="B312" s="16">
        <v>33</v>
      </c>
      <c r="C312" s="19">
        <v>4.09119252127874e-5</v>
      </c>
      <c r="D312" s="17">
        <f t="shared" si="0"/>
        <v>2.26601350544049e-5</v>
      </c>
      <c r="E312" s="18">
        <f t="shared" si="1"/>
        <v>2.77361035817396e-5</v>
      </c>
      <c r="G312" s="16" t="s">
        <v>423</v>
      </c>
      <c r="H312" s="16">
        <v>2936</v>
      </c>
      <c r="I312" s="19">
        <v>0.000168367777618738</v>
      </c>
    </row>
    <row r="313" ht="22.5" customHeight="1" spans="1:9">
      <c r="A313" s="16" t="s">
        <v>1162</v>
      </c>
      <c r="B313" s="16">
        <v>33</v>
      </c>
      <c r="C313" s="19">
        <v>9.4945536999689e-6</v>
      </c>
      <c r="D313" s="17">
        <f t="shared" si="0"/>
        <v>2.26601350544049e-5</v>
      </c>
      <c r="E313" s="18">
        <f t="shared" si="1"/>
        <v>2.77361035817396e-5</v>
      </c>
      <c r="G313" s="16" t="s">
        <v>532</v>
      </c>
      <c r="H313" s="16">
        <v>2911</v>
      </c>
      <c r="I313" s="19">
        <v>0.000166934128286154</v>
      </c>
    </row>
    <row r="314" ht="22.5" customHeight="1" spans="1:9">
      <c r="A314" s="16" t="s">
        <v>1312</v>
      </c>
      <c r="B314" s="16">
        <v>33</v>
      </c>
      <c r="C314" s="19">
        <v>3.04039079156308e-6</v>
      </c>
      <c r="D314" s="17">
        <f t="shared" si="0"/>
        <v>2.26601350544049e-5</v>
      </c>
      <c r="E314" s="18">
        <f t="shared" si="1"/>
        <v>2.77361035817396e-5</v>
      </c>
      <c r="G314" s="16" t="s">
        <v>535</v>
      </c>
      <c r="H314" s="16">
        <v>2879</v>
      </c>
      <c r="I314" s="19">
        <v>0.000165099057140445</v>
      </c>
    </row>
    <row r="315" ht="22.5" customHeight="1" spans="1:9">
      <c r="A315" s="16" t="s">
        <v>367</v>
      </c>
      <c r="B315" s="16">
        <v>31</v>
      </c>
      <c r="C315" s="19">
        <v>0.000373434665469002</v>
      </c>
      <c r="D315" s="17">
        <f t="shared" si="0"/>
        <v>2.12867935359561e-5</v>
      </c>
      <c r="E315" s="18">
        <f t="shared" si="1"/>
        <v>2.60551276070887e-5</v>
      </c>
      <c r="G315" s="16" t="s">
        <v>533</v>
      </c>
      <c r="H315" s="16">
        <v>2847</v>
      </c>
      <c r="I315" s="19">
        <v>0.000163263985994737</v>
      </c>
    </row>
    <row r="316" ht="22.5" customHeight="1" spans="1:9">
      <c r="A316" s="16" t="s">
        <v>425</v>
      </c>
      <c r="B316" s="16">
        <v>31</v>
      </c>
      <c r="C316" s="19">
        <v>0.000249738766422778</v>
      </c>
      <c r="D316" s="17">
        <f t="shared" si="0"/>
        <v>2.12867935359561e-5</v>
      </c>
      <c r="E316" s="18">
        <f t="shared" si="1"/>
        <v>2.60551276070887e-5</v>
      </c>
      <c r="G316" s="16" t="s">
        <v>537</v>
      </c>
      <c r="H316" s="16">
        <v>2846</v>
      </c>
      <c r="I316" s="19">
        <v>0.000163206640021434</v>
      </c>
    </row>
    <row r="317" ht="22.5" customHeight="1" spans="1:9">
      <c r="A317" s="16" t="s">
        <v>613</v>
      </c>
      <c r="B317" s="16">
        <v>31</v>
      </c>
      <c r="C317" s="19">
        <v>0.00010662703846201</v>
      </c>
      <c r="D317" s="17">
        <f t="shared" si="0"/>
        <v>2.12867935359561e-5</v>
      </c>
      <c r="E317" s="18">
        <f t="shared" si="1"/>
        <v>2.60551276070887e-5</v>
      </c>
      <c r="G317" s="16" t="s">
        <v>539</v>
      </c>
      <c r="H317" s="16">
        <v>2829</v>
      </c>
      <c r="I317" s="19">
        <v>0.000162231758475276</v>
      </c>
    </row>
    <row r="318" ht="22.5" customHeight="1" spans="1:9">
      <c r="A318" s="16" t="s">
        <v>729</v>
      </c>
      <c r="B318" s="16">
        <v>31</v>
      </c>
      <c r="C318" s="19">
        <v>6.59818141958513e-5</v>
      </c>
      <c r="D318" s="17">
        <f t="shared" si="0"/>
        <v>2.12867935359561e-5</v>
      </c>
      <c r="E318" s="18">
        <f t="shared" si="1"/>
        <v>2.60551276070887e-5</v>
      </c>
      <c r="G318" s="16" t="s">
        <v>542</v>
      </c>
      <c r="H318" s="16">
        <v>2823</v>
      </c>
      <c r="I318" s="19">
        <v>0.000161887682635456</v>
      </c>
    </row>
    <row r="319" ht="22.5" customHeight="1" spans="1:9">
      <c r="A319" s="16" t="s">
        <v>822</v>
      </c>
      <c r="B319" s="16">
        <v>30</v>
      </c>
      <c r="C319" s="19">
        <v>4.61392637667028e-5</v>
      </c>
      <c r="D319" s="17">
        <f t="shared" si="0"/>
        <v>2.06001227767318e-5</v>
      </c>
      <c r="E319" s="18">
        <f t="shared" si="1"/>
        <v>2.52146396197632e-5</v>
      </c>
      <c r="G319" s="16" t="s">
        <v>475</v>
      </c>
      <c r="H319" s="16">
        <v>2819</v>
      </c>
      <c r="I319" s="19">
        <v>0.000161658298742242</v>
      </c>
    </row>
    <row r="320" ht="22.5" customHeight="1" spans="1:9">
      <c r="A320" s="16" t="s">
        <v>1030</v>
      </c>
      <c r="B320" s="16">
        <v>30</v>
      </c>
      <c r="C320" s="19">
        <v>1.78689634240988e-5</v>
      </c>
      <c r="D320" s="17">
        <f t="shared" si="0"/>
        <v>2.06001227767318e-5</v>
      </c>
      <c r="E320" s="18">
        <f t="shared" si="1"/>
        <v>2.52146396197632e-5</v>
      </c>
      <c r="G320" s="16" t="s">
        <v>534</v>
      </c>
      <c r="H320" s="16">
        <v>2816</v>
      </c>
      <c r="I320" s="19">
        <v>0.000161486260822332</v>
      </c>
    </row>
    <row r="321" ht="22.5" customHeight="1" spans="1:9">
      <c r="A321" s="16" t="s">
        <v>449</v>
      </c>
      <c r="B321" s="16">
        <v>29</v>
      </c>
      <c r="C321" s="19">
        <v>0.00022594904198353</v>
      </c>
      <c r="D321" s="17">
        <f t="shared" si="0"/>
        <v>1.99134520175074e-5</v>
      </c>
      <c r="E321" s="18">
        <f t="shared" si="1"/>
        <v>2.43741516324378e-5</v>
      </c>
      <c r="G321" s="16" t="s">
        <v>538</v>
      </c>
      <c r="H321" s="16">
        <v>2807</v>
      </c>
      <c r="I321" s="19">
        <v>0.000160970147062602</v>
      </c>
    </row>
    <row r="322" ht="22.5" customHeight="1" spans="1:9">
      <c r="A322" s="16" t="s">
        <v>601</v>
      </c>
      <c r="B322" s="16">
        <v>29</v>
      </c>
      <c r="C322" s="19">
        <v>0.000119161982953542</v>
      </c>
      <c r="D322" s="17">
        <f t="shared" si="0"/>
        <v>1.99134520175074e-5</v>
      </c>
      <c r="E322" s="18">
        <f t="shared" si="1"/>
        <v>2.43741516324378e-5</v>
      </c>
      <c r="G322" s="16" t="s">
        <v>549</v>
      </c>
      <c r="H322" s="16">
        <v>2789</v>
      </c>
      <c r="I322" s="19">
        <v>0.000159937919543141</v>
      </c>
    </row>
    <row r="323" ht="22.5" customHeight="1" spans="1:9">
      <c r="A323" s="16" t="s">
        <v>614</v>
      </c>
      <c r="B323" s="16">
        <v>29</v>
      </c>
      <c r="C323" s="19">
        <v>0.000104440090699658</v>
      </c>
      <c r="D323" s="17">
        <f t="shared" si="0"/>
        <v>1.99134520175074e-5</v>
      </c>
      <c r="E323" s="18">
        <f t="shared" si="1"/>
        <v>2.43741516324378e-5</v>
      </c>
      <c r="G323" s="16" t="s">
        <v>551</v>
      </c>
      <c r="H323" s="16">
        <v>2775</v>
      </c>
      <c r="I323" s="19">
        <v>0.000159135075916893</v>
      </c>
    </row>
    <row r="324" ht="22.5" customHeight="1" spans="1:9">
      <c r="A324" s="16" t="s">
        <v>634</v>
      </c>
      <c r="B324" s="16">
        <v>29</v>
      </c>
      <c r="C324" s="19">
        <v>9.61723613541794e-5</v>
      </c>
      <c r="D324" s="17">
        <f t="shared" si="0"/>
        <v>1.99134520175074e-5</v>
      </c>
      <c r="E324" s="18">
        <f t="shared" si="1"/>
        <v>2.43741516324378e-5</v>
      </c>
      <c r="G324" s="16" t="s">
        <v>507</v>
      </c>
      <c r="H324" s="16">
        <v>2757</v>
      </c>
      <c r="I324" s="19">
        <v>0.000158102848397432</v>
      </c>
    </row>
    <row r="325" ht="22.5" customHeight="1" spans="1:9">
      <c r="A325" s="16" t="s">
        <v>1127</v>
      </c>
      <c r="B325" s="16">
        <v>29</v>
      </c>
      <c r="C325" s="19">
        <v>1.13081201370416e-5</v>
      </c>
      <c r="D325" s="17">
        <f t="shared" si="0"/>
        <v>1.99134520175074e-5</v>
      </c>
      <c r="E325" s="18">
        <f t="shared" si="1"/>
        <v>2.43741516324378e-5</v>
      </c>
      <c r="G325" s="16" t="s">
        <v>508</v>
      </c>
      <c r="H325" s="16">
        <v>2748</v>
      </c>
      <c r="I325" s="19">
        <v>0.000157586734637702</v>
      </c>
    </row>
    <row r="326" ht="22.5" customHeight="1" spans="1:9">
      <c r="A326" s="16" t="s">
        <v>1308</v>
      </c>
      <c r="B326" s="16">
        <v>29</v>
      </c>
      <c r="C326" s="19">
        <v>3.25375154886575e-6</v>
      </c>
      <c r="D326" s="17">
        <f t="shared" si="0"/>
        <v>1.99134520175074e-5</v>
      </c>
      <c r="E326" s="18">
        <f t="shared" si="1"/>
        <v>2.43741516324378e-5</v>
      </c>
      <c r="G326" s="16" t="s">
        <v>543</v>
      </c>
      <c r="H326" s="16">
        <v>2742</v>
      </c>
      <c r="I326" s="19">
        <v>0.000157242658797882</v>
      </c>
    </row>
    <row r="327" ht="22.5" customHeight="1" spans="1:9">
      <c r="A327" s="16" t="s">
        <v>538</v>
      </c>
      <c r="B327" s="16">
        <v>28</v>
      </c>
      <c r="C327" s="19">
        <v>0.000151219436738269</v>
      </c>
      <c r="D327" s="17">
        <f t="shared" si="0"/>
        <v>1.9226781258283e-5</v>
      </c>
      <c r="E327" s="18">
        <f t="shared" si="1"/>
        <v>2.35336636451124e-5</v>
      </c>
      <c r="G327" s="16" t="s">
        <v>554</v>
      </c>
      <c r="H327" s="16">
        <v>2729</v>
      </c>
      <c r="I327" s="19">
        <v>0.000156497161144938</v>
      </c>
    </row>
    <row r="328" ht="22.5" customHeight="1" spans="1:9">
      <c r="A328" s="16" t="s">
        <v>719</v>
      </c>
      <c r="B328" s="16">
        <v>28</v>
      </c>
      <c r="C328" s="19">
        <v>6.71019581716903e-5</v>
      </c>
      <c r="D328" s="17">
        <f t="shared" si="0"/>
        <v>1.9226781258283e-5</v>
      </c>
      <c r="E328" s="18">
        <f t="shared" si="1"/>
        <v>2.35336636451124e-5</v>
      </c>
      <c r="G328" s="16" t="s">
        <v>557</v>
      </c>
      <c r="H328" s="16">
        <v>2714</v>
      </c>
      <c r="I328" s="19">
        <v>0.000155636971545387</v>
      </c>
    </row>
    <row r="329" ht="22.5" customHeight="1" spans="1:9">
      <c r="A329" s="16" t="s">
        <v>1129</v>
      </c>
      <c r="B329" s="16">
        <v>28</v>
      </c>
      <c r="C329" s="19">
        <v>1.11480995690646e-5</v>
      </c>
      <c r="D329" s="17">
        <f t="shared" si="0"/>
        <v>1.9226781258283e-5</v>
      </c>
      <c r="E329" s="18">
        <f t="shared" si="1"/>
        <v>2.35336636451124e-5</v>
      </c>
      <c r="G329" s="16" t="s">
        <v>558</v>
      </c>
      <c r="H329" s="16">
        <v>2712</v>
      </c>
      <c r="I329" s="19">
        <v>0.00015552227959878</v>
      </c>
    </row>
    <row r="330" ht="22.5" customHeight="1" spans="1:9">
      <c r="A330" s="16" t="s">
        <v>223</v>
      </c>
      <c r="B330" s="16">
        <v>27</v>
      </c>
      <c r="C330" s="19">
        <v>0.00112201088246543</v>
      </c>
      <c r="D330" s="17">
        <f t="shared" si="0"/>
        <v>1.85401104990586e-5</v>
      </c>
      <c r="E330" s="18">
        <f t="shared" si="1"/>
        <v>2.26931756577869e-5</v>
      </c>
      <c r="G330" s="16" t="s">
        <v>547</v>
      </c>
      <c r="H330" s="16">
        <v>2707</v>
      </c>
      <c r="I330" s="19">
        <v>0.000155235549732263</v>
      </c>
    </row>
    <row r="331" ht="22.5" customHeight="1" spans="1:9">
      <c r="A331" s="16" t="s">
        <v>535</v>
      </c>
      <c r="B331" s="16">
        <v>26</v>
      </c>
      <c r="C331" s="19">
        <v>0.000154953249991066</v>
      </c>
      <c r="D331" s="17">
        <f t="shared" si="0"/>
        <v>1.78534397398342e-5</v>
      </c>
      <c r="E331" s="18">
        <f t="shared" si="1"/>
        <v>2.18526876704615e-5</v>
      </c>
      <c r="G331" s="16" t="s">
        <v>504</v>
      </c>
      <c r="H331" s="16">
        <v>2688</v>
      </c>
      <c r="I331" s="19">
        <v>0.000154145976239499</v>
      </c>
    </row>
    <row r="332" ht="22.5" customHeight="1" spans="1:9">
      <c r="A332" s="16" t="s">
        <v>585</v>
      </c>
      <c r="B332" s="16">
        <v>26</v>
      </c>
      <c r="C332" s="19">
        <v>0.000124922723400714</v>
      </c>
      <c r="D332" s="17">
        <f t="shared" si="0"/>
        <v>1.78534397398342e-5</v>
      </c>
      <c r="E332" s="18">
        <f t="shared" si="1"/>
        <v>2.18526876704615e-5</v>
      </c>
      <c r="G332" s="16" t="s">
        <v>559</v>
      </c>
      <c r="H332" s="16">
        <v>2684</v>
      </c>
      <c r="I332" s="19">
        <v>0.000153916592346285</v>
      </c>
    </row>
    <row r="333" ht="22.5" customHeight="1" spans="1:9">
      <c r="A333" s="16" t="s">
        <v>1078</v>
      </c>
      <c r="B333" s="16">
        <v>26</v>
      </c>
      <c r="C333" s="19">
        <v>1.42418305499534e-5</v>
      </c>
      <c r="D333" s="17">
        <f t="shared" si="0"/>
        <v>1.78534397398342e-5</v>
      </c>
      <c r="E333" s="18">
        <f t="shared" si="1"/>
        <v>2.18526876704615e-5</v>
      </c>
      <c r="G333" s="16" t="s">
        <v>466</v>
      </c>
      <c r="H333" s="16">
        <v>2667</v>
      </c>
      <c r="I333" s="19">
        <v>0.000152941710800128</v>
      </c>
    </row>
    <row r="334" ht="22.5" customHeight="1" spans="1:9">
      <c r="A334" s="16" t="s">
        <v>1173</v>
      </c>
      <c r="B334" s="16">
        <v>26</v>
      </c>
      <c r="C334" s="19">
        <v>8.64111067075821e-6</v>
      </c>
      <c r="D334" s="17">
        <f t="shared" si="0"/>
        <v>1.78534397398342e-5</v>
      </c>
      <c r="E334" s="18">
        <f t="shared" si="1"/>
        <v>2.18526876704615e-5</v>
      </c>
      <c r="G334" s="16" t="s">
        <v>563</v>
      </c>
      <c r="H334" s="16">
        <v>2641</v>
      </c>
      <c r="I334" s="19">
        <v>0.00015145071549424</v>
      </c>
    </row>
    <row r="335" ht="22.5" customHeight="1" spans="1:9">
      <c r="A335" s="16" t="s">
        <v>456</v>
      </c>
      <c r="B335" s="16">
        <v>25</v>
      </c>
      <c r="C335" s="19">
        <v>0.000215067643361093</v>
      </c>
      <c r="D335" s="17">
        <f t="shared" si="0"/>
        <v>1.71667689806098e-5</v>
      </c>
      <c r="E335" s="18">
        <f t="shared" si="1"/>
        <v>2.1012199683136e-5</v>
      </c>
      <c r="G335" s="16" t="s">
        <v>567</v>
      </c>
      <c r="H335" s="16">
        <v>2627</v>
      </c>
      <c r="I335" s="19">
        <v>0.000150647871867992</v>
      </c>
    </row>
    <row r="336" ht="22.5" customHeight="1" spans="1:9">
      <c r="A336" s="16" t="s">
        <v>992</v>
      </c>
      <c r="B336" s="16">
        <v>25</v>
      </c>
      <c r="C336" s="19">
        <v>2.20828383808266e-5</v>
      </c>
      <c r="D336" s="17">
        <f t="shared" si="0"/>
        <v>1.71667689806098e-5</v>
      </c>
      <c r="E336" s="18">
        <f t="shared" si="1"/>
        <v>2.1012199683136e-5</v>
      </c>
      <c r="G336" s="16" t="s">
        <v>568</v>
      </c>
      <c r="H336" s="16">
        <v>2616</v>
      </c>
      <c r="I336" s="19">
        <v>0.000150017066161655</v>
      </c>
    </row>
    <row r="337" ht="22.5" customHeight="1" spans="1:9">
      <c r="A337" s="16" t="s">
        <v>1216</v>
      </c>
      <c r="B337" s="16">
        <v>25</v>
      </c>
      <c r="C337" s="19">
        <v>6.50750309773149e-6</v>
      </c>
      <c r="D337" s="17">
        <f t="shared" si="0"/>
        <v>1.71667689806098e-5</v>
      </c>
      <c r="E337" s="18">
        <f t="shared" si="1"/>
        <v>2.1012199683136e-5</v>
      </c>
      <c r="G337" s="16" t="s">
        <v>571</v>
      </c>
      <c r="H337" s="16">
        <v>2604</v>
      </c>
      <c r="I337" s="19">
        <v>0.000149328914482014</v>
      </c>
    </row>
    <row r="338" ht="22.5" customHeight="1" spans="1:9">
      <c r="A338" s="16" t="s">
        <v>672</v>
      </c>
      <c r="B338" s="16">
        <v>23</v>
      </c>
      <c r="C338" s="19">
        <v>8.18771906149004e-5</v>
      </c>
      <c r="D338" s="17">
        <f t="shared" si="0"/>
        <v>1.5793427462161e-5</v>
      </c>
      <c r="E338" s="18">
        <f t="shared" si="1"/>
        <v>1.93312237084851e-5</v>
      </c>
      <c r="G338" s="16" t="s">
        <v>562</v>
      </c>
      <c r="H338" s="16">
        <v>2601</v>
      </c>
      <c r="I338" s="19">
        <v>0.000149156876562104</v>
      </c>
    </row>
    <row r="339" ht="22.5" customHeight="1" spans="1:9">
      <c r="A339" s="16" t="s">
        <v>815</v>
      </c>
      <c r="B339" s="16">
        <v>23</v>
      </c>
      <c r="C339" s="19">
        <v>4.82728713397295e-5</v>
      </c>
      <c r="D339" s="17">
        <f t="shared" si="0"/>
        <v>1.5793427462161e-5</v>
      </c>
      <c r="E339" s="18">
        <f t="shared" si="1"/>
        <v>1.93312237084851e-5</v>
      </c>
      <c r="G339" s="16" t="s">
        <v>560</v>
      </c>
      <c r="H339" s="16">
        <v>2587</v>
      </c>
      <c r="I339" s="19">
        <v>0.000148354032935857</v>
      </c>
    </row>
    <row r="340" ht="22.5" customHeight="1" spans="1:9">
      <c r="A340" s="16" t="s">
        <v>655</v>
      </c>
      <c r="B340" s="16">
        <v>22</v>
      </c>
      <c r="C340" s="19">
        <v>9.12117237468923e-5</v>
      </c>
      <c r="D340" s="17">
        <f t="shared" si="0"/>
        <v>1.51067567029366e-5</v>
      </c>
      <c r="E340" s="18">
        <f t="shared" si="1"/>
        <v>1.84907357211597e-5</v>
      </c>
      <c r="G340" s="16" t="s">
        <v>570</v>
      </c>
      <c r="H340" s="16">
        <v>2586</v>
      </c>
      <c r="I340" s="19">
        <v>0.000148296686962554</v>
      </c>
    </row>
    <row r="341" ht="22.5" customHeight="1" spans="1:9">
      <c r="A341" s="16" t="s">
        <v>874</v>
      </c>
      <c r="B341" s="16">
        <v>22</v>
      </c>
      <c r="C341" s="19">
        <v>3.61113081734772e-5</v>
      </c>
      <c r="D341" s="17">
        <f t="shared" si="0"/>
        <v>1.51067567029366e-5</v>
      </c>
      <c r="E341" s="18">
        <f t="shared" si="1"/>
        <v>1.84907357211597e-5</v>
      </c>
      <c r="G341" s="16" t="s">
        <v>574</v>
      </c>
      <c r="H341" s="16">
        <v>2585</v>
      </c>
      <c r="I341" s="19">
        <v>0.00014823934098925</v>
      </c>
    </row>
    <row r="342" ht="22.5" customHeight="1" spans="1:9">
      <c r="A342" s="16" t="s">
        <v>532</v>
      </c>
      <c r="B342" s="16">
        <v>21</v>
      </c>
      <c r="C342" s="19">
        <v>0.000156393435102859</v>
      </c>
      <c r="D342" s="17">
        <f t="shared" si="0"/>
        <v>1.44200859437122e-5</v>
      </c>
      <c r="E342" s="18">
        <f t="shared" si="1"/>
        <v>1.76502477338343e-5</v>
      </c>
      <c r="G342" s="16" t="s">
        <v>477</v>
      </c>
      <c r="H342" s="16">
        <v>2563</v>
      </c>
      <c r="I342" s="19">
        <v>0.000146977729576576</v>
      </c>
    </row>
    <row r="343" ht="22.5" customHeight="1" spans="1:9">
      <c r="A343" s="16" t="s">
        <v>658</v>
      </c>
      <c r="B343" s="16">
        <v>21</v>
      </c>
      <c r="C343" s="19">
        <v>8.69445086008388e-5</v>
      </c>
      <c r="D343" s="17">
        <f t="shared" si="0"/>
        <v>1.44200859437122e-5</v>
      </c>
      <c r="E343" s="18">
        <f t="shared" si="1"/>
        <v>1.76502477338343e-5</v>
      </c>
      <c r="G343" s="16" t="s">
        <v>550</v>
      </c>
      <c r="H343" s="16">
        <v>2519</v>
      </c>
      <c r="I343" s="19">
        <v>0.000144454506751227</v>
      </c>
    </row>
    <row r="344" ht="22.5" customHeight="1" spans="1:9">
      <c r="A344" s="16" t="s">
        <v>682</v>
      </c>
      <c r="B344" s="16">
        <v>21</v>
      </c>
      <c r="C344" s="19">
        <v>7.67031922503106e-5</v>
      </c>
      <c r="D344" s="17">
        <f t="shared" si="0"/>
        <v>1.44200859437122e-5</v>
      </c>
      <c r="E344" s="18">
        <f t="shared" si="1"/>
        <v>1.76502477338343e-5</v>
      </c>
      <c r="G344" s="16" t="s">
        <v>577</v>
      </c>
      <c r="H344" s="16">
        <v>2484</v>
      </c>
      <c r="I344" s="19">
        <v>0.000142447397685608</v>
      </c>
    </row>
    <row r="345" ht="22.5" customHeight="1" spans="1:9">
      <c r="A345" s="16" t="s">
        <v>820</v>
      </c>
      <c r="B345" s="16">
        <v>21</v>
      </c>
      <c r="C345" s="19">
        <v>4.66726656599595e-5</v>
      </c>
      <c r="D345" s="17">
        <f t="shared" si="0"/>
        <v>1.44200859437122e-5</v>
      </c>
      <c r="E345" s="18">
        <f t="shared" si="1"/>
        <v>1.76502477338343e-5</v>
      </c>
      <c r="G345" s="16" t="s">
        <v>384</v>
      </c>
      <c r="H345" s="16">
        <v>2476</v>
      </c>
      <c r="I345" s="19">
        <v>0.000141988629899181</v>
      </c>
    </row>
    <row r="346" ht="22.5" customHeight="1" spans="1:9">
      <c r="A346" s="16" t="s">
        <v>956</v>
      </c>
      <c r="B346" s="16">
        <v>21</v>
      </c>
      <c r="C346" s="19">
        <v>2.45898272791329e-5</v>
      </c>
      <c r="D346" s="17">
        <f t="shared" si="0"/>
        <v>1.44200859437122e-5</v>
      </c>
      <c r="E346" s="18">
        <f t="shared" si="1"/>
        <v>1.76502477338343e-5</v>
      </c>
      <c r="G346" s="16" t="s">
        <v>569</v>
      </c>
      <c r="H346" s="16">
        <v>2470</v>
      </c>
      <c r="I346" s="19">
        <v>0.000141644554059361</v>
      </c>
    </row>
    <row r="347" ht="22.5" customHeight="1" spans="1:9">
      <c r="A347" s="16" t="s">
        <v>570</v>
      </c>
      <c r="B347" s="16">
        <v>20</v>
      </c>
      <c r="C347" s="19">
        <v>0.000139004533382691</v>
      </c>
      <c r="D347" s="17">
        <f t="shared" si="0"/>
        <v>1.37334151844878e-5</v>
      </c>
      <c r="E347" s="18">
        <f t="shared" si="1"/>
        <v>1.68097597465088e-5</v>
      </c>
      <c r="G347" s="16" t="s">
        <v>576</v>
      </c>
      <c r="H347" s="16">
        <v>2464</v>
      </c>
      <c r="I347" s="19">
        <v>0.000141300478219541</v>
      </c>
    </row>
    <row r="348" ht="22.5" customHeight="1" spans="1:9">
      <c r="A348" s="16" t="s">
        <v>579</v>
      </c>
      <c r="B348" s="16">
        <v>20</v>
      </c>
      <c r="C348" s="19">
        <v>0.000129830020818676</v>
      </c>
      <c r="D348" s="17">
        <f t="shared" si="0"/>
        <v>1.37334151844878e-5</v>
      </c>
      <c r="E348" s="18">
        <f t="shared" si="1"/>
        <v>1.68097597465088e-5</v>
      </c>
      <c r="G348" s="16" t="s">
        <v>580</v>
      </c>
      <c r="H348" s="16">
        <v>2427</v>
      </c>
      <c r="I348" s="19">
        <v>0.000139178677207315</v>
      </c>
    </row>
    <row r="349" ht="22.5" customHeight="1" spans="1:9">
      <c r="A349" s="16" t="s">
        <v>633</v>
      </c>
      <c r="B349" s="16">
        <v>20</v>
      </c>
      <c r="C349" s="19">
        <v>9.63857221114821e-5</v>
      </c>
      <c r="D349" s="17">
        <f t="shared" si="0"/>
        <v>1.37334151844878e-5</v>
      </c>
      <c r="E349" s="18">
        <f t="shared" si="1"/>
        <v>1.68097597465088e-5</v>
      </c>
      <c r="G349" s="16" t="s">
        <v>579</v>
      </c>
      <c r="H349" s="16">
        <v>2414</v>
      </c>
      <c r="I349" s="19">
        <v>0.000138433179554371</v>
      </c>
    </row>
    <row r="350" ht="22.5" customHeight="1" spans="1:9">
      <c r="A350" s="16" t="s">
        <v>713</v>
      </c>
      <c r="B350" s="16">
        <v>20</v>
      </c>
      <c r="C350" s="19">
        <v>6.96622872593224e-5</v>
      </c>
      <c r="D350" s="17">
        <f t="shared" si="0"/>
        <v>1.37334151844878e-5</v>
      </c>
      <c r="E350" s="18">
        <f t="shared" si="1"/>
        <v>1.68097597465088e-5</v>
      </c>
      <c r="G350" s="16" t="s">
        <v>582</v>
      </c>
      <c r="H350" s="16">
        <v>2394</v>
      </c>
      <c r="I350" s="19">
        <v>0.000137286260088304</v>
      </c>
    </row>
    <row r="351" ht="22.5" customHeight="1" spans="1:9">
      <c r="A351" s="16" t="s">
        <v>1089</v>
      </c>
      <c r="B351" s="16">
        <v>20</v>
      </c>
      <c r="C351" s="19">
        <v>1.36017482780453e-5</v>
      </c>
      <c r="D351" s="17">
        <f t="shared" si="0"/>
        <v>1.37334151844878e-5</v>
      </c>
      <c r="E351" s="18">
        <f t="shared" si="1"/>
        <v>1.68097597465088e-5</v>
      </c>
      <c r="G351" s="16" t="s">
        <v>555</v>
      </c>
      <c r="H351" s="16">
        <v>2364</v>
      </c>
      <c r="I351" s="19">
        <v>0.000135565880889202</v>
      </c>
    </row>
    <row r="352" ht="22.5" customHeight="1" spans="1:9">
      <c r="A352" s="16" t="s">
        <v>1196</v>
      </c>
      <c r="B352" s="16">
        <v>20</v>
      </c>
      <c r="C352" s="19">
        <v>7.52096669491919e-6</v>
      </c>
      <c r="D352" s="17">
        <f t="shared" si="0"/>
        <v>1.37334151844878e-5</v>
      </c>
      <c r="E352" s="18">
        <f t="shared" si="1"/>
        <v>1.68097597465088e-5</v>
      </c>
      <c r="G352" s="16" t="s">
        <v>776</v>
      </c>
      <c r="H352" s="16">
        <v>2364</v>
      </c>
      <c r="I352" s="19">
        <v>0.000135565880889202</v>
      </c>
    </row>
    <row r="353" ht="22.5" customHeight="1" spans="1:9">
      <c r="A353" s="16" t="s">
        <v>766</v>
      </c>
      <c r="B353" s="16">
        <v>19</v>
      </c>
      <c r="C353" s="19">
        <v>5.71273427677904e-5</v>
      </c>
      <c r="D353" s="17">
        <f t="shared" si="0"/>
        <v>1.30467444252634e-5</v>
      </c>
      <c r="E353" s="18">
        <f t="shared" si="1"/>
        <v>1.59692717591834e-5</v>
      </c>
      <c r="G353" s="16" t="s">
        <v>583</v>
      </c>
      <c r="H353" s="16">
        <v>2351</v>
      </c>
      <c r="I353" s="19">
        <v>0.000134820383236258</v>
      </c>
    </row>
    <row r="354" ht="22.5" customHeight="1" spans="1:9">
      <c r="A354" s="16" t="s">
        <v>813</v>
      </c>
      <c r="B354" s="16">
        <v>19</v>
      </c>
      <c r="C354" s="19">
        <v>4.84328919077065e-5</v>
      </c>
      <c r="D354" s="17">
        <f t="shared" si="0"/>
        <v>1.30467444252634e-5</v>
      </c>
      <c r="E354" s="18">
        <f t="shared" si="1"/>
        <v>1.59692717591834e-5</v>
      </c>
      <c r="G354" s="16" t="s">
        <v>592</v>
      </c>
      <c r="H354" s="16">
        <v>2323</v>
      </c>
      <c r="I354" s="19">
        <v>0.000133214695983763</v>
      </c>
    </row>
    <row r="355" ht="22.5" customHeight="1" spans="1:9">
      <c r="A355" s="16" t="s">
        <v>936</v>
      </c>
      <c r="B355" s="16">
        <v>19</v>
      </c>
      <c r="C355" s="19">
        <v>2.6990135798788e-5</v>
      </c>
      <c r="D355" s="17">
        <f t="shared" si="0"/>
        <v>1.30467444252634e-5</v>
      </c>
      <c r="E355" s="18">
        <f t="shared" si="1"/>
        <v>1.59692717591834e-5</v>
      </c>
      <c r="G355" s="16" t="s">
        <v>585</v>
      </c>
      <c r="H355" s="16">
        <v>2316</v>
      </c>
      <c r="I355" s="19">
        <v>0.00013281327417064</v>
      </c>
    </row>
    <row r="356" ht="22.5" customHeight="1" spans="1:9">
      <c r="A356" s="16" t="s">
        <v>968</v>
      </c>
      <c r="B356" s="16">
        <v>19</v>
      </c>
      <c r="C356" s="19">
        <v>2.40030851965506e-5</v>
      </c>
      <c r="D356" s="17">
        <f t="shared" si="0"/>
        <v>1.30467444252634e-5</v>
      </c>
      <c r="E356" s="18">
        <f t="shared" si="1"/>
        <v>1.59692717591834e-5</v>
      </c>
      <c r="G356" s="16" t="s">
        <v>564</v>
      </c>
      <c r="H356" s="16">
        <v>2280</v>
      </c>
      <c r="I356" s="19">
        <v>0.000130748819131718</v>
      </c>
    </row>
    <row r="357" ht="22.5" customHeight="1" spans="1:9">
      <c r="A357" s="16" t="s">
        <v>1025</v>
      </c>
      <c r="B357" s="16">
        <v>19</v>
      </c>
      <c r="C357" s="19">
        <v>1.80823241814015e-5</v>
      </c>
      <c r="D357" s="17">
        <f t="shared" si="0"/>
        <v>1.30467444252634e-5</v>
      </c>
      <c r="E357" s="18">
        <f t="shared" si="1"/>
        <v>1.59692717591834e-5</v>
      </c>
      <c r="G357" s="16" t="s">
        <v>594</v>
      </c>
      <c r="H357" s="16">
        <v>2270</v>
      </c>
      <c r="I357" s="19">
        <v>0.000130175359398684</v>
      </c>
    </row>
    <row r="358" ht="22.5" customHeight="1" spans="1:9">
      <c r="A358" s="16" t="s">
        <v>1211</v>
      </c>
      <c r="B358" s="16">
        <v>19</v>
      </c>
      <c r="C358" s="19">
        <v>6.72086385503417e-6</v>
      </c>
      <c r="D358" s="17">
        <f t="shared" si="0"/>
        <v>1.30467444252634e-5</v>
      </c>
      <c r="E358" s="18">
        <f t="shared" si="1"/>
        <v>1.59692717591834e-5</v>
      </c>
      <c r="G358" s="16" t="s">
        <v>593</v>
      </c>
      <c r="H358" s="16">
        <v>2265</v>
      </c>
      <c r="I358" s="19">
        <v>0.000129888629532167</v>
      </c>
    </row>
    <row r="359" ht="22.5" customHeight="1" spans="1:9">
      <c r="A359" s="16" t="s">
        <v>1277</v>
      </c>
      <c r="B359" s="16">
        <v>18</v>
      </c>
      <c r="C359" s="19">
        <v>4.21387495672777e-6</v>
      </c>
      <c r="D359" s="17">
        <f t="shared" si="0"/>
        <v>1.23600736660391e-5</v>
      </c>
      <c r="E359" s="18">
        <f t="shared" si="1"/>
        <v>1.51287837718579e-5</v>
      </c>
      <c r="G359" s="16" t="s">
        <v>552</v>
      </c>
      <c r="H359" s="16">
        <v>2260</v>
      </c>
      <c r="I359" s="19">
        <v>0.00012960189966565</v>
      </c>
    </row>
    <row r="360" ht="22.5" customHeight="1" spans="1:9">
      <c r="A360" s="16" t="s">
        <v>1360</v>
      </c>
      <c r="B360" s="16">
        <v>18</v>
      </c>
      <c r="C360" s="19">
        <v>1.92024681572405e-6</v>
      </c>
      <c r="D360" s="17">
        <f t="shared" si="0"/>
        <v>1.23600736660391e-5</v>
      </c>
      <c r="E360" s="18">
        <f t="shared" si="1"/>
        <v>1.51287837718579e-5</v>
      </c>
      <c r="G360" s="16" t="s">
        <v>595</v>
      </c>
      <c r="H360" s="16">
        <v>2259</v>
      </c>
      <c r="I360" s="19">
        <v>0.000129544553692347</v>
      </c>
    </row>
    <row r="361" ht="22.5" customHeight="1" spans="1:9">
      <c r="A361" s="16" t="s">
        <v>398</v>
      </c>
      <c r="B361" s="16">
        <v>17</v>
      </c>
      <c r="C361" s="19">
        <v>0.000297744936815879</v>
      </c>
      <c r="D361" s="17">
        <f t="shared" si="0"/>
        <v>1.16734029068147e-5</v>
      </c>
      <c r="E361" s="18">
        <f t="shared" si="1"/>
        <v>1.42882957845325e-5</v>
      </c>
      <c r="G361" s="16" t="s">
        <v>596</v>
      </c>
      <c r="H361" s="16">
        <v>2257</v>
      </c>
      <c r="I361" s="19">
        <v>0.00012942986174574</v>
      </c>
    </row>
    <row r="362" ht="22.5" customHeight="1" spans="1:9">
      <c r="A362" s="16" t="s">
        <v>406</v>
      </c>
      <c r="B362" s="16">
        <v>17</v>
      </c>
      <c r="C362" s="19">
        <v>0.000281049457556945</v>
      </c>
      <c r="D362" s="17">
        <f t="shared" si="0"/>
        <v>1.16734029068147e-5</v>
      </c>
      <c r="E362" s="18">
        <f t="shared" si="1"/>
        <v>1.42882957845325e-5</v>
      </c>
      <c r="G362" s="16" t="s">
        <v>597</v>
      </c>
      <c r="H362" s="16">
        <v>2250</v>
      </c>
      <c r="I362" s="19">
        <v>0.000129028439932616</v>
      </c>
    </row>
    <row r="363" ht="22.5" customHeight="1" spans="1:9">
      <c r="A363" s="16" t="s">
        <v>649</v>
      </c>
      <c r="B363" s="16">
        <v>17</v>
      </c>
      <c r="C363" s="19">
        <v>9.41987743491297e-5</v>
      </c>
      <c r="D363" s="17">
        <f t="shared" si="0"/>
        <v>1.16734029068147e-5</v>
      </c>
      <c r="E363" s="18">
        <f t="shared" si="1"/>
        <v>1.42882957845325e-5</v>
      </c>
      <c r="G363" s="16" t="s">
        <v>598</v>
      </c>
      <c r="H363" s="16">
        <v>2243</v>
      </c>
      <c r="I363" s="19">
        <v>0.000128627018119493</v>
      </c>
    </row>
    <row r="364" ht="22.5" customHeight="1" spans="1:9">
      <c r="A364" s="16" t="s">
        <v>849</v>
      </c>
      <c r="B364" s="16">
        <v>17</v>
      </c>
      <c r="C364" s="19">
        <v>4.11786261594157e-5</v>
      </c>
      <c r="D364" s="17">
        <f t="shared" si="0"/>
        <v>1.16734029068147e-5</v>
      </c>
      <c r="E364" s="18">
        <f t="shared" si="1"/>
        <v>1.42882957845325e-5</v>
      </c>
      <c r="G364" s="16" t="s">
        <v>601</v>
      </c>
      <c r="H364" s="16">
        <v>2205</v>
      </c>
      <c r="I364" s="19">
        <v>0.000126447871133964</v>
      </c>
    </row>
    <row r="365" ht="22.5" customHeight="1" spans="1:9">
      <c r="A365" s="16" t="s">
        <v>975</v>
      </c>
      <c r="B365" s="16">
        <v>17</v>
      </c>
      <c r="C365" s="19">
        <v>2.35230234926196e-5</v>
      </c>
      <c r="D365" s="17">
        <f t="shared" si="0"/>
        <v>1.16734029068147e-5</v>
      </c>
      <c r="E365" s="18">
        <f t="shared" si="1"/>
        <v>1.42882957845325e-5</v>
      </c>
      <c r="G365" s="16" t="s">
        <v>530</v>
      </c>
      <c r="H365" s="16">
        <v>2202</v>
      </c>
      <c r="I365" s="19">
        <v>0.000126275833214054</v>
      </c>
    </row>
    <row r="366" ht="22.5" customHeight="1" spans="1:9">
      <c r="A366" s="16" t="s">
        <v>1097</v>
      </c>
      <c r="B366" s="16">
        <v>17</v>
      </c>
      <c r="C366" s="19">
        <v>1.3015006195463e-5</v>
      </c>
      <c r="D366" s="17">
        <f t="shared" si="0"/>
        <v>1.16734029068147e-5</v>
      </c>
      <c r="E366" s="18">
        <f t="shared" si="1"/>
        <v>1.42882957845325e-5</v>
      </c>
      <c r="G366" s="16" t="s">
        <v>602</v>
      </c>
      <c r="H366" s="16">
        <v>2193</v>
      </c>
      <c r="I366" s="19">
        <v>0.000125759719454323</v>
      </c>
    </row>
    <row r="367" ht="22.5" customHeight="1" spans="1:9">
      <c r="A367" s="16" t="s">
        <v>268</v>
      </c>
      <c r="B367" s="16">
        <v>16</v>
      </c>
      <c r="C367" s="19">
        <v>0.000791888450728867</v>
      </c>
      <c r="D367" s="17">
        <f t="shared" si="0"/>
        <v>1.09867321475903e-5</v>
      </c>
      <c r="E367" s="18">
        <f t="shared" si="1"/>
        <v>1.34478077972071e-5</v>
      </c>
      <c r="G367" s="16" t="s">
        <v>561</v>
      </c>
      <c r="H367" s="16">
        <v>2175</v>
      </c>
      <c r="I367" s="19">
        <v>0.000124727491934862</v>
      </c>
    </row>
    <row r="368" ht="22.5" customHeight="1" spans="1:9">
      <c r="A368" s="16" t="s">
        <v>470</v>
      </c>
      <c r="B368" s="16">
        <v>16</v>
      </c>
      <c r="C368" s="19">
        <v>0.000201945956786979</v>
      </c>
      <c r="D368" s="17">
        <f t="shared" si="0"/>
        <v>1.09867321475903e-5</v>
      </c>
      <c r="E368" s="18">
        <f t="shared" si="1"/>
        <v>1.34478077972071e-5</v>
      </c>
      <c r="G368" s="16" t="s">
        <v>600</v>
      </c>
      <c r="H368" s="16">
        <v>2170</v>
      </c>
      <c r="I368" s="19">
        <v>0.000124440762068345</v>
      </c>
    </row>
    <row r="369" ht="22.5" customHeight="1" spans="1:9">
      <c r="A369" s="16" t="s">
        <v>554</v>
      </c>
      <c r="B369" s="16">
        <v>16</v>
      </c>
      <c r="C369" s="19">
        <v>0.000146418819698959</v>
      </c>
      <c r="D369" s="17">
        <f t="shared" si="0"/>
        <v>1.09867321475903e-5</v>
      </c>
      <c r="E369" s="18">
        <f t="shared" si="1"/>
        <v>1.34478077972071e-5</v>
      </c>
      <c r="G369" s="16" t="s">
        <v>604</v>
      </c>
      <c r="H369" s="16">
        <v>2150</v>
      </c>
      <c r="I369" s="19">
        <v>0.000123293842602278</v>
      </c>
    </row>
    <row r="370" ht="22.5" customHeight="1" spans="1:9">
      <c r="A370" s="16" t="s">
        <v>626</v>
      </c>
      <c r="B370" s="16">
        <v>16</v>
      </c>
      <c r="C370" s="19">
        <v>9.84659894951831e-5</v>
      </c>
      <c r="D370" s="17">
        <f t="shared" si="0"/>
        <v>1.09867321475903e-5</v>
      </c>
      <c r="E370" s="18">
        <f t="shared" si="1"/>
        <v>1.34478077972071e-5</v>
      </c>
      <c r="G370" s="16" t="s">
        <v>606</v>
      </c>
      <c r="H370" s="16">
        <v>2135</v>
      </c>
      <c r="I370" s="19">
        <v>0.000122433653002727</v>
      </c>
    </row>
    <row r="371" ht="22.5" customHeight="1" spans="1:9">
      <c r="A371" s="16" t="s">
        <v>635</v>
      </c>
      <c r="B371" s="16">
        <v>16</v>
      </c>
      <c r="C371" s="19">
        <v>9.5745639839574e-5</v>
      </c>
      <c r="D371" s="17">
        <f t="shared" si="0"/>
        <v>1.09867321475903e-5</v>
      </c>
      <c r="E371" s="18">
        <f t="shared" si="1"/>
        <v>1.34478077972071e-5</v>
      </c>
      <c r="G371" s="16" t="s">
        <v>610</v>
      </c>
      <c r="H371" s="16">
        <v>2101</v>
      </c>
      <c r="I371" s="19">
        <v>0.000120483889910412</v>
      </c>
    </row>
    <row r="372" ht="22.5" customHeight="1" spans="1:9">
      <c r="A372" s="16" t="s">
        <v>877</v>
      </c>
      <c r="B372" s="16">
        <v>16</v>
      </c>
      <c r="C372" s="19">
        <v>3.55779062802205e-5</v>
      </c>
      <c r="D372" s="17">
        <f t="shared" si="0"/>
        <v>1.09867321475903e-5</v>
      </c>
      <c r="E372" s="18">
        <f t="shared" si="1"/>
        <v>1.34478077972071e-5</v>
      </c>
      <c r="G372" s="16" t="s">
        <v>608</v>
      </c>
      <c r="H372" s="16">
        <v>2067</v>
      </c>
      <c r="I372" s="19">
        <v>0.000118534126818097</v>
      </c>
    </row>
    <row r="373" ht="22.5" customHeight="1" spans="1:9">
      <c r="A373" s="16" t="s">
        <v>996</v>
      </c>
      <c r="B373" s="16">
        <v>16</v>
      </c>
      <c r="C373" s="19">
        <v>2.10693747836389e-5</v>
      </c>
      <c r="D373" s="17">
        <f t="shared" si="0"/>
        <v>1.09867321475903e-5</v>
      </c>
      <c r="E373" s="18">
        <f t="shared" si="1"/>
        <v>1.34478077972071e-5</v>
      </c>
      <c r="G373" s="16" t="s">
        <v>581</v>
      </c>
      <c r="H373" s="16">
        <v>2009</v>
      </c>
      <c r="I373" s="19">
        <v>0.0001152080603665</v>
      </c>
    </row>
    <row r="374" ht="22.5" customHeight="1" spans="1:9">
      <c r="A374" s="16" t="s">
        <v>521</v>
      </c>
      <c r="B374" s="16">
        <v>15</v>
      </c>
      <c r="C374" s="19">
        <v>0.00016252755687531</v>
      </c>
      <c r="D374" s="17">
        <f t="shared" si="0"/>
        <v>1.03000613883659e-5</v>
      </c>
      <c r="E374" s="18">
        <f t="shared" si="1"/>
        <v>1.26073198098816e-5</v>
      </c>
      <c r="G374" s="16" t="s">
        <v>613</v>
      </c>
      <c r="H374" s="16">
        <v>1968</v>
      </c>
      <c r="I374" s="19">
        <v>0.000112856875461062</v>
      </c>
    </row>
    <row r="375" ht="22.5" customHeight="1" spans="1:9">
      <c r="A375" s="16" t="s">
        <v>744</v>
      </c>
      <c r="B375" s="16">
        <v>15</v>
      </c>
      <c r="C375" s="19">
        <v>6.14478981031695e-5</v>
      </c>
      <c r="D375" s="17">
        <f t="shared" si="0"/>
        <v>1.03000613883659e-5</v>
      </c>
      <c r="E375" s="18">
        <f t="shared" si="1"/>
        <v>1.26073198098816e-5</v>
      </c>
      <c r="G375" s="16" t="s">
        <v>467</v>
      </c>
      <c r="H375" s="16">
        <v>1952</v>
      </c>
      <c r="I375" s="19">
        <v>0.000111939339888207</v>
      </c>
    </row>
    <row r="376" ht="22.5" customHeight="1" spans="1:9">
      <c r="A376" s="16" t="s">
        <v>775</v>
      </c>
      <c r="B376" s="16">
        <v>15</v>
      </c>
      <c r="C376" s="19">
        <v>5.40336117869017e-5</v>
      </c>
      <c r="D376" s="17">
        <f t="shared" si="0"/>
        <v>1.03000613883659e-5</v>
      </c>
      <c r="E376" s="18">
        <f t="shared" si="1"/>
        <v>1.26073198098816e-5</v>
      </c>
      <c r="G376" s="16" t="s">
        <v>612</v>
      </c>
      <c r="H376" s="16">
        <v>1949</v>
      </c>
      <c r="I376" s="19">
        <v>0.000111767301968297</v>
      </c>
    </row>
    <row r="377" ht="22.5" customHeight="1" spans="1:9">
      <c r="A377" s="16" t="s">
        <v>847</v>
      </c>
      <c r="B377" s="16">
        <v>15</v>
      </c>
      <c r="C377" s="19">
        <v>4.14986672953697e-5</v>
      </c>
      <c r="D377" s="17">
        <f t="shared" si="0"/>
        <v>1.03000613883659e-5</v>
      </c>
      <c r="E377" s="18">
        <f t="shared" si="1"/>
        <v>1.26073198098816e-5</v>
      </c>
      <c r="G377" s="16" t="s">
        <v>616</v>
      </c>
      <c r="H377" s="16">
        <v>1942</v>
      </c>
      <c r="I377" s="19">
        <v>0.000111365880155174</v>
      </c>
    </row>
    <row r="378" ht="22.5" customHeight="1" spans="1:9">
      <c r="A378" s="16" t="s">
        <v>913</v>
      </c>
      <c r="B378" s="16">
        <v>15</v>
      </c>
      <c r="C378" s="19">
        <v>3.12040107555158e-5</v>
      </c>
      <c r="D378" s="17">
        <f t="shared" si="0"/>
        <v>1.03000613883659e-5</v>
      </c>
      <c r="E378" s="18">
        <f t="shared" si="1"/>
        <v>1.26073198098816e-5</v>
      </c>
      <c r="G378" s="16" t="s">
        <v>618</v>
      </c>
      <c r="H378" s="16">
        <v>1935</v>
      </c>
      <c r="I378" s="19">
        <v>0.00011096445834205</v>
      </c>
    </row>
    <row r="379" ht="22.5" customHeight="1" spans="1:9">
      <c r="A379" s="16" t="s">
        <v>1081</v>
      </c>
      <c r="B379" s="16">
        <v>15</v>
      </c>
      <c r="C379" s="19">
        <v>1.38684492246737e-5</v>
      </c>
      <c r="D379" s="17">
        <f t="shared" si="0"/>
        <v>1.03000613883659e-5</v>
      </c>
      <c r="E379" s="18">
        <f t="shared" si="1"/>
        <v>1.26073198098816e-5</v>
      </c>
      <c r="G379" s="16" t="s">
        <v>614</v>
      </c>
      <c r="H379" s="16">
        <v>1929</v>
      </c>
      <c r="I379" s="19">
        <v>0.00011062038250223</v>
      </c>
    </row>
    <row r="380" ht="22.5" customHeight="1" spans="1:9">
      <c r="A380" s="16" t="s">
        <v>1199</v>
      </c>
      <c r="B380" s="16">
        <v>15</v>
      </c>
      <c r="C380" s="19">
        <v>7.36094612694218e-6</v>
      </c>
      <c r="D380" s="17">
        <f t="shared" si="0"/>
        <v>1.03000613883659e-5</v>
      </c>
      <c r="E380" s="18">
        <f t="shared" si="1"/>
        <v>1.26073198098816e-5</v>
      </c>
      <c r="G380" s="16" t="s">
        <v>462</v>
      </c>
      <c r="H380" s="16">
        <v>1926</v>
      </c>
      <c r="I380" s="19">
        <v>0.000110448344582319</v>
      </c>
    </row>
    <row r="381" ht="22.5" customHeight="1" spans="1:9">
      <c r="A381" s="16" t="s">
        <v>661</v>
      </c>
      <c r="B381" s="16">
        <v>14</v>
      </c>
      <c r="C381" s="19">
        <v>8.58243646249998e-5</v>
      </c>
      <c r="D381" s="17">
        <f t="shared" si="0"/>
        <v>9.61339062914148e-6</v>
      </c>
      <c r="E381" s="18">
        <f t="shared" si="1"/>
        <v>1.17668318225562e-5</v>
      </c>
      <c r="G381" s="16" t="s">
        <v>622</v>
      </c>
      <c r="H381" s="16">
        <v>1926</v>
      </c>
      <c r="I381" s="19">
        <v>0.000110448344582319</v>
      </c>
    </row>
    <row r="382" ht="22.5" customHeight="1" spans="1:9">
      <c r="A382" s="16" t="s">
        <v>680</v>
      </c>
      <c r="B382" s="16">
        <v>14</v>
      </c>
      <c r="C382" s="19">
        <v>7.69698931969389e-5</v>
      </c>
      <c r="D382" s="17">
        <f t="shared" si="0"/>
        <v>9.61339062914148e-6</v>
      </c>
      <c r="E382" s="18">
        <f t="shared" si="1"/>
        <v>1.17668318225562e-5</v>
      </c>
      <c r="G382" s="16" t="s">
        <v>623</v>
      </c>
      <c r="H382" s="16">
        <v>1911</v>
      </c>
      <c r="I382" s="19">
        <v>0.000109588154982769</v>
      </c>
    </row>
    <row r="383" ht="22.5" customHeight="1" spans="1:9">
      <c r="A383" s="16" t="s">
        <v>767</v>
      </c>
      <c r="B383" s="16">
        <v>14</v>
      </c>
      <c r="C383" s="19">
        <v>5.68606418211621e-5</v>
      </c>
      <c r="D383" s="17">
        <f t="shared" si="0"/>
        <v>9.61339062914148e-6</v>
      </c>
      <c r="E383" s="18">
        <f t="shared" si="1"/>
        <v>1.17668318225562e-5</v>
      </c>
      <c r="G383" s="16" t="s">
        <v>620</v>
      </c>
      <c r="H383" s="16">
        <v>1892</v>
      </c>
      <c r="I383" s="19">
        <v>0.000108498581490004</v>
      </c>
    </row>
    <row r="384" ht="22.5" customHeight="1" spans="1:9">
      <c r="A384" s="16" t="s">
        <v>884</v>
      </c>
      <c r="B384" s="16">
        <v>14</v>
      </c>
      <c r="C384" s="19">
        <v>3.48311436296612e-5</v>
      </c>
      <c r="D384" s="17">
        <f t="shared" si="0"/>
        <v>9.61339062914148e-6</v>
      </c>
      <c r="E384" s="18">
        <f t="shared" si="1"/>
        <v>1.17668318225562e-5</v>
      </c>
      <c r="G384" s="16" t="s">
        <v>603</v>
      </c>
      <c r="H384" s="16">
        <v>1849</v>
      </c>
      <c r="I384" s="19">
        <v>0.000106032704637959</v>
      </c>
    </row>
    <row r="385" ht="22.5" customHeight="1" spans="1:9">
      <c r="A385" s="16" t="s">
        <v>1002</v>
      </c>
      <c r="B385" s="16">
        <v>14</v>
      </c>
      <c r="C385" s="19">
        <v>2.01625915651025e-5</v>
      </c>
      <c r="D385" s="17">
        <f t="shared" si="0"/>
        <v>9.61339062914148e-6</v>
      </c>
      <c r="E385" s="18">
        <f t="shared" si="1"/>
        <v>1.17668318225562e-5</v>
      </c>
      <c r="G385" s="16" t="s">
        <v>626</v>
      </c>
      <c r="H385" s="16">
        <v>1830</v>
      </c>
      <c r="I385" s="19">
        <v>0.000104943131145195</v>
      </c>
    </row>
    <row r="386" ht="22.5" customHeight="1" spans="1:9">
      <c r="A386" s="16" t="s">
        <v>351</v>
      </c>
      <c r="B386" s="16">
        <v>13</v>
      </c>
      <c r="C386" s="19">
        <v>0.00041359982803123</v>
      </c>
      <c r="D386" s="17">
        <f t="shared" si="0"/>
        <v>8.92671986991709e-6</v>
      </c>
      <c r="E386" s="18">
        <f t="shared" si="1"/>
        <v>1.09263438352307e-5</v>
      </c>
      <c r="G386" s="16" t="s">
        <v>628</v>
      </c>
      <c r="H386" s="16">
        <v>1821</v>
      </c>
      <c r="I386" s="19">
        <v>0.000104427017385464</v>
      </c>
    </row>
    <row r="387" ht="22.5" customHeight="1" spans="1:9">
      <c r="A387" s="16" t="s">
        <v>1194</v>
      </c>
      <c r="B387" s="16">
        <v>13</v>
      </c>
      <c r="C387" s="19">
        <v>7.62764707357052e-6</v>
      </c>
      <c r="D387" s="17">
        <f t="shared" si="0"/>
        <v>8.92671986991709e-6</v>
      </c>
      <c r="E387" s="18">
        <f t="shared" si="1"/>
        <v>1.09263438352307e-5</v>
      </c>
      <c r="G387" s="16" t="s">
        <v>631</v>
      </c>
      <c r="H387" s="16">
        <v>1813</v>
      </c>
      <c r="I387" s="19">
        <v>0.000103968249599037</v>
      </c>
    </row>
    <row r="388" ht="22.5" customHeight="1" spans="1:9">
      <c r="A388" s="16" t="s">
        <v>1263</v>
      </c>
      <c r="B388" s="16">
        <v>13</v>
      </c>
      <c r="C388" s="19">
        <v>4.58725628200745e-6</v>
      </c>
      <c r="D388" s="17">
        <f t="shared" si="0"/>
        <v>8.92671986991709e-6</v>
      </c>
      <c r="E388" s="18">
        <f t="shared" si="1"/>
        <v>1.09263438352307e-5</v>
      </c>
      <c r="G388" s="16" t="s">
        <v>637</v>
      </c>
      <c r="H388" s="16">
        <v>1790</v>
      </c>
      <c r="I388" s="19">
        <v>0.000102649292213059</v>
      </c>
    </row>
    <row r="389" ht="22.5" customHeight="1" spans="1:9">
      <c r="A389" s="16" t="s">
        <v>1343</v>
      </c>
      <c r="B389" s="16">
        <v>13</v>
      </c>
      <c r="C389" s="19">
        <v>2.40030851965506e-6</v>
      </c>
      <c r="D389" s="17">
        <f t="shared" si="0"/>
        <v>8.92671986991709e-6</v>
      </c>
      <c r="E389" s="18">
        <f t="shared" si="1"/>
        <v>1.09263438352307e-5</v>
      </c>
      <c r="G389" s="16" t="s">
        <v>633</v>
      </c>
      <c r="H389" s="16">
        <v>1787</v>
      </c>
      <c r="I389" s="19">
        <v>0.000102477254293149</v>
      </c>
    </row>
    <row r="390" ht="22.5" customHeight="1" spans="1:9">
      <c r="A390" s="16" t="s">
        <v>491</v>
      </c>
      <c r="B390" s="16">
        <v>12</v>
      </c>
      <c r="C390" s="19">
        <v>0.000187917486994328</v>
      </c>
      <c r="D390" s="17">
        <f t="shared" si="0"/>
        <v>8.2400491106927e-6</v>
      </c>
      <c r="E390" s="18">
        <f t="shared" si="1"/>
        <v>1.00858558479053e-5</v>
      </c>
      <c r="G390" s="16" t="s">
        <v>639</v>
      </c>
      <c r="H390" s="16">
        <v>1783</v>
      </c>
      <c r="I390" s="19">
        <v>0.000102247870399935</v>
      </c>
    </row>
    <row r="391" ht="22.5" customHeight="1" spans="1:9">
      <c r="A391" s="16" t="s">
        <v>269</v>
      </c>
      <c r="B391" s="16">
        <v>12</v>
      </c>
      <c r="C391" s="19">
        <v>5.32335089470167e-5</v>
      </c>
      <c r="D391" s="17">
        <f t="shared" si="0"/>
        <v>8.2400491106927e-6</v>
      </c>
      <c r="E391" s="18">
        <f t="shared" si="1"/>
        <v>1.00858558479053e-5</v>
      </c>
      <c r="G391" s="16" t="s">
        <v>635</v>
      </c>
      <c r="H391" s="16">
        <v>1779</v>
      </c>
      <c r="I391" s="19">
        <v>0.000102018486506722</v>
      </c>
    </row>
    <row r="392" ht="22.5" customHeight="1" spans="1:9">
      <c r="A392" s="16" t="s">
        <v>839</v>
      </c>
      <c r="B392" s="16">
        <v>12</v>
      </c>
      <c r="C392" s="19">
        <v>4.35789346790707e-5</v>
      </c>
      <c r="D392" s="17">
        <f t="shared" si="0"/>
        <v>8.2400491106927e-6</v>
      </c>
      <c r="E392" s="18">
        <f t="shared" si="1"/>
        <v>1.00858558479053e-5</v>
      </c>
      <c r="G392" s="16" t="s">
        <v>634</v>
      </c>
      <c r="H392" s="16">
        <v>1774</v>
      </c>
      <c r="I392" s="19">
        <v>0.000101731756640205</v>
      </c>
    </row>
    <row r="393" ht="22.5" customHeight="1" spans="1:9">
      <c r="A393" s="16" t="s">
        <v>978</v>
      </c>
      <c r="B393" s="16">
        <v>12</v>
      </c>
      <c r="C393" s="19">
        <v>2.30429617886886e-5</v>
      </c>
      <c r="D393" s="17">
        <f t="shared" si="0"/>
        <v>8.2400491106927e-6</v>
      </c>
      <c r="E393" s="18">
        <f t="shared" si="1"/>
        <v>1.00858558479053e-5</v>
      </c>
      <c r="G393" s="16" t="s">
        <v>642</v>
      </c>
      <c r="H393" s="16">
        <v>1772</v>
      </c>
      <c r="I393" s="19">
        <v>0.000101617064693598</v>
      </c>
    </row>
    <row r="394" ht="22.5" customHeight="1" spans="1:9">
      <c r="A394" s="16" t="s">
        <v>1007</v>
      </c>
      <c r="B394" s="16">
        <v>12</v>
      </c>
      <c r="C394" s="19">
        <v>1.96825298611715e-5</v>
      </c>
      <c r="D394" s="17">
        <f t="shared" si="0"/>
        <v>8.2400491106927e-6</v>
      </c>
      <c r="E394" s="18">
        <f t="shared" si="1"/>
        <v>1.00858558479053e-5</v>
      </c>
      <c r="G394" s="16" t="s">
        <v>650</v>
      </c>
      <c r="H394" s="16">
        <v>1762</v>
      </c>
      <c r="I394" s="19">
        <v>0.000101043604960564</v>
      </c>
    </row>
    <row r="395" ht="22.5" customHeight="1" spans="1:9">
      <c r="A395" s="16" t="s">
        <v>1124</v>
      </c>
      <c r="B395" s="16">
        <v>12</v>
      </c>
      <c r="C395" s="19">
        <v>1.13614603263673e-5</v>
      </c>
      <c r="D395" s="17">
        <f t="shared" si="0"/>
        <v>8.2400491106927e-6</v>
      </c>
      <c r="E395" s="18">
        <f t="shared" si="1"/>
        <v>1.00858558479053e-5</v>
      </c>
      <c r="G395" s="16" t="s">
        <v>591</v>
      </c>
      <c r="H395" s="16">
        <v>1751</v>
      </c>
      <c r="I395" s="19">
        <v>0.000100412799254227</v>
      </c>
    </row>
    <row r="396" ht="22.5" customHeight="1" spans="1:9">
      <c r="A396" s="16" t="s">
        <v>1252</v>
      </c>
      <c r="B396" s="16">
        <v>12</v>
      </c>
      <c r="C396" s="19">
        <v>5.1739983645898e-6</v>
      </c>
      <c r="D396" s="17">
        <f t="shared" si="0"/>
        <v>8.2400491106927e-6</v>
      </c>
      <c r="E396" s="18">
        <f t="shared" si="1"/>
        <v>1.00858558479053e-5</v>
      </c>
      <c r="G396" s="16" t="s">
        <v>652</v>
      </c>
      <c r="H396" s="16">
        <v>1749</v>
      </c>
      <c r="I396" s="19">
        <v>0.00010029810730762</v>
      </c>
    </row>
    <row r="397" ht="22.5" customHeight="1" spans="1:9">
      <c r="A397" s="16" t="s">
        <v>373</v>
      </c>
      <c r="B397" s="16">
        <v>11</v>
      </c>
      <c r="C397" s="19">
        <v>0.000351298486898849</v>
      </c>
      <c r="D397" s="17">
        <f t="shared" si="0"/>
        <v>7.55337835146831e-6</v>
      </c>
      <c r="E397" s="18">
        <f t="shared" si="1"/>
        <v>9.24536786057985e-6</v>
      </c>
      <c r="G397" s="16" t="s">
        <v>649</v>
      </c>
      <c r="H397" s="16">
        <v>1749</v>
      </c>
      <c r="I397" s="19">
        <v>0.00010029810730762</v>
      </c>
    </row>
    <row r="398" ht="22.5" customHeight="1" spans="1:9">
      <c r="A398" s="16" t="s">
        <v>926</v>
      </c>
      <c r="B398" s="16">
        <v>11</v>
      </c>
      <c r="C398" s="19">
        <v>2.92837639397917e-5</v>
      </c>
      <c r="D398" s="17">
        <f t="shared" si="0"/>
        <v>7.55337835146831e-6</v>
      </c>
      <c r="E398" s="18">
        <f t="shared" si="1"/>
        <v>9.24536786057985e-6</v>
      </c>
      <c r="G398" s="16" t="s">
        <v>605</v>
      </c>
      <c r="H398" s="16">
        <v>1707</v>
      </c>
      <c r="I398" s="19">
        <v>9.78895764288782e-5</v>
      </c>
    </row>
    <row r="399" ht="22.5" customHeight="1" spans="1:9">
      <c r="A399" s="16" t="s">
        <v>942</v>
      </c>
      <c r="B399" s="16">
        <v>11</v>
      </c>
      <c r="C399" s="19">
        <v>2.635005352688e-5</v>
      </c>
      <c r="D399" s="17">
        <f t="shared" si="0"/>
        <v>7.55337835146831e-6</v>
      </c>
      <c r="E399" s="18">
        <f t="shared" si="1"/>
        <v>9.24536786057985e-6</v>
      </c>
      <c r="G399" s="16" t="s">
        <v>629</v>
      </c>
      <c r="H399" s="16">
        <v>1703</v>
      </c>
      <c r="I399" s="19">
        <v>9.76601925356646e-5</v>
      </c>
    </row>
    <row r="400" ht="22.5" customHeight="1" spans="1:9">
      <c r="A400" s="16" t="s">
        <v>953</v>
      </c>
      <c r="B400" s="16">
        <v>11</v>
      </c>
      <c r="C400" s="19">
        <v>2.48565282257613e-5</v>
      </c>
      <c r="D400" s="17">
        <f t="shared" si="0"/>
        <v>7.55337835146831e-6</v>
      </c>
      <c r="E400" s="18">
        <f t="shared" si="1"/>
        <v>9.24536786057985e-6</v>
      </c>
      <c r="G400" s="16" t="s">
        <v>655</v>
      </c>
      <c r="H400" s="16">
        <v>1688</v>
      </c>
      <c r="I400" s="19">
        <v>9.68000029361138e-5</v>
      </c>
    </row>
    <row r="401" ht="22.5" customHeight="1" spans="1:9">
      <c r="A401" s="16" t="s">
        <v>1090</v>
      </c>
      <c r="B401" s="16">
        <v>11</v>
      </c>
      <c r="C401" s="19">
        <v>1.33883875207427e-5</v>
      </c>
      <c r="D401" s="17">
        <f t="shared" si="0"/>
        <v>7.55337835146831e-6</v>
      </c>
      <c r="E401" s="18">
        <f t="shared" si="1"/>
        <v>9.24536786057985e-6</v>
      </c>
      <c r="G401" s="16" t="s">
        <v>656</v>
      </c>
      <c r="H401" s="16">
        <v>1685</v>
      </c>
      <c r="I401" s="19">
        <v>9.66279650162037e-5</v>
      </c>
    </row>
    <row r="402" ht="22.5" customHeight="1" spans="1:9">
      <c r="A402" s="16" t="s">
        <v>1155</v>
      </c>
      <c r="B402" s="16">
        <v>11</v>
      </c>
      <c r="C402" s="19">
        <v>9.86793502524858e-6</v>
      </c>
      <c r="D402" s="17">
        <f t="shared" si="0"/>
        <v>7.55337835146831e-6</v>
      </c>
      <c r="E402" s="18">
        <f t="shared" si="1"/>
        <v>9.24536786057985e-6</v>
      </c>
      <c r="G402" s="16" t="s">
        <v>653</v>
      </c>
      <c r="H402" s="16">
        <v>1685</v>
      </c>
      <c r="I402" s="19">
        <v>9.66279650162037e-5</v>
      </c>
    </row>
    <row r="403" ht="22.5" customHeight="1" spans="1:9">
      <c r="A403" s="16" t="s">
        <v>1170</v>
      </c>
      <c r="B403" s="16">
        <v>11</v>
      </c>
      <c r="C403" s="19">
        <v>8.90781161738656e-6</v>
      </c>
      <c r="D403" s="17">
        <f t="shared" si="0"/>
        <v>7.55337835146831e-6</v>
      </c>
      <c r="E403" s="18">
        <f t="shared" si="1"/>
        <v>9.24536786057985e-6</v>
      </c>
      <c r="G403" s="16" t="s">
        <v>657</v>
      </c>
      <c r="H403" s="16">
        <v>1683</v>
      </c>
      <c r="I403" s="19">
        <v>9.65132730695969e-5</v>
      </c>
    </row>
    <row r="404" ht="22.5" customHeight="1" spans="1:9">
      <c r="A404" s="16" t="s">
        <v>1247</v>
      </c>
      <c r="B404" s="16">
        <v>11</v>
      </c>
      <c r="C404" s="19">
        <v>5.3340189325668e-6</v>
      </c>
      <c r="D404" s="17">
        <f t="shared" si="0"/>
        <v>7.55337835146831e-6</v>
      </c>
      <c r="E404" s="18">
        <f t="shared" si="1"/>
        <v>9.24536786057985e-6</v>
      </c>
      <c r="G404" s="16" t="s">
        <v>541</v>
      </c>
      <c r="H404" s="16">
        <v>1642</v>
      </c>
      <c r="I404" s="19">
        <v>9.41620881641581e-5</v>
      </c>
    </row>
    <row r="405" ht="22.5" customHeight="1" spans="1:9">
      <c r="A405" s="16" t="s">
        <v>1264</v>
      </c>
      <c r="B405" s="16">
        <v>11</v>
      </c>
      <c r="C405" s="19">
        <v>4.58725628200745e-6</v>
      </c>
      <c r="D405" s="17">
        <f t="shared" si="0"/>
        <v>7.55337835146831e-6</v>
      </c>
      <c r="E405" s="18">
        <f t="shared" si="1"/>
        <v>9.24536786057985e-6</v>
      </c>
      <c r="G405" s="16" t="s">
        <v>1473</v>
      </c>
      <c r="H405" s="16">
        <v>1635</v>
      </c>
      <c r="I405" s="19">
        <v>9.37606663510344e-5</v>
      </c>
    </row>
    <row r="406" ht="22.5" customHeight="1" spans="1:9">
      <c r="A406" s="16" t="s">
        <v>1274</v>
      </c>
      <c r="B406" s="16">
        <v>11</v>
      </c>
      <c r="C406" s="19">
        <v>4.26721514605344e-6</v>
      </c>
      <c r="D406" s="17">
        <f t="shared" si="0"/>
        <v>7.55337835146831e-6</v>
      </c>
      <c r="E406" s="18">
        <f t="shared" si="1"/>
        <v>9.24536786057985e-6</v>
      </c>
      <c r="G406" s="16" t="s">
        <v>615</v>
      </c>
      <c r="H406" s="16">
        <v>1631</v>
      </c>
      <c r="I406" s="19">
        <v>9.35312824578209e-5</v>
      </c>
    </row>
    <row r="407" ht="22.5" customHeight="1" spans="1:9">
      <c r="A407" s="16" t="s">
        <v>512</v>
      </c>
      <c r="B407" s="16">
        <v>10</v>
      </c>
      <c r="C407" s="19">
        <v>0.000169621802055624</v>
      </c>
      <c r="D407" s="17">
        <f t="shared" si="0"/>
        <v>6.86670759224392e-6</v>
      </c>
      <c r="E407" s="18">
        <f t="shared" si="1"/>
        <v>8.40487987325441e-6</v>
      </c>
      <c r="G407" s="16" t="s">
        <v>645</v>
      </c>
      <c r="H407" s="16">
        <v>1615</v>
      </c>
      <c r="I407" s="19">
        <v>9.26137468849667e-5</v>
      </c>
    </row>
    <row r="408" ht="22.5" customHeight="1" spans="1:9">
      <c r="A408" s="16" t="s">
        <v>792</v>
      </c>
      <c r="B408" s="16">
        <v>10</v>
      </c>
      <c r="C408" s="19">
        <v>5.15266228885953e-5</v>
      </c>
      <c r="D408" s="17">
        <f t="shared" si="0"/>
        <v>6.86670759224392e-6</v>
      </c>
      <c r="E408" s="18">
        <f t="shared" si="1"/>
        <v>8.40487987325441e-6</v>
      </c>
      <c r="G408" s="16" t="s">
        <v>658</v>
      </c>
      <c r="H408" s="16">
        <v>1609</v>
      </c>
      <c r="I408" s="19">
        <v>9.22696710451464e-5</v>
      </c>
    </row>
    <row r="409" ht="22.5" customHeight="1" spans="1:9">
      <c r="A409" s="16" t="s">
        <v>814</v>
      </c>
      <c r="B409" s="16">
        <v>10</v>
      </c>
      <c r="C409" s="19">
        <v>4.84328919077065e-5</v>
      </c>
      <c r="D409" s="17">
        <f t="shared" si="0"/>
        <v>6.86670759224392e-6</v>
      </c>
      <c r="E409" s="18">
        <f t="shared" si="1"/>
        <v>8.40487987325441e-6</v>
      </c>
      <c r="G409" s="16" t="s">
        <v>663</v>
      </c>
      <c r="H409" s="16">
        <v>1602</v>
      </c>
      <c r="I409" s="19">
        <v>9.18682492320227e-5</v>
      </c>
    </row>
    <row r="410" ht="22.5" customHeight="1" spans="1:9">
      <c r="A410" s="16" t="s">
        <v>1289</v>
      </c>
      <c r="B410" s="16">
        <v>10</v>
      </c>
      <c r="C410" s="19">
        <v>3.78715344212243e-6</v>
      </c>
      <c r="D410" s="17">
        <f t="shared" si="0"/>
        <v>6.86670759224392e-6</v>
      </c>
      <c r="E410" s="18">
        <f t="shared" si="1"/>
        <v>8.40487987325441e-6</v>
      </c>
      <c r="G410" s="16" t="s">
        <v>661</v>
      </c>
      <c r="H410" s="16">
        <v>1595</v>
      </c>
      <c r="I410" s="19">
        <v>9.1466827418899e-5</v>
      </c>
    </row>
    <row r="411" ht="22.5" customHeight="1" spans="1:9">
      <c r="A411" s="16" t="s">
        <v>1318</v>
      </c>
      <c r="B411" s="16">
        <v>10</v>
      </c>
      <c r="C411" s="19">
        <v>2.98705060223741e-6</v>
      </c>
      <c r="D411" s="17">
        <f t="shared" si="0"/>
        <v>6.86670759224392e-6</v>
      </c>
      <c r="E411" s="18">
        <f t="shared" si="1"/>
        <v>8.40487987325441e-6</v>
      </c>
      <c r="G411" s="16" t="s">
        <v>664</v>
      </c>
      <c r="H411" s="16">
        <v>1593</v>
      </c>
      <c r="I411" s="19">
        <v>9.13521354722923e-5</v>
      </c>
    </row>
    <row r="412" ht="22.5" customHeight="1" spans="1:9">
      <c r="A412" s="16" t="s">
        <v>593</v>
      </c>
      <c r="B412" s="16">
        <v>9</v>
      </c>
      <c r="C412" s="19">
        <v>0.000121295590526569</v>
      </c>
      <c r="D412" s="17">
        <f t="shared" si="0"/>
        <v>6.18003683301953e-6</v>
      </c>
      <c r="E412" s="18">
        <f t="shared" si="1"/>
        <v>7.56439188592897e-6</v>
      </c>
      <c r="G412" s="16" t="s">
        <v>665</v>
      </c>
      <c r="H412" s="16">
        <v>1591</v>
      </c>
      <c r="I412" s="19">
        <v>9.12374435256855e-5</v>
      </c>
    </row>
    <row r="413" ht="22.5" customHeight="1" spans="1:9">
      <c r="A413" s="16" t="s">
        <v>692</v>
      </c>
      <c r="B413" s="16">
        <v>9</v>
      </c>
      <c r="C413" s="19">
        <v>7.45162444879582e-5</v>
      </c>
      <c r="D413" s="17">
        <f t="shared" si="0"/>
        <v>6.18003683301953e-6</v>
      </c>
      <c r="E413" s="18">
        <f t="shared" si="1"/>
        <v>7.56439188592897e-6</v>
      </c>
      <c r="G413" s="16" t="s">
        <v>670</v>
      </c>
      <c r="H413" s="16">
        <v>1560</v>
      </c>
      <c r="I413" s="19">
        <v>8.94597183532806e-5</v>
      </c>
    </row>
    <row r="414" ht="22.5" customHeight="1" spans="1:9">
      <c r="A414" s="16" t="s">
        <v>905</v>
      </c>
      <c r="B414" s="16">
        <v>9</v>
      </c>
      <c r="C414" s="19">
        <v>3.22708145420291e-5</v>
      </c>
      <c r="D414" s="17">
        <f t="shared" si="0"/>
        <v>6.18003683301953e-6</v>
      </c>
      <c r="E414" s="18">
        <f t="shared" si="1"/>
        <v>7.56439188592897e-6</v>
      </c>
      <c r="G414" s="16" t="s">
        <v>669</v>
      </c>
      <c r="H414" s="16">
        <v>1559</v>
      </c>
      <c r="I414" s="19">
        <v>8.94023723799772e-5</v>
      </c>
    </row>
    <row r="415" ht="22.5" customHeight="1" spans="1:9">
      <c r="A415" s="16" t="s">
        <v>952</v>
      </c>
      <c r="B415" s="16">
        <v>9</v>
      </c>
      <c r="C415" s="19">
        <v>2.50165487937383e-5</v>
      </c>
      <c r="D415" s="17">
        <f t="shared" si="0"/>
        <v>6.18003683301953e-6</v>
      </c>
      <c r="E415" s="18">
        <f t="shared" si="1"/>
        <v>7.56439188592897e-6</v>
      </c>
      <c r="G415" s="16" t="s">
        <v>671</v>
      </c>
      <c r="H415" s="16">
        <v>1539</v>
      </c>
      <c r="I415" s="19">
        <v>8.82554529139095e-5</v>
      </c>
    </row>
    <row r="416" ht="22.5" customHeight="1" spans="1:9">
      <c r="A416" s="16" t="s">
        <v>875</v>
      </c>
      <c r="B416" s="16">
        <v>9</v>
      </c>
      <c r="C416" s="19">
        <v>1.89357672106121e-5</v>
      </c>
      <c r="D416" s="17">
        <f t="shared" si="0"/>
        <v>6.18003683301953e-6</v>
      </c>
      <c r="E416" s="18">
        <f t="shared" si="1"/>
        <v>7.56439188592897e-6</v>
      </c>
      <c r="G416" s="16" t="s">
        <v>673</v>
      </c>
      <c r="H416" s="16">
        <v>1533</v>
      </c>
      <c r="I416" s="19">
        <v>8.79113770740892e-5</v>
      </c>
    </row>
    <row r="417" ht="22.5" customHeight="1" spans="1:9">
      <c r="A417" s="16" t="s">
        <v>1053</v>
      </c>
      <c r="B417" s="16">
        <v>9</v>
      </c>
      <c r="C417" s="19">
        <v>1.58953764190491e-5</v>
      </c>
      <c r="D417" s="17">
        <f t="shared" si="0"/>
        <v>6.18003683301953e-6</v>
      </c>
      <c r="E417" s="18">
        <f t="shared" si="1"/>
        <v>7.56439188592897e-6</v>
      </c>
      <c r="G417" s="16" t="s">
        <v>674</v>
      </c>
      <c r="H417" s="16">
        <v>1521</v>
      </c>
      <c r="I417" s="19">
        <v>8.72232253944485e-5</v>
      </c>
    </row>
    <row r="418" ht="22.5" customHeight="1" spans="1:9">
      <c r="A418" s="16" t="s">
        <v>1138</v>
      </c>
      <c r="B418" s="16">
        <v>9</v>
      </c>
      <c r="C418" s="19">
        <v>1.04013369185053e-5</v>
      </c>
      <c r="D418" s="17">
        <f t="shared" si="0"/>
        <v>6.18003683301953e-6</v>
      </c>
      <c r="E418" s="18">
        <f t="shared" si="1"/>
        <v>7.56439188592897e-6</v>
      </c>
      <c r="G418" s="16" t="s">
        <v>675</v>
      </c>
      <c r="H418" s="16">
        <v>1520</v>
      </c>
      <c r="I418" s="19">
        <v>8.71658794211452e-5</v>
      </c>
    </row>
    <row r="419" ht="22.5" customHeight="1" spans="1:9">
      <c r="A419" s="16" t="s">
        <v>1223</v>
      </c>
      <c r="B419" s="16">
        <v>9</v>
      </c>
      <c r="C419" s="19">
        <v>6.18746196177749e-6</v>
      </c>
      <c r="D419" s="17">
        <f t="shared" si="0"/>
        <v>6.18003683301953e-6</v>
      </c>
      <c r="E419" s="18">
        <f t="shared" si="1"/>
        <v>7.56439188592897e-6</v>
      </c>
      <c r="G419" s="16" t="s">
        <v>676</v>
      </c>
      <c r="H419" s="16">
        <v>1520</v>
      </c>
      <c r="I419" s="19">
        <v>8.71658794211452e-5</v>
      </c>
    </row>
    <row r="420" ht="22.5" customHeight="1" spans="1:9">
      <c r="A420" s="16" t="s">
        <v>518</v>
      </c>
      <c r="B420" s="16">
        <v>8</v>
      </c>
      <c r="C420" s="19">
        <v>0.000162580897064636</v>
      </c>
      <c r="D420" s="17">
        <f t="shared" si="0"/>
        <v>5.49336607379513e-6</v>
      </c>
      <c r="E420" s="18">
        <f t="shared" si="1"/>
        <v>6.72390389860353e-6</v>
      </c>
      <c r="G420" s="16" t="s">
        <v>672</v>
      </c>
      <c r="H420" s="16">
        <v>1512</v>
      </c>
      <c r="I420" s="19">
        <v>8.67071116347181e-5</v>
      </c>
    </row>
    <row r="421" ht="22.5" customHeight="1" spans="1:9">
      <c r="A421" s="16" t="s">
        <v>734</v>
      </c>
      <c r="B421" s="16">
        <v>8</v>
      </c>
      <c r="C421" s="19">
        <v>6.52883917346176e-5</v>
      </c>
      <c r="D421" s="17">
        <f t="shared" si="0"/>
        <v>5.49336607379513e-6</v>
      </c>
      <c r="E421" s="18">
        <f t="shared" si="1"/>
        <v>6.72390389860353e-6</v>
      </c>
      <c r="G421" s="16" t="s">
        <v>668</v>
      </c>
      <c r="H421" s="16">
        <v>1504</v>
      </c>
      <c r="I421" s="19">
        <v>8.6248343848291e-5</v>
      </c>
    </row>
    <row r="422" ht="22.5" customHeight="1" spans="1:9">
      <c r="A422" s="16" t="s">
        <v>802</v>
      </c>
      <c r="B422" s="16">
        <v>8</v>
      </c>
      <c r="C422" s="19">
        <v>4.98197368301739e-5</v>
      </c>
      <c r="D422" s="17">
        <f t="shared" si="0"/>
        <v>5.49336607379513e-6</v>
      </c>
      <c r="E422" s="18">
        <f t="shared" si="1"/>
        <v>6.72390389860353e-6</v>
      </c>
      <c r="G422" s="16" t="s">
        <v>611</v>
      </c>
      <c r="H422" s="16">
        <v>1495</v>
      </c>
      <c r="I422" s="19">
        <v>8.57322300885605e-5</v>
      </c>
    </row>
    <row r="423" ht="22.5" customHeight="1" spans="1:9">
      <c r="A423" s="16" t="s">
        <v>865</v>
      </c>
      <c r="B423" s="16">
        <v>8</v>
      </c>
      <c r="C423" s="19">
        <v>3.80315549892013e-5</v>
      </c>
      <c r="D423" s="17">
        <f t="shared" si="0"/>
        <v>5.49336607379513e-6</v>
      </c>
      <c r="E423" s="18">
        <f t="shared" si="1"/>
        <v>6.72390389860353e-6</v>
      </c>
      <c r="G423" s="16" t="s">
        <v>677</v>
      </c>
      <c r="H423" s="16">
        <v>1490</v>
      </c>
      <c r="I423" s="19">
        <v>8.54455002220436e-5</v>
      </c>
    </row>
    <row r="424" ht="22.5" customHeight="1" spans="1:9">
      <c r="A424" s="16" t="s">
        <v>971</v>
      </c>
      <c r="B424" s="16">
        <v>8</v>
      </c>
      <c r="C424" s="19">
        <v>2.36297038712709e-5</v>
      </c>
      <c r="D424" s="17">
        <f t="shared" si="0"/>
        <v>5.49336607379513e-6</v>
      </c>
      <c r="E424" s="18">
        <f t="shared" si="1"/>
        <v>6.72390389860353e-6</v>
      </c>
      <c r="G424" s="16" t="s">
        <v>679</v>
      </c>
      <c r="H424" s="16">
        <v>1460</v>
      </c>
      <c r="I424" s="19">
        <v>8.37251210229421e-5</v>
      </c>
    </row>
    <row r="425" ht="22.5" customHeight="1" spans="1:9">
      <c r="A425" s="16" t="s">
        <v>1031</v>
      </c>
      <c r="B425" s="16">
        <v>8</v>
      </c>
      <c r="C425" s="19">
        <v>1.78156232347731e-5</v>
      </c>
      <c r="D425" s="17">
        <f t="shared" si="0"/>
        <v>5.49336607379513e-6</v>
      </c>
      <c r="E425" s="18">
        <f t="shared" si="1"/>
        <v>6.72390389860353e-6</v>
      </c>
      <c r="G425" s="16" t="s">
        <v>680</v>
      </c>
      <c r="H425" s="16">
        <v>1429</v>
      </c>
      <c r="I425" s="19">
        <v>8.19473958505371e-5</v>
      </c>
    </row>
    <row r="426" ht="22.5" customHeight="1" spans="1:9">
      <c r="A426" s="16" t="s">
        <v>1041</v>
      </c>
      <c r="B426" s="16">
        <v>8</v>
      </c>
      <c r="C426" s="19">
        <v>1.69088400162368e-5</v>
      </c>
      <c r="D426" s="17">
        <f t="shared" si="0"/>
        <v>5.49336607379513e-6</v>
      </c>
      <c r="E426" s="18">
        <f t="shared" si="1"/>
        <v>6.72390389860353e-6</v>
      </c>
      <c r="G426" s="16" t="s">
        <v>682</v>
      </c>
      <c r="H426" s="16">
        <v>1417</v>
      </c>
      <c r="I426" s="19">
        <v>8.12592441708965e-5</v>
      </c>
    </row>
    <row r="427" ht="22.5" customHeight="1" spans="1:9">
      <c r="A427" s="16" t="s">
        <v>1071</v>
      </c>
      <c r="B427" s="16">
        <v>8</v>
      </c>
      <c r="C427" s="19">
        <v>1.48285726325357e-5</v>
      </c>
      <c r="D427" s="17">
        <f t="shared" si="0"/>
        <v>5.49336607379513e-6</v>
      </c>
      <c r="E427" s="18">
        <f t="shared" si="1"/>
        <v>6.72390389860353e-6</v>
      </c>
      <c r="G427" s="16" t="s">
        <v>690</v>
      </c>
      <c r="H427" s="16">
        <v>1411</v>
      </c>
      <c r="I427" s="19">
        <v>8.09151683310762e-5</v>
      </c>
    </row>
    <row r="428" ht="22.5" customHeight="1" spans="1:9">
      <c r="A428" s="16" t="s">
        <v>1377</v>
      </c>
      <c r="B428" s="16">
        <v>8</v>
      </c>
      <c r="C428" s="19">
        <v>1.44018511179304e-6</v>
      </c>
      <c r="D428" s="17">
        <f t="shared" si="0"/>
        <v>5.49336607379513e-6</v>
      </c>
      <c r="E428" s="18">
        <f t="shared" si="1"/>
        <v>6.72390389860353e-6</v>
      </c>
      <c r="G428" s="16" t="s">
        <v>503</v>
      </c>
      <c r="H428" s="16">
        <v>1408</v>
      </c>
      <c r="I428" s="19">
        <v>8.0743130411166e-5</v>
      </c>
    </row>
    <row r="429" ht="22.5" customHeight="1" spans="1:9">
      <c r="A429" s="16" t="s">
        <v>434</v>
      </c>
      <c r="B429" s="16">
        <v>7</v>
      </c>
      <c r="C429" s="19">
        <v>0.000239017388368318</v>
      </c>
      <c r="D429" s="17">
        <f t="shared" si="0"/>
        <v>4.80669531457074e-6</v>
      </c>
      <c r="E429" s="18">
        <f t="shared" si="1"/>
        <v>5.88341591127809e-6</v>
      </c>
      <c r="G429" s="16" t="s">
        <v>545</v>
      </c>
      <c r="H429" s="16">
        <v>1403</v>
      </c>
      <c r="I429" s="19">
        <v>8.04564005446491e-5</v>
      </c>
    </row>
    <row r="430" ht="22.5" customHeight="1" spans="1:9">
      <c r="A430" s="16" t="s">
        <v>563</v>
      </c>
      <c r="B430" s="16">
        <v>7</v>
      </c>
      <c r="C430" s="19">
        <v>0.000141244821334369</v>
      </c>
      <c r="D430" s="17">
        <f t="shared" si="0"/>
        <v>4.80669531457074e-6</v>
      </c>
      <c r="E430" s="18">
        <f t="shared" si="1"/>
        <v>5.88341591127809e-6</v>
      </c>
      <c r="G430" s="16" t="s">
        <v>693</v>
      </c>
      <c r="H430" s="16">
        <v>1396</v>
      </c>
      <c r="I430" s="19">
        <v>8.00549787315254e-5</v>
      </c>
    </row>
    <row r="431" ht="22.5" customHeight="1" spans="1:9">
      <c r="A431" s="16" t="s">
        <v>825</v>
      </c>
      <c r="B431" s="16">
        <v>7</v>
      </c>
      <c r="C431" s="19">
        <v>4.59792431987258e-5</v>
      </c>
      <c r="D431" s="17">
        <f t="shared" si="0"/>
        <v>4.80669531457074e-6</v>
      </c>
      <c r="E431" s="18">
        <f t="shared" si="1"/>
        <v>5.88341591127809e-6</v>
      </c>
      <c r="G431" s="16" t="s">
        <v>692</v>
      </c>
      <c r="H431" s="16">
        <v>1388</v>
      </c>
      <c r="I431" s="19">
        <v>7.95962109450983e-5</v>
      </c>
    </row>
    <row r="432" ht="22.5" customHeight="1" spans="1:9">
      <c r="A432" s="16" t="s">
        <v>866</v>
      </c>
      <c r="B432" s="16">
        <v>7</v>
      </c>
      <c r="C432" s="19">
        <v>3.76048334745959e-5</v>
      </c>
      <c r="D432" s="17">
        <f t="shared" si="0"/>
        <v>4.80669531457074e-6</v>
      </c>
      <c r="E432" s="18">
        <f t="shared" si="1"/>
        <v>5.88341591127809e-6</v>
      </c>
      <c r="G432" s="16" t="s">
        <v>667</v>
      </c>
      <c r="H432" s="16">
        <v>1387</v>
      </c>
      <c r="I432" s="19">
        <v>7.9538864971795e-5</v>
      </c>
    </row>
    <row r="433" ht="22.5" customHeight="1" spans="1:9">
      <c r="A433" s="16" t="s">
        <v>995</v>
      </c>
      <c r="B433" s="16">
        <v>7</v>
      </c>
      <c r="C433" s="19">
        <v>2.12293953516159e-5</v>
      </c>
      <c r="D433" s="17">
        <f t="shared" si="0"/>
        <v>4.80669531457074e-6</v>
      </c>
      <c r="E433" s="18">
        <f t="shared" si="1"/>
        <v>5.88341591127809e-6</v>
      </c>
      <c r="G433" s="16" t="s">
        <v>685</v>
      </c>
      <c r="H433" s="16">
        <v>1371</v>
      </c>
      <c r="I433" s="19">
        <v>7.86213293989408e-5</v>
      </c>
    </row>
    <row r="434" ht="22.5" customHeight="1" spans="1:9">
      <c r="A434" s="16" t="s">
        <v>1020</v>
      </c>
      <c r="B434" s="16">
        <v>7</v>
      </c>
      <c r="C434" s="19">
        <v>1.89357672106121e-5</v>
      </c>
      <c r="D434" s="17">
        <f t="shared" si="0"/>
        <v>4.80669531457074e-6</v>
      </c>
      <c r="E434" s="18">
        <f t="shared" si="1"/>
        <v>5.88341591127809e-6</v>
      </c>
      <c r="G434" s="16" t="s">
        <v>698</v>
      </c>
      <c r="H434" s="16">
        <v>1367</v>
      </c>
      <c r="I434" s="19">
        <v>7.83919455057273e-5</v>
      </c>
    </row>
    <row r="435" ht="22.5" customHeight="1" spans="1:9">
      <c r="A435" s="16" t="s">
        <v>1024</v>
      </c>
      <c r="B435" s="16">
        <v>7</v>
      </c>
      <c r="C435" s="19">
        <v>1.84557055066811e-5</v>
      </c>
      <c r="D435" s="17">
        <f t="shared" si="0"/>
        <v>4.80669531457074e-6</v>
      </c>
      <c r="E435" s="18">
        <f t="shared" si="1"/>
        <v>5.88341591127809e-6</v>
      </c>
      <c r="G435" s="16" t="s">
        <v>703</v>
      </c>
      <c r="H435" s="16">
        <v>1347</v>
      </c>
      <c r="I435" s="19">
        <v>7.72450260396596e-5</v>
      </c>
    </row>
    <row r="436" ht="22.5" customHeight="1" spans="1:9">
      <c r="A436" s="16" t="s">
        <v>1241</v>
      </c>
      <c r="B436" s="16">
        <v>7</v>
      </c>
      <c r="C436" s="19">
        <v>5.81408063649781e-6</v>
      </c>
      <c r="D436" s="17">
        <f t="shared" si="0"/>
        <v>4.80669531457074e-6</v>
      </c>
      <c r="E436" s="18">
        <f t="shared" si="1"/>
        <v>5.88341591127809e-6</v>
      </c>
      <c r="G436" s="16" t="s">
        <v>704</v>
      </c>
      <c r="H436" s="16">
        <v>1343</v>
      </c>
      <c r="I436" s="19">
        <v>7.7015642146446e-5</v>
      </c>
    </row>
    <row r="437" ht="22.5" customHeight="1" spans="1:9">
      <c r="A437" s="16" t="s">
        <v>1242</v>
      </c>
      <c r="B437" s="16">
        <v>7</v>
      </c>
      <c r="C437" s="19">
        <v>5.76074044717214e-6</v>
      </c>
      <c r="D437" s="17">
        <f t="shared" si="0"/>
        <v>4.80669531457074e-6</v>
      </c>
      <c r="E437" s="18">
        <f t="shared" si="1"/>
        <v>5.88341591127809e-6</v>
      </c>
      <c r="G437" s="16" t="s">
        <v>705</v>
      </c>
      <c r="H437" s="16">
        <v>1326</v>
      </c>
      <c r="I437" s="19">
        <v>7.60407606002885e-5</v>
      </c>
    </row>
    <row r="438" ht="22.5" customHeight="1" spans="1:9">
      <c r="A438" s="16" t="s">
        <v>669</v>
      </c>
      <c r="B438" s="16">
        <v>6</v>
      </c>
      <c r="C438" s="19">
        <v>8.34773962946704e-5</v>
      </c>
      <c r="D438" s="17">
        <f t="shared" si="0"/>
        <v>4.12002455534635e-6</v>
      </c>
      <c r="E438" s="18">
        <f t="shared" si="1"/>
        <v>5.04292792395265e-6</v>
      </c>
      <c r="G438" s="16" t="s">
        <v>696</v>
      </c>
      <c r="H438" s="16">
        <v>1320</v>
      </c>
      <c r="I438" s="19">
        <v>7.56966847604682e-5</v>
      </c>
    </row>
    <row r="439" ht="22.5" customHeight="1" spans="1:9">
      <c r="A439" s="16" t="s">
        <v>726</v>
      </c>
      <c r="B439" s="16">
        <v>6</v>
      </c>
      <c r="C439" s="19">
        <v>6.63018553318053e-5</v>
      </c>
      <c r="D439" s="17">
        <f t="shared" si="0"/>
        <v>4.12002455534635e-6</v>
      </c>
      <c r="E439" s="18">
        <f t="shared" si="1"/>
        <v>5.04292792395265e-6</v>
      </c>
      <c r="G439" s="16" t="s">
        <v>708</v>
      </c>
      <c r="H439" s="16">
        <v>1318</v>
      </c>
      <c r="I439" s="19">
        <v>7.55819928138614e-5</v>
      </c>
    </row>
    <row r="440" ht="22.5" customHeight="1" spans="1:9">
      <c r="A440" s="16" t="s">
        <v>911</v>
      </c>
      <c r="B440" s="16">
        <v>6</v>
      </c>
      <c r="C440" s="19">
        <v>3.15240518914698e-5</v>
      </c>
      <c r="D440" s="17">
        <f t="shared" si="0"/>
        <v>4.12002455534635e-6</v>
      </c>
      <c r="E440" s="18">
        <f t="shared" si="1"/>
        <v>5.04292792395265e-6</v>
      </c>
      <c r="G440" s="16" t="s">
        <v>711</v>
      </c>
      <c r="H440" s="16">
        <v>1310</v>
      </c>
      <c r="I440" s="19">
        <v>7.51232250274343e-5</v>
      </c>
    </row>
    <row r="441" ht="22.5" customHeight="1" spans="1:9">
      <c r="A441" s="16" t="s">
        <v>920</v>
      </c>
      <c r="B441" s="16">
        <v>6</v>
      </c>
      <c r="C441" s="19">
        <v>2.96038050757457e-5</v>
      </c>
      <c r="D441" s="17">
        <f t="shared" si="0"/>
        <v>4.12002455534635e-6</v>
      </c>
      <c r="E441" s="18">
        <f t="shared" si="1"/>
        <v>5.04292792395265e-6</v>
      </c>
      <c r="G441" s="16" t="s">
        <v>697</v>
      </c>
      <c r="H441" s="16">
        <v>1307</v>
      </c>
      <c r="I441" s="19">
        <v>7.49511871075242e-5</v>
      </c>
    </row>
    <row r="442" ht="22.5" customHeight="1" spans="1:9">
      <c r="A442" s="16" t="s">
        <v>932</v>
      </c>
      <c r="B442" s="16">
        <v>6</v>
      </c>
      <c r="C442" s="19">
        <v>2.89637228038377e-5</v>
      </c>
      <c r="D442" s="17">
        <f t="shared" si="0"/>
        <v>4.12002455534635e-6</v>
      </c>
      <c r="E442" s="18">
        <f t="shared" si="1"/>
        <v>5.04292792395265e-6</v>
      </c>
      <c r="G442" s="16" t="s">
        <v>640</v>
      </c>
      <c r="H442" s="16">
        <v>1296</v>
      </c>
      <c r="I442" s="19">
        <v>7.43203814011869e-5</v>
      </c>
    </row>
    <row r="443" ht="22.5" customHeight="1" spans="1:9">
      <c r="A443" s="16" t="s">
        <v>1037</v>
      </c>
      <c r="B443" s="16">
        <v>6</v>
      </c>
      <c r="C443" s="19">
        <v>1.70688605842138e-5</v>
      </c>
      <c r="D443" s="17">
        <f t="shared" si="0"/>
        <v>4.12002455534635e-6</v>
      </c>
      <c r="E443" s="18">
        <f t="shared" si="1"/>
        <v>5.04292792395265e-6</v>
      </c>
      <c r="G443" s="16" t="s">
        <v>714</v>
      </c>
      <c r="H443" s="16">
        <v>1286</v>
      </c>
      <c r="I443" s="19">
        <v>7.37469216681531e-5</v>
      </c>
    </row>
    <row r="444" ht="22.5" customHeight="1" spans="1:9">
      <c r="A444" s="16" t="s">
        <v>1069</v>
      </c>
      <c r="B444" s="16">
        <v>6</v>
      </c>
      <c r="C444" s="19">
        <v>1.4935253011187e-5</v>
      </c>
      <c r="D444" s="17">
        <f t="shared" si="0"/>
        <v>4.12002455534635e-6</v>
      </c>
      <c r="E444" s="18">
        <f t="shared" si="1"/>
        <v>5.04292792395265e-6</v>
      </c>
      <c r="G444" s="16" t="s">
        <v>713</v>
      </c>
      <c r="H444" s="16">
        <v>1286</v>
      </c>
      <c r="I444" s="19">
        <v>7.37469216681531e-5</v>
      </c>
    </row>
    <row r="445" ht="22.5" customHeight="1" spans="1:9">
      <c r="A445" s="16" t="s">
        <v>1150</v>
      </c>
      <c r="B445" s="16">
        <v>6</v>
      </c>
      <c r="C445" s="19">
        <v>1.01879761612026e-5</v>
      </c>
      <c r="D445" s="17">
        <f t="shared" si="0"/>
        <v>4.12002455534635e-6</v>
      </c>
      <c r="E445" s="18">
        <f t="shared" si="1"/>
        <v>5.04292792395265e-6</v>
      </c>
      <c r="G445" s="16" t="s">
        <v>715</v>
      </c>
      <c r="H445" s="16">
        <v>1277</v>
      </c>
      <c r="I445" s="19">
        <v>7.32308079084226e-5</v>
      </c>
    </row>
    <row r="446" ht="22.5" customHeight="1" spans="1:9">
      <c r="A446" s="16" t="s">
        <v>1222</v>
      </c>
      <c r="B446" s="16">
        <v>6</v>
      </c>
      <c r="C446" s="19">
        <v>6.29414234042882e-6</v>
      </c>
      <c r="D446" s="17">
        <f t="shared" si="0"/>
        <v>4.12002455534635e-6</v>
      </c>
      <c r="E446" s="18">
        <f t="shared" si="1"/>
        <v>5.04292792395265e-6</v>
      </c>
      <c r="G446" s="16" t="s">
        <v>891</v>
      </c>
      <c r="H446" s="16">
        <v>633</v>
      </c>
      <c r="I446" s="19">
        <v>7.26000022020854e-5</v>
      </c>
    </row>
    <row r="447" ht="22.5" customHeight="1" spans="1:9">
      <c r="A447" s="16" t="s">
        <v>1426</v>
      </c>
      <c r="B447" s="16">
        <v>6</v>
      </c>
      <c r="C447" s="19">
        <v>3.20041135954008e-7</v>
      </c>
      <c r="D447" s="17">
        <f t="shared" si="0"/>
        <v>4.12002455534635e-6</v>
      </c>
      <c r="E447" s="18">
        <f t="shared" si="1"/>
        <v>5.04292792395265e-6</v>
      </c>
      <c r="G447" s="16" t="s">
        <v>720</v>
      </c>
      <c r="H447" s="16">
        <v>1256</v>
      </c>
      <c r="I447" s="19">
        <v>7.20265424690515e-5</v>
      </c>
    </row>
    <row r="448" ht="22.5" customHeight="1" spans="1:9">
      <c r="A448" s="16" t="s">
        <v>497</v>
      </c>
      <c r="B448" s="16">
        <v>5</v>
      </c>
      <c r="C448" s="19">
        <v>0.000180769901624689</v>
      </c>
      <c r="D448" s="17">
        <f t="shared" si="0"/>
        <v>3.43335379612196e-6</v>
      </c>
      <c r="E448" s="18">
        <f t="shared" si="1"/>
        <v>4.20243993662721e-6</v>
      </c>
      <c r="G448" s="16" t="s">
        <v>723</v>
      </c>
      <c r="H448" s="16">
        <v>1250</v>
      </c>
      <c r="I448" s="19">
        <v>7.16824666292312e-5</v>
      </c>
    </row>
    <row r="449" ht="22.5" customHeight="1" spans="1:9">
      <c r="A449" s="16" t="s">
        <v>878</v>
      </c>
      <c r="B449" s="16">
        <v>5</v>
      </c>
      <c r="C449" s="19">
        <v>3.54178857122435e-5</v>
      </c>
      <c r="D449" s="17">
        <f t="shared" si="0"/>
        <v>3.43335379612196e-6</v>
      </c>
      <c r="E449" s="18">
        <f t="shared" si="1"/>
        <v>4.20243993662721e-6</v>
      </c>
      <c r="G449" s="16" t="s">
        <v>727</v>
      </c>
      <c r="H449" s="16">
        <v>1243</v>
      </c>
      <c r="I449" s="19">
        <v>7.12810448161075e-5</v>
      </c>
    </row>
    <row r="450" ht="22.5" customHeight="1" spans="1:9">
      <c r="A450" s="16" t="s">
        <v>1012</v>
      </c>
      <c r="B450" s="16">
        <v>5</v>
      </c>
      <c r="C450" s="19">
        <v>1.92024681572405e-5</v>
      </c>
      <c r="D450" s="17">
        <f t="shared" si="0"/>
        <v>3.43335379612196e-6</v>
      </c>
      <c r="E450" s="18">
        <f t="shared" si="1"/>
        <v>4.20243993662721e-6</v>
      </c>
      <c r="G450" s="16" t="s">
        <v>726</v>
      </c>
      <c r="H450" s="16">
        <v>1237</v>
      </c>
      <c r="I450" s="19">
        <v>7.09369689762872e-5</v>
      </c>
    </row>
    <row r="451" ht="22.5" customHeight="1" spans="1:9">
      <c r="A451" s="16" t="s">
        <v>1050</v>
      </c>
      <c r="B451" s="16">
        <v>5</v>
      </c>
      <c r="C451" s="19">
        <v>1.60020567977004e-5</v>
      </c>
      <c r="D451" s="17">
        <f t="shared" si="0"/>
        <v>3.43335379612196e-6</v>
      </c>
      <c r="E451" s="18">
        <f t="shared" si="1"/>
        <v>4.20243993662721e-6</v>
      </c>
      <c r="G451" s="16" t="s">
        <v>719</v>
      </c>
      <c r="H451" s="16">
        <v>1230</v>
      </c>
      <c r="I451" s="19">
        <v>7.05355471631635e-5</v>
      </c>
    </row>
    <row r="452" ht="22.5" customHeight="1" spans="1:9">
      <c r="A452" s="16" t="s">
        <v>1067</v>
      </c>
      <c r="B452" s="16">
        <v>5</v>
      </c>
      <c r="C452" s="19">
        <v>1.49885932005127e-5</v>
      </c>
      <c r="D452" s="17">
        <f t="shared" si="0"/>
        <v>3.43335379612196e-6</v>
      </c>
      <c r="E452" s="18">
        <f t="shared" si="1"/>
        <v>4.20243993662721e-6</v>
      </c>
      <c r="G452" s="16" t="s">
        <v>730</v>
      </c>
      <c r="H452" s="16">
        <v>1227</v>
      </c>
      <c r="I452" s="19">
        <v>7.03635092432534e-5</v>
      </c>
    </row>
    <row r="453" ht="22.5" customHeight="1" spans="1:9">
      <c r="A453" s="16" t="s">
        <v>1104</v>
      </c>
      <c r="B453" s="16">
        <v>5</v>
      </c>
      <c r="C453" s="19">
        <v>1.24816043022063e-5</v>
      </c>
      <c r="D453" s="17">
        <f t="shared" si="0"/>
        <v>3.43335379612196e-6</v>
      </c>
      <c r="E453" s="18">
        <f t="shared" si="1"/>
        <v>4.20243993662721e-6</v>
      </c>
      <c r="G453" s="16" t="s">
        <v>644</v>
      </c>
      <c r="H453" s="16">
        <v>1217</v>
      </c>
      <c r="I453" s="19">
        <v>6.97900495102195e-5</v>
      </c>
    </row>
    <row r="454" ht="22.5" customHeight="1" spans="1:9">
      <c r="A454" s="16" t="s">
        <v>1112</v>
      </c>
      <c r="B454" s="16">
        <v>5</v>
      </c>
      <c r="C454" s="19">
        <v>1.21082229769266e-5</v>
      </c>
      <c r="D454" s="17">
        <f t="shared" si="0"/>
        <v>3.43335379612196e-6</v>
      </c>
      <c r="E454" s="18">
        <f t="shared" si="1"/>
        <v>4.20243993662721e-6</v>
      </c>
      <c r="G454" s="16" t="s">
        <v>734</v>
      </c>
      <c r="H454" s="16">
        <v>1216</v>
      </c>
      <c r="I454" s="19">
        <v>6.97327035369161e-5</v>
      </c>
    </row>
    <row r="455" ht="22.5" customHeight="1" spans="1:9">
      <c r="A455" s="16" t="s">
        <v>1132</v>
      </c>
      <c r="B455" s="16">
        <v>5</v>
      </c>
      <c r="C455" s="19">
        <v>1.10947593797389e-5</v>
      </c>
      <c r="D455" s="17">
        <f t="shared" si="0"/>
        <v>3.43335379612196e-6</v>
      </c>
      <c r="E455" s="18">
        <f t="shared" si="1"/>
        <v>4.20243993662721e-6</v>
      </c>
      <c r="G455" s="16" t="s">
        <v>736</v>
      </c>
      <c r="H455" s="16">
        <v>1208</v>
      </c>
      <c r="I455" s="19">
        <v>6.9273935750489e-5</v>
      </c>
    </row>
    <row r="456" ht="22.5" customHeight="1" spans="1:9">
      <c r="A456" s="16" t="s">
        <v>1153</v>
      </c>
      <c r="B456" s="16">
        <v>5</v>
      </c>
      <c r="C456" s="19">
        <v>9.92127521457425e-6</v>
      </c>
      <c r="D456" s="17">
        <f t="shared" si="0"/>
        <v>3.43335379612196e-6</v>
      </c>
      <c r="E456" s="18">
        <f t="shared" si="1"/>
        <v>4.20243993662721e-6</v>
      </c>
      <c r="G456" s="16" t="s">
        <v>729</v>
      </c>
      <c r="H456" s="16">
        <v>1206</v>
      </c>
      <c r="I456" s="19">
        <v>6.91592438038823e-5</v>
      </c>
    </row>
    <row r="457" ht="22.5" customHeight="1" spans="1:9">
      <c r="A457" s="16" t="s">
        <v>1197</v>
      </c>
      <c r="B457" s="16">
        <v>5</v>
      </c>
      <c r="C457" s="19">
        <v>7.41428631626785e-6</v>
      </c>
      <c r="D457" s="17">
        <f t="shared" si="0"/>
        <v>3.43335379612196e-6</v>
      </c>
      <c r="E457" s="18">
        <f t="shared" si="1"/>
        <v>4.20243993662721e-6</v>
      </c>
      <c r="G457" s="16" t="s">
        <v>737</v>
      </c>
      <c r="H457" s="16">
        <v>1201</v>
      </c>
      <c r="I457" s="19">
        <v>6.88725139373653e-5</v>
      </c>
    </row>
    <row r="458" ht="22.5" customHeight="1" spans="1:9">
      <c r="A458" s="16" t="s">
        <v>1230</v>
      </c>
      <c r="B458" s="16">
        <v>5</v>
      </c>
      <c r="C458" s="19">
        <v>6.08078158312615e-6</v>
      </c>
      <c r="D458" s="17">
        <f t="shared" si="0"/>
        <v>3.43335379612196e-6</v>
      </c>
      <c r="E458" s="18">
        <f t="shared" si="1"/>
        <v>4.20243993662721e-6</v>
      </c>
      <c r="G458" s="16" t="s">
        <v>686</v>
      </c>
      <c r="H458" s="16">
        <v>1201</v>
      </c>
      <c r="I458" s="19">
        <v>6.88725139373653e-5</v>
      </c>
    </row>
    <row r="459" ht="22.5" customHeight="1" spans="1:9">
      <c r="A459" s="16" t="s">
        <v>1330</v>
      </c>
      <c r="B459" s="16">
        <v>5</v>
      </c>
      <c r="C459" s="19">
        <v>2.72034965560907e-6</v>
      </c>
      <c r="D459" s="17">
        <f t="shared" si="0"/>
        <v>3.43335379612196e-6</v>
      </c>
      <c r="E459" s="18">
        <f t="shared" si="1"/>
        <v>4.20243993662721e-6</v>
      </c>
      <c r="G459" s="16" t="s">
        <v>691</v>
      </c>
      <c r="H459" s="16">
        <v>1199</v>
      </c>
      <c r="I459" s="19">
        <v>6.87578219907586e-5</v>
      </c>
    </row>
    <row r="460" ht="22.5" customHeight="1" spans="1:9">
      <c r="A460" s="16" t="s">
        <v>489</v>
      </c>
      <c r="B460" s="16">
        <v>4</v>
      </c>
      <c r="C460" s="19">
        <v>0.000189304331916796</v>
      </c>
      <c r="D460" s="17">
        <f t="shared" si="0"/>
        <v>2.74668303689757e-6</v>
      </c>
      <c r="E460" s="18">
        <f t="shared" si="1"/>
        <v>3.36195194930176e-6</v>
      </c>
      <c r="G460" s="16" t="s">
        <v>700</v>
      </c>
      <c r="H460" s="16">
        <v>1191</v>
      </c>
      <c r="I460" s="19">
        <v>6.82990542043315e-5</v>
      </c>
    </row>
    <row r="461" ht="22.5" customHeight="1" spans="1:9">
      <c r="A461" s="16" t="s">
        <v>539</v>
      </c>
      <c r="B461" s="16">
        <v>4</v>
      </c>
      <c r="C461" s="19">
        <v>0.000151112756359617</v>
      </c>
      <c r="D461" s="17">
        <f t="shared" si="0"/>
        <v>2.74668303689757e-6</v>
      </c>
      <c r="E461" s="18">
        <f t="shared" si="1"/>
        <v>3.36195194930176e-6</v>
      </c>
      <c r="G461" s="16" t="s">
        <v>687</v>
      </c>
      <c r="H461" s="16">
        <v>1179</v>
      </c>
      <c r="I461" s="19">
        <v>6.76109025246909e-5</v>
      </c>
    </row>
    <row r="462" ht="22.5" customHeight="1" spans="1:9">
      <c r="A462" s="16" t="s">
        <v>705</v>
      </c>
      <c r="B462" s="16">
        <v>4</v>
      </c>
      <c r="C462" s="19">
        <v>7.09424518031384e-5</v>
      </c>
      <c r="D462" s="17">
        <f t="shared" si="0"/>
        <v>2.74668303689757e-6</v>
      </c>
      <c r="E462" s="18">
        <f t="shared" si="1"/>
        <v>3.36195194930176e-6</v>
      </c>
      <c r="G462" s="16" t="s">
        <v>624</v>
      </c>
      <c r="H462" s="16">
        <v>1178</v>
      </c>
      <c r="I462" s="19">
        <v>6.75535565513875e-5</v>
      </c>
    </row>
    <row r="463" ht="22.5" customHeight="1" spans="1:9">
      <c r="A463" s="16" t="s">
        <v>782</v>
      </c>
      <c r="B463" s="16">
        <v>4</v>
      </c>
      <c r="C463" s="19">
        <v>5.2860127621737e-5</v>
      </c>
      <c r="D463" s="17">
        <f t="shared" si="0"/>
        <v>2.74668303689757e-6</v>
      </c>
      <c r="E463" s="18">
        <f t="shared" si="1"/>
        <v>3.36195194930176e-6</v>
      </c>
      <c r="G463" s="16" t="s">
        <v>742</v>
      </c>
      <c r="H463" s="16">
        <v>1168</v>
      </c>
      <c r="I463" s="19">
        <v>6.69800968183537e-5</v>
      </c>
    </row>
    <row r="464" ht="22.5" customHeight="1" spans="1:9">
      <c r="A464" s="16" t="s">
        <v>785</v>
      </c>
      <c r="B464" s="16">
        <v>4</v>
      </c>
      <c r="C464" s="19">
        <v>5.24867462964573e-5</v>
      </c>
      <c r="D464" s="17">
        <f t="shared" si="0"/>
        <v>2.74668303689757e-6</v>
      </c>
      <c r="E464" s="18">
        <f t="shared" si="1"/>
        <v>3.36195194930176e-6</v>
      </c>
      <c r="G464" s="16" t="s">
        <v>654</v>
      </c>
      <c r="H464" s="16">
        <v>1165</v>
      </c>
      <c r="I464" s="19">
        <v>6.68080588984435e-5</v>
      </c>
    </row>
    <row r="465" ht="22.5" customHeight="1" spans="1:9">
      <c r="A465" s="16" t="s">
        <v>835</v>
      </c>
      <c r="B465" s="16">
        <v>4</v>
      </c>
      <c r="C465" s="19">
        <v>4.44323777082814e-5</v>
      </c>
      <c r="D465" s="17">
        <f t="shared" si="0"/>
        <v>2.74668303689757e-6</v>
      </c>
      <c r="E465" s="18">
        <f t="shared" si="1"/>
        <v>3.36195194930176e-6</v>
      </c>
      <c r="G465" s="16" t="s">
        <v>684</v>
      </c>
      <c r="H465" s="16">
        <v>1159</v>
      </c>
      <c r="I465" s="19">
        <v>6.64639830586232e-5</v>
      </c>
    </row>
    <row r="466" ht="22.5" customHeight="1" spans="1:9">
      <c r="A466" s="16" t="s">
        <v>947</v>
      </c>
      <c r="B466" s="16">
        <v>4</v>
      </c>
      <c r="C466" s="19">
        <v>2.5549950686995e-5</v>
      </c>
      <c r="D466" s="17">
        <f t="shared" si="0"/>
        <v>2.74668303689757e-6</v>
      </c>
      <c r="E466" s="18">
        <f t="shared" si="1"/>
        <v>3.36195194930176e-6</v>
      </c>
      <c r="G466" s="16" t="s">
        <v>748</v>
      </c>
      <c r="H466" s="16">
        <v>1147</v>
      </c>
      <c r="I466" s="19">
        <v>6.57758313789826e-5</v>
      </c>
    </row>
    <row r="467" ht="22.5" customHeight="1" spans="1:9">
      <c r="A467" s="16" t="s">
        <v>1029</v>
      </c>
      <c r="B467" s="16">
        <v>4</v>
      </c>
      <c r="C467" s="19">
        <v>1.79223036134244e-5</v>
      </c>
      <c r="D467" s="17">
        <f t="shared" si="0"/>
        <v>2.74668303689757e-6</v>
      </c>
      <c r="E467" s="18">
        <f t="shared" si="1"/>
        <v>3.36195194930176e-6</v>
      </c>
      <c r="G467" s="16" t="s">
        <v>744</v>
      </c>
      <c r="H467" s="16">
        <v>1137</v>
      </c>
      <c r="I467" s="19">
        <v>6.52023716459487e-5</v>
      </c>
    </row>
    <row r="468" ht="22.5" customHeight="1" spans="1:9">
      <c r="A468" s="16" t="s">
        <v>1128</v>
      </c>
      <c r="B468" s="16">
        <v>4</v>
      </c>
      <c r="C468" s="19">
        <v>1.12014397583903e-5</v>
      </c>
      <c r="D468" s="17">
        <f t="shared" si="0"/>
        <v>2.74668303689757e-6</v>
      </c>
      <c r="E468" s="18">
        <f t="shared" si="1"/>
        <v>3.36195194930176e-6</v>
      </c>
      <c r="G468" s="16" t="s">
        <v>753</v>
      </c>
      <c r="H468" s="16">
        <v>1129</v>
      </c>
      <c r="I468" s="19">
        <v>6.47436038595216e-5</v>
      </c>
    </row>
    <row r="469" ht="22.5" customHeight="1" spans="1:9">
      <c r="A469" s="16" t="s">
        <v>1139</v>
      </c>
      <c r="B469" s="16">
        <v>4</v>
      </c>
      <c r="C469" s="19">
        <v>1.04013369185053e-5</v>
      </c>
      <c r="D469" s="17">
        <f t="shared" si="0"/>
        <v>2.74668303689757e-6</v>
      </c>
      <c r="E469" s="18">
        <f t="shared" si="1"/>
        <v>3.36195194930176e-6</v>
      </c>
      <c r="G469" s="16" t="s">
        <v>1460</v>
      </c>
      <c r="H469" s="16">
        <v>1126</v>
      </c>
      <c r="I469" s="19">
        <v>6.45715659396115e-5</v>
      </c>
    </row>
    <row r="470" ht="22.5" customHeight="1" spans="1:9">
      <c r="A470" s="16" t="s">
        <v>1156</v>
      </c>
      <c r="B470" s="16">
        <v>4</v>
      </c>
      <c r="C470" s="19">
        <v>9.65457426794591e-6</v>
      </c>
      <c r="D470" s="17">
        <f t="shared" si="0"/>
        <v>2.74668303689757e-6</v>
      </c>
      <c r="E470" s="18">
        <f t="shared" si="1"/>
        <v>3.36195194930176e-6</v>
      </c>
      <c r="G470" s="16" t="s">
        <v>607</v>
      </c>
      <c r="H470" s="16">
        <v>1122</v>
      </c>
      <c r="I470" s="19">
        <v>6.43421820463979e-5</v>
      </c>
    </row>
    <row r="471" ht="22.5" customHeight="1" spans="1:9">
      <c r="A471" s="16" t="s">
        <v>1172</v>
      </c>
      <c r="B471" s="16">
        <v>4</v>
      </c>
      <c r="C471" s="19">
        <v>8.74779104940955e-6</v>
      </c>
      <c r="D471" s="17">
        <f t="shared" si="0"/>
        <v>2.74668303689757e-6</v>
      </c>
      <c r="E471" s="18">
        <f t="shared" si="1"/>
        <v>3.36195194930176e-6</v>
      </c>
      <c r="G471" s="16" t="s">
        <v>756</v>
      </c>
      <c r="H471" s="16">
        <v>1118</v>
      </c>
      <c r="I471" s="19">
        <v>6.41127981531844e-5</v>
      </c>
    </row>
    <row r="472" ht="22.5" customHeight="1" spans="1:9">
      <c r="A472" s="16" t="s">
        <v>1189</v>
      </c>
      <c r="B472" s="16">
        <v>4</v>
      </c>
      <c r="C472" s="19">
        <v>8.0010283988502e-6</v>
      </c>
      <c r="D472" s="17">
        <f t="shared" si="0"/>
        <v>2.74668303689757e-6</v>
      </c>
      <c r="E472" s="18">
        <f t="shared" si="1"/>
        <v>3.36195194930176e-6</v>
      </c>
      <c r="G472" s="16" t="s">
        <v>757</v>
      </c>
      <c r="H472" s="16">
        <v>1111</v>
      </c>
      <c r="I472" s="19">
        <v>6.37113763400607e-5</v>
      </c>
    </row>
    <row r="473" ht="22.5" customHeight="1" spans="1:9">
      <c r="A473" s="16" t="s">
        <v>1257</v>
      </c>
      <c r="B473" s="16">
        <v>4</v>
      </c>
      <c r="C473" s="19">
        <v>4.80061703931012e-6</v>
      </c>
      <c r="D473" s="17">
        <f t="shared" si="0"/>
        <v>2.74668303689757e-6</v>
      </c>
      <c r="E473" s="18">
        <f t="shared" si="1"/>
        <v>3.36195194930176e-6</v>
      </c>
      <c r="G473" s="16" t="s">
        <v>759</v>
      </c>
      <c r="H473" s="16">
        <v>1100</v>
      </c>
      <c r="I473" s="19">
        <v>6.30805706337235e-5</v>
      </c>
    </row>
    <row r="474" ht="22.5" customHeight="1" spans="1:9">
      <c r="A474" s="16" t="s">
        <v>1338</v>
      </c>
      <c r="B474" s="16">
        <v>4</v>
      </c>
      <c r="C474" s="19">
        <v>2.45364870898073e-6</v>
      </c>
      <c r="D474" s="17">
        <f t="shared" si="0"/>
        <v>2.74668303689757e-6</v>
      </c>
      <c r="E474" s="18">
        <f t="shared" si="1"/>
        <v>3.36195194930176e-6</v>
      </c>
      <c r="G474" s="16" t="s">
        <v>760</v>
      </c>
      <c r="H474" s="16">
        <v>1099</v>
      </c>
      <c r="I474" s="19">
        <v>6.30232246604201e-5</v>
      </c>
    </row>
    <row r="475" ht="22.5" customHeight="1" spans="1:9">
      <c r="A475" s="16" t="s">
        <v>1387</v>
      </c>
      <c r="B475" s="16">
        <v>4</v>
      </c>
      <c r="C475" s="19">
        <v>1.28016454381603e-6</v>
      </c>
      <c r="D475" s="17">
        <f t="shared" si="0"/>
        <v>2.74668303689757e-6</v>
      </c>
      <c r="E475" s="18">
        <f t="shared" si="1"/>
        <v>3.36195194930176e-6</v>
      </c>
      <c r="G475" s="16" t="s">
        <v>761</v>
      </c>
      <c r="H475" s="16">
        <v>1097</v>
      </c>
      <c r="I475" s="19">
        <v>6.29085327138133e-5</v>
      </c>
    </row>
    <row r="476" ht="22.5" customHeight="1" spans="1:9">
      <c r="A476" s="16" t="s">
        <v>516</v>
      </c>
      <c r="B476" s="16">
        <v>3</v>
      </c>
      <c r="C476" s="19">
        <v>0.000167008132778666</v>
      </c>
      <c r="D476" s="17">
        <f t="shared" si="0"/>
        <v>2.06001227767317e-6</v>
      </c>
      <c r="E476" s="18">
        <f t="shared" si="1"/>
        <v>2.52146396197632e-6</v>
      </c>
      <c r="G476" s="16" t="s">
        <v>763</v>
      </c>
      <c r="H476" s="16">
        <v>1091</v>
      </c>
      <c r="I476" s="19">
        <v>6.2564456873993e-5</v>
      </c>
    </row>
    <row r="477" ht="22.5" customHeight="1" spans="1:9">
      <c r="A477" s="16" t="s">
        <v>711</v>
      </c>
      <c r="B477" s="16">
        <v>3</v>
      </c>
      <c r="C477" s="19">
        <v>7.00356685846021e-5</v>
      </c>
      <c r="D477" s="17">
        <f t="shared" si="0"/>
        <v>2.06001227767317e-6</v>
      </c>
      <c r="E477" s="18">
        <f t="shared" si="1"/>
        <v>2.52146396197632e-6</v>
      </c>
      <c r="G477" s="16" t="s">
        <v>731</v>
      </c>
      <c r="H477" s="16">
        <v>1073</v>
      </c>
      <c r="I477" s="19">
        <v>6.15322293545321e-5</v>
      </c>
    </row>
    <row r="478" ht="22.5" customHeight="1" spans="1:9">
      <c r="A478" s="16" t="s">
        <v>737</v>
      </c>
      <c r="B478" s="16">
        <v>3</v>
      </c>
      <c r="C478" s="19">
        <v>6.42215879481043e-5</v>
      </c>
      <c r="D478" s="17">
        <f t="shared" si="0"/>
        <v>2.06001227767317e-6</v>
      </c>
      <c r="E478" s="18">
        <f t="shared" si="1"/>
        <v>2.52146396197632e-6</v>
      </c>
      <c r="G478" s="16" t="s">
        <v>769</v>
      </c>
      <c r="H478" s="16">
        <v>1063</v>
      </c>
      <c r="I478" s="19">
        <v>6.09587696214982e-5</v>
      </c>
    </row>
    <row r="479" ht="22.5" customHeight="1" spans="1:9">
      <c r="A479" s="16" t="s">
        <v>757</v>
      </c>
      <c r="B479" s="16">
        <v>3</v>
      </c>
      <c r="C479" s="19">
        <v>5.94209709087941e-5</v>
      </c>
      <c r="D479" s="17">
        <f t="shared" si="0"/>
        <v>2.06001227767317e-6</v>
      </c>
      <c r="E479" s="18">
        <f t="shared" si="1"/>
        <v>2.52146396197632e-6</v>
      </c>
      <c r="G479" s="16" t="s">
        <v>590</v>
      </c>
      <c r="H479" s="16">
        <v>1056</v>
      </c>
      <c r="I479" s="19">
        <v>6.05573478083745e-5</v>
      </c>
    </row>
    <row r="480" ht="22.5" customHeight="1" spans="1:9">
      <c r="A480" s="16" t="s">
        <v>759</v>
      </c>
      <c r="B480" s="16">
        <v>3</v>
      </c>
      <c r="C480" s="19">
        <v>5.88342288262118e-5</v>
      </c>
      <c r="D480" s="17">
        <f t="shared" si="0"/>
        <v>2.06001227767317e-6</v>
      </c>
      <c r="E480" s="18">
        <f t="shared" si="1"/>
        <v>2.52146396197632e-6</v>
      </c>
      <c r="G480" s="16" t="s">
        <v>770</v>
      </c>
      <c r="H480" s="16">
        <v>1054</v>
      </c>
      <c r="I480" s="19">
        <v>6.04426558617678e-5</v>
      </c>
    </row>
    <row r="481" ht="22.5" customHeight="1" spans="1:9">
      <c r="A481" s="16" t="s">
        <v>812</v>
      </c>
      <c r="B481" s="16">
        <v>3</v>
      </c>
      <c r="C481" s="19">
        <v>4.84862320970322e-5</v>
      </c>
      <c r="D481" s="17">
        <f t="shared" si="0"/>
        <v>2.06001227767317e-6</v>
      </c>
      <c r="E481" s="18">
        <f t="shared" si="1"/>
        <v>2.52146396197632e-6</v>
      </c>
      <c r="G481" s="16" t="s">
        <v>767</v>
      </c>
      <c r="H481" s="16">
        <v>1052</v>
      </c>
      <c r="I481" s="19">
        <v>6.0327963915161e-5</v>
      </c>
    </row>
    <row r="482" ht="22.5" customHeight="1" spans="1:9">
      <c r="A482" s="16" t="s">
        <v>842</v>
      </c>
      <c r="B482" s="16">
        <v>3</v>
      </c>
      <c r="C482" s="19">
        <v>4.27254916498601e-5</v>
      </c>
      <c r="D482" s="17">
        <f t="shared" si="0"/>
        <v>2.06001227767317e-6</v>
      </c>
      <c r="E482" s="18">
        <f t="shared" si="1"/>
        <v>2.52146396197632e-6</v>
      </c>
      <c r="G482" s="16" t="s">
        <v>766</v>
      </c>
      <c r="H482" s="16">
        <v>1052</v>
      </c>
      <c r="I482" s="19">
        <v>6.0327963915161e-5</v>
      </c>
    </row>
    <row r="483" ht="22.5" customHeight="1" spans="1:9">
      <c r="A483" s="16" t="s">
        <v>921</v>
      </c>
      <c r="B483" s="16">
        <v>3</v>
      </c>
      <c r="C483" s="19">
        <v>2.95504648864201e-5</v>
      </c>
      <c r="D483" s="17">
        <f t="shared" si="0"/>
        <v>2.06001227767317e-6</v>
      </c>
      <c r="E483" s="18">
        <f t="shared" si="1"/>
        <v>2.52146396197632e-6</v>
      </c>
      <c r="G483" s="16" t="s">
        <v>1475</v>
      </c>
      <c r="H483" s="16">
        <v>1049</v>
      </c>
      <c r="I483" s="19">
        <v>6.01559259952508e-5</v>
      </c>
    </row>
    <row r="484" ht="22.5" customHeight="1" spans="1:9">
      <c r="A484" s="16" t="s">
        <v>1032</v>
      </c>
      <c r="B484" s="16">
        <v>3</v>
      </c>
      <c r="C484" s="19">
        <v>1.77089428561218e-5</v>
      </c>
      <c r="D484" s="17">
        <f t="shared" si="0"/>
        <v>2.06001227767317e-6</v>
      </c>
      <c r="E484" s="18">
        <f t="shared" si="1"/>
        <v>2.52146396197632e-6</v>
      </c>
      <c r="G484" s="16" t="s">
        <v>772</v>
      </c>
      <c r="H484" s="16">
        <v>1045</v>
      </c>
      <c r="I484" s="19">
        <v>5.99265421020373e-5</v>
      </c>
    </row>
    <row r="485" ht="22.5" customHeight="1" spans="1:9">
      <c r="A485" s="16" t="s">
        <v>1082</v>
      </c>
      <c r="B485" s="16">
        <v>3</v>
      </c>
      <c r="C485" s="19">
        <v>1.3815109035348e-5</v>
      </c>
      <c r="D485" s="17">
        <f t="shared" si="0"/>
        <v>2.06001227767317e-6</v>
      </c>
      <c r="E485" s="18">
        <f t="shared" si="1"/>
        <v>2.52146396197632e-6</v>
      </c>
      <c r="G485" s="16" t="s">
        <v>699</v>
      </c>
      <c r="H485" s="16">
        <v>1041</v>
      </c>
      <c r="I485" s="19">
        <v>5.96971582088238e-5</v>
      </c>
    </row>
    <row r="486" ht="22.5" customHeight="1" spans="1:9">
      <c r="A486" s="16" t="s">
        <v>1086</v>
      </c>
      <c r="B486" s="16">
        <v>3</v>
      </c>
      <c r="C486" s="19">
        <v>1.3655088467371e-5</v>
      </c>
      <c r="D486" s="17">
        <f t="shared" si="0"/>
        <v>2.06001227767317e-6</v>
      </c>
      <c r="E486" s="18">
        <f t="shared" si="1"/>
        <v>2.52146396197632e-6</v>
      </c>
      <c r="G486" s="16" t="s">
        <v>745</v>
      </c>
      <c r="H486" s="16">
        <v>1020</v>
      </c>
      <c r="I486" s="19">
        <v>5.84928927694527e-5</v>
      </c>
    </row>
    <row r="487" ht="22.5" customHeight="1" spans="1:9">
      <c r="A487" s="16" t="s">
        <v>1087</v>
      </c>
      <c r="B487" s="16">
        <v>3</v>
      </c>
      <c r="C487" s="19">
        <v>1.3655088467371e-5</v>
      </c>
      <c r="D487" s="17">
        <f t="shared" si="0"/>
        <v>2.06001227767317e-6</v>
      </c>
      <c r="E487" s="18">
        <f t="shared" si="1"/>
        <v>2.52146396197632e-6</v>
      </c>
      <c r="G487" s="16" t="s">
        <v>762</v>
      </c>
      <c r="H487" s="16">
        <v>1017</v>
      </c>
      <c r="I487" s="19">
        <v>5.83208548495425e-5</v>
      </c>
    </row>
    <row r="488" ht="22.5" customHeight="1" spans="1:9">
      <c r="A488" s="16" t="s">
        <v>1165</v>
      </c>
      <c r="B488" s="16">
        <v>3</v>
      </c>
      <c r="C488" s="19">
        <v>9.3345331319919e-6</v>
      </c>
      <c r="D488" s="17">
        <f t="shared" si="0"/>
        <v>2.06001227767317e-6</v>
      </c>
      <c r="E488" s="18">
        <f t="shared" si="1"/>
        <v>2.52146396197632e-6</v>
      </c>
      <c r="G488" s="16" t="s">
        <v>777</v>
      </c>
      <c r="H488" s="16">
        <v>1006</v>
      </c>
      <c r="I488" s="19">
        <v>5.76900491432053e-5</v>
      </c>
    </row>
    <row r="489" ht="22.5" customHeight="1" spans="1:9">
      <c r="A489" s="16" t="s">
        <v>1192</v>
      </c>
      <c r="B489" s="16">
        <v>3</v>
      </c>
      <c r="C489" s="19">
        <v>7.73432745222186e-6</v>
      </c>
      <c r="D489" s="17">
        <f t="shared" si="0"/>
        <v>2.06001227767317e-6</v>
      </c>
      <c r="E489" s="18">
        <f t="shared" si="1"/>
        <v>2.52146396197632e-6</v>
      </c>
      <c r="G489" s="16" t="s">
        <v>739</v>
      </c>
      <c r="H489" s="16">
        <v>999</v>
      </c>
      <c r="I489" s="19">
        <v>5.72886273300816e-5</v>
      </c>
    </row>
    <row r="490" ht="22.5" customHeight="1" spans="1:9">
      <c r="A490" s="16" t="s">
        <v>1325</v>
      </c>
      <c r="B490" s="16">
        <v>3</v>
      </c>
      <c r="C490" s="19">
        <v>2.8270300342604e-6</v>
      </c>
      <c r="D490" s="17">
        <f t="shared" si="0"/>
        <v>2.06001227767317e-6</v>
      </c>
      <c r="E490" s="18">
        <f t="shared" si="1"/>
        <v>2.52146396197632e-6</v>
      </c>
      <c r="G490" s="16" t="s">
        <v>775</v>
      </c>
      <c r="H490" s="16">
        <v>998</v>
      </c>
      <c r="I490" s="19">
        <v>5.72312813567782e-5</v>
      </c>
    </row>
    <row r="491" ht="22.5" customHeight="1" spans="1:9">
      <c r="A491" s="16" t="s">
        <v>1337</v>
      </c>
      <c r="B491" s="16">
        <v>3</v>
      </c>
      <c r="C491" s="19">
        <v>2.5069888983064e-6</v>
      </c>
      <c r="D491" s="17">
        <f t="shared" si="0"/>
        <v>2.06001227767317e-6</v>
      </c>
      <c r="E491" s="18">
        <f t="shared" si="1"/>
        <v>2.52146396197632e-6</v>
      </c>
      <c r="G491" s="16" t="s">
        <v>735</v>
      </c>
      <c r="H491" s="16">
        <v>995</v>
      </c>
      <c r="I491" s="19">
        <v>5.7059243436868e-5</v>
      </c>
    </row>
    <row r="492" ht="22.5" customHeight="1" spans="1:9">
      <c r="A492" s="16" t="s">
        <v>1349</v>
      </c>
      <c r="B492" s="16">
        <v>3</v>
      </c>
      <c r="C492" s="19">
        <v>2.18694776235239e-6</v>
      </c>
      <c r="D492" s="17">
        <f t="shared" si="0"/>
        <v>2.06001227767317e-6</v>
      </c>
      <c r="E492" s="18">
        <f t="shared" si="1"/>
        <v>2.52146396197632e-6</v>
      </c>
      <c r="G492" s="16" t="s">
        <v>784</v>
      </c>
      <c r="H492" s="16">
        <v>987</v>
      </c>
      <c r="I492" s="19">
        <v>5.6600475650441e-5</v>
      </c>
    </row>
    <row r="493" ht="22.5" customHeight="1" spans="1:9">
      <c r="A493" s="16" t="s">
        <v>1379</v>
      </c>
      <c r="B493" s="16">
        <v>3</v>
      </c>
      <c r="C493" s="19">
        <v>1.44018511179304e-6</v>
      </c>
      <c r="D493" s="17">
        <f t="shared" si="0"/>
        <v>2.06001227767317e-6</v>
      </c>
      <c r="E493" s="18">
        <f t="shared" si="1"/>
        <v>2.52146396197632e-6</v>
      </c>
      <c r="G493" s="16" t="s">
        <v>782</v>
      </c>
      <c r="H493" s="16">
        <v>987</v>
      </c>
      <c r="I493" s="19">
        <v>5.6600475650441e-5</v>
      </c>
    </row>
    <row r="494" ht="22.5" customHeight="1" spans="1:9">
      <c r="A494" s="16" t="s">
        <v>469</v>
      </c>
      <c r="B494" s="16">
        <v>2</v>
      </c>
      <c r="C494" s="19">
        <v>0.000202692719437538</v>
      </c>
      <c r="D494" s="17">
        <f t="shared" si="0"/>
        <v>1.37334151844878e-6</v>
      </c>
      <c r="E494" s="18">
        <f t="shared" si="1"/>
        <v>1.68097597465088e-6</v>
      </c>
      <c r="G494" s="16" t="s">
        <v>269</v>
      </c>
      <c r="H494" s="16">
        <v>986</v>
      </c>
      <c r="I494" s="19">
        <v>5.65431296771376e-5</v>
      </c>
    </row>
    <row r="495" ht="22.5" customHeight="1" spans="1:9">
      <c r="A495" s="16" t="s">
        <v>574</v>
      </c>
      <c r="B495" s="16">
        <v>2</v>
      </c>
      <c r="C495" s="19">
        <v>0.000137991069785503</v>
      </c>
      <c r="D495" s="17">
        <f t="shared" si="0"/>
        <v>1.37334151844878e-6</v>
      </c>
      <c r="E495" s="18">
        <f t="shared" si="1"/>
        <v>1.68097597465088e-6</v>
      </c>
      <c r="G495" s="16" t="s">
        <v>750</v>
      </c>
      <c r="H495" s="16">
        <v>985</v>
      </c>
      <c r="I495" s="19">
        <v>5.64857837038342e-5</v>
      </c>
    </row>
    <row r="496" ht="22.5" customHeight="1" spans="1:9">
      <c r="A496" s="16" t="s">
        <v>698</v>
      </c>
      <c r="B496" s="16">
        <v>2</v>
      </c>
      <c r="C496" s="19">
        <v>7.30227191868395e-5</v>
      </c>
      <c r="D496" s="17">
        <f t="shared" si="0"/>
        <v>1.37334151844878e-6</v>
      </c>
      <c r="E496" s="18">
        <f t="shared" si="1"/>
        <v>1.68097597465088e-6</v>
      </c>
      <c r="G496" s="16" t="s">
        <v>785</v>
      </c>
      <c r="H496" s="16">
        <v>980</v>
      </c>
      <c r="I496" s="19">
        <v>5.61990538373173e-5</v>
      </c>
    </row>
    <row r="497" ht="22.5" customHeight="1" spans="1:9">
      <c r="A497" s="16" t="s">
        <v>703</v>
      </c>
      <c r="B497" s="16">
        <v>2</v>
      </c>
      <c r="C497" s="19">
        <v>7.19559154003261e-5</v>
      </c>
      <c r="D497" s="17">
        <f t="shared" si="0"/>
        <v>1.37334151844878e-6</v>
      </c>
      <c r="E497" s="18">
        <f t="shared" si="1"/>
        <v>1.68097597465088e-6</v>
      </c>
      <c r="G497" s="16" t="s">
        <v>768</v>
      </c>
      <c r="H497" s="16">
        <v>974</v>
      </c>
      <c r="I497" s="19">
        <v>5.5854977997497e-5</v>
      </c>
    </row>
    <row r="498" ht="22.5" customHeight="1" spans="1:9">
      <c r="A498" s="16" t="s">
        <v>708</v>
      </c>
      <c r="B498" s="16">
        <v>2</v>
      </c>
      <c r="C498" s="19">
        <v>7.04090499098818e-5</v>
      </c>
      <c r="D498" s="17">
        <f t="shared" si="0"/>
        <v>1.37334151844878e-6</v>
      </c>
      <c r="E498" s="18">
        <f t="shared" si="1"/>
        <v>1.68097597465088e-6</v>
      </c>
      <c r="G498" s="16" t="s">
        <v>788</v>
      </c>
      <c r="H498" s="16">
        <v>972</v>
      </c>
      <c r="I498" s="19">
        <v>5.57402860508902e-5</v>
      </c>
    </row>
    <row r="499" ht="22.5" customHeight="1" spans="1:9">
      <c r="A499" s="16" t="s">
        <v>772</v>
      </c>
      <c r="B499" s="16">
        <v>2</v>
      </c>
      <c r="C499" s="19">
        <v>5.58471782239744e-5</v>
      </c>
      <c r="D499" s="17">
        <f t="shared" si="0"/>
        <v>1.37334151844878e-6</v>
      </c>
      <c r="E499" s="18">
        <f t="shared" si="1"/>
        <v>1.68097597465088e-6</v>
      </c>
      <c r="G499" s="16" t="s">
        <v>793</v>
      </c>
      <c r="H499" s="16">
        <v>963</v>
      </c>
      <c r="I499" s="19">
        <v>5.52241722911597e-5</v>
      </c>
    </row>
    <row r="500" ht="22.5" customHeight="1" spans="1:9">
      <c r="A500" s="16" t="s">
        <v>810</v>
      </c>
      <c r="B500" s="16">
        <v>2</v>
      </c>
      <c r="C500" s="19">
        <v>4.85395722863579e-5</v>
      </c>
      <c r="D500" s="17">
        <f t="shared" si="0"/>
        <v>1.37334151844878e-6</v>
      </c>
      <c r="E500" s="18">
        <f t="shared" si="1"/>
        <v>1.68097597465088e-6</v>
      </c>
      <c r="G500" s="16" t="s">
        <v>794</v>
      </c>
      <c r="H500" s="16">
        <v>961</v>
      </c>
      <c r="I500" s="19">
        <v>5.5109480344553e-5</v>
      </c>
    </row>
    <row r="501" ht="22.5" customHeight="1" spans="1:9">
      <c r="A501" s="16" t="s">
        <v>836</v>
      </c>
      <c r="B501" s="16">
        <v>2</v>
      </c>
      <c r="C501" s="19">
        <v>4.43790375189558e-5</v>
      </c>
      <c r="D501" s="17">
        <f t="shared" si="0"/>
        <v>1.37334151844878e-6</v>
      </c>
      <c r="E501" s="18">
        <f t="shared" si="1"/>
        <v>1.68097597465088e-6</v>
      </c>
      <c r="G501" s="16" t="s">
        <v>717</v>
      </c>
      <c r="H501" s="16">
        <v>956</v>
      </c>
      <c r="I501" s="19">
        <v>5.4822750478036e-5</v>
      </c>
    </row>
    <row r="502" ht="22.5" customHeight="1" spans="1:9">
      <c r="A502" s="16" t="s">
        <v>963</v>
      </c>
      <c r="B502" s="16">
        <v>2</v>
      </c>
      <c r="C502" s="19">
        <v>2.40564253858763e-5</v>
      </c>
      <c r="D502" s="17">
        <f t="shared" si="0"/>
        <v>1.37334151844878e-6</v>
      </c>
      <c r="E502" s="18">
        <f t="shared" si="1"/>
        <v>1.68097597465088e-6</v>
      </c>
      <c r="G502" s="16" t="s">
        <v>792</v>
      </c>
      <c r="H502" s="16">
        <v>956</v>
      </c>
      <c r="I502" s="19">
        <v>5.4822750478036e-5</v>
      </c>
    </row>
    <row r="503" ht="22.5" customHeight="1" spans="1:9">
      <c r="A503" s="16" t="s">
        <v>986</v>
      </c>
      <c r="B503" s="16">
        <v>2</v>
      </c>
      <c r="C503" s="19">
        <v>2.25629000847576e-5</v>
      </c>
      <c r="D503" s="17">
        <f t="shared" si="0"/>
        <v>1.37334151844878e-6</v>
      </c>
      <c r="E503" s="18">
        <f t="shared" si="1"/>
        <v>1.68097597465088e-6</v>
      </c>
      <c r="G503" s="16" t="s">
        <v>765</v>
      </c>
      <c r="H503" s="16">
        <v>953</v>
      </c>
      <c r="I503" s="19">
        <v>5.46507125581259e-5</v>
      </c>
    </row>
    <row r="504" ht="22.5" customHeight="1" spans="1:9">
      <c r="A504" s="16" t="s">
        <v>1028</v>
      </c>
      <c r="B504" s="16">
        <v>2</v>
      </c>
      <c r="C504" s="19">
        <v>1.80289839920758e-5</v>
      </c>
      <c r="D504" s="17">
        <f t="shared" si="0"/>
        <v>1.37334151844878e-6</v>
      </c>
      <c r="E504" s="18">
        <f t="shared" si="1"/>
        <v>1.68097597465088e-6</v>
      </c>
      <c r="G504" s="16" t="s">
        <v>797</v>
      </c>
      <c r="H504" s="16">
        <v>948</v>
      </c>
      <c r="I504" s="19">
        <v>5.4363982691609e-5</v>
      </c>
    </row>
    <row r="505" ht="22.5" customHeight="1" spans="1:9">
      <c r="A505" s="16" t="s">
        <v>1074</v>
      </c>
      <c r="B505" s="16">
        <v>2</v>
      </c>
      <c r="C505" s="19">
        <v>1.4615211875233e-5</v>
      </c>
      <c r="D505" s="17">
        <f t="shared" si="0"/>
        <v>1.37334151844878e-6</v>
      </c>
      <c r="E505" s="18">
        <f t="shared" si="1"/>
        <v>1.68097597465088e-6</v>
      </c>
      <c r="G505" s="16" t="s">
        <v>1010</v>
      </c>
      <c r="H505" s="16">
        <v>947</v>
      </c>
      <c r="I505" s="19">
        <v>5.43066367183056e-5</v>
      </c>
    </row>
    <row r="506" ht="22.5" customHeight="1" spans="1:9">
      <c r="A506" s="16" t="s">
        <v>1106</v>
      </c>
      <c r="B506" s="16">
        <v>2</v>
      </c>
      <c r="C506" s="19">
        <v>1.24282641128806e-5</v>
      </c>
      <c r="D506" s="17">
        <f t="shared" si="0"/>
        <v>1.37334151844878e-6</v>
      </c>
      <c r="E506" s="18">
        <f t="shared" si="1"/>
        <v>1.68097597465088e-6</v>
      </c>
      <c r="G506" s="16" t="s">
        <v>801</v>
      </c>
      <c r="H506" s="16">
        <v>935</v>
      </c>
      <c r="I506" s="19">
        <v>5.36184850386649e-5</v>
      </c>
    </row>
    <row r="507" ht="22.5" customHeight="1" spans="1:9">
      <c r="A507" s="16" t="s">
        <v>1209</v>
      </c>
      <c r="B507" s="16">
        <v>2</v>
      </c>
      <c r="C507" s="19">
        <v>6.77420404435983e-6</v>
      </c>
      <c r="D507" s="17">
        <f t="shared" si="0"/>
        <v>1.37334151844878e-6</v>
      </c>
      <c r="E507" s="18">
        <f t="shared" si="1"/>
        <v>1.68097597465088e-6</v>
      </c>
      <c r="G507" s="16" t="s">
        <v>804</v>
      </c>
      <c r="H507" s="16">
        <v>930</v>
      </c>
      <c r="I507" s="19">
        <v>5.3331755172148e-5</v>
      </c>
    </row>
    <row r="508" ht="22.5" customHeight="1" spans="1:9">
      <c r="A508" s="16" t="s">
        <v>1220</v>
      </c>
      <c r="B508" s="16">
        <v>2</v>
      </c>
      <c r="C508" s="19">
        <v>6.40082271908016e-6</v>
      </c>
      <c r="D508" s="17">
        <f t="shared" si="0"/>
        <v>1.37334151844878e-6</v>
      </c>
      <c r="E508" s="18">
        <f t="shared" si="1"/>
        <v>1.68097597465088e-6</v>
      </c>
      <c r="G508" s="16" t="s">
        <v>802</v>
      </c>
      <c r="H508" s="16">
        <v>926</v>
      </c>
      <c r="I508" s="19">
        <v>5.31023712789345e-5</v>
      </c>
    </row>
    <row r="509" ht="22.5" customHeight="1" spans="1:9">
      <c r="A509" s="16" t="s">
        <v>1237</v>
      </c>
      <c r="B509" s="16">
        <v>2</v>
      </c>
      <c r="C509" s="19">
        <v>5.97410120447482e-6</v>
      </c>
      <c r="D509" s="17">
        <f t="shared" si="0"/>
        <v>1.37334151844878e-6</v>
      </c>
      <c r="E509" s="18">
        <f t="shared" si="1"/>
        <v>1.68097597465088e-6</v>
      </c>
      <c r="G509" s="16" t="s">
        <v>808</v>
      </c>
      <c r="H509" s="16">
        <v>916</v>
      </c>
      <c r="I509" s="19">
        <v>5.25289115459006e-5</v>
      </c>
    </row>
    <row r="510" ht="22.5" customHeight="1" spans="1:9">
      <c r="A510" s="16" t="s">
        <v>1261</v>
      </c>
      <c r="B510" s="16">
        <v>2</v>
      </c>
      <c r="C510" s="19">
        <v>4.64059647133312e-6</v>
      </c>
      <c r="D510" s="17">
        <f t="shared" si="0"/>
        <v>1.37334151844878e-6</v>
      </c>
      <c r="E510" s="18">
        <f t="shared" si="1"/>
        <v>1.68097597465088e-6</v>
      </c>
      <c r="G510" s="16" t="s">
        <v>810</v>
      </c>
      <c r="H510" s="16">
        <v>908</v>
      </c>
      <c r="I510" s="19">
        <v>5.20701437594736e-5</v>
      </c>
    </row>
    <row r="511" ht="22.5" customHeight="1" spans="1:9">
      <c r="A511" s="16" t="s">
        <v>1310</v>
      </c>
      <c r="B511" s="16">
        <v>2</v>
      </c>
      <c r="C511" s="19">
        <v>3.14707117021441e-6</v>
      </c>
      <c r="D511" s="17">
        <f t="shared" si="0"/>
        <v>1.37334151844878e-6</v>
      </c>
      <c r="E511" s="18">
        <f t="shared" si="1"/>
        <v>1.68097597465088e-6</v>
      </c>
      <c r="G511" s="16" t="s">
        <v>787</v>
      </c>
      <c r="H511" s="16">
        <v>908</v>
      </c>
      <c r="I511" s="19">
        <v>5.20701437594736e-5</v>
      </c>
    </row>
    <row r="512" ht="22.5" customHeight="1" spans="1:9">
      <c r="A512" s="16" t="s">
        <v>1329</v>
      </c>
      <c r="B512" s="16">
        <v>2</v>
      </c>
      <c r="C512" s="19">
        <v>2.77368984493474e-6</v>
      </c>
      <c r="D512" s="17">
        <f t="shared" si="0"/>
        <v>1.37334151844878e-6</v>
      </c>
      <c r="E512" s="18">
        <f t="shared" si="1"/>
        <v>1.68097597465088e-6</v>
      </c>
      <c r="G512" s="16" t="s">
        <v>812</v>
      </c>
      <c r="H512" s="16">
        <v>906</v>
      </c>
      <c r="I512" s="19">
        <v>5.19554518128668e-5</v>
      </c>
    </row>
    <row r="513" ht="22.5" customHeight="1" spans="1:9">
      <c r="A513" s="16" t="s">
        <v>1331</v>
      </c>
      <c r="B513" s="16">
        <v>2</v>
      </c>
      <c r="C513" s="19">
        <v>2.72034965560907e-6</v>
      </c>
      <c r="D513" s="17">
        <f t="shared" si="0"/>
        <v>1.37334151844878e-6</v>
      </c>
      <c r="E513" s="18">
        <f t="shared" si="1"/>
        <v>1.68097597465088e-6</v>
      </c>
      <c r="G513" s="16" t="s">
        <v>814</v>
      </c>
      <c r="H513" s="16">
        <v>898</v>
      </c>
      <c r="I513" s="19">
        <v>5.14966840264397e-5</v>
      </c>
    </row>
    <row r="514" ht="22.5" customHeight="1" spans="1:9">
      <c r="A514" s="16" t="s">
        <v>1339</v>
      </c>
      <c r="B514" s="16">
        <v>2</v>
      </c>
      <c r="C514" s="19">
        <v>2.45364870898073e-6</v>
      </c>
      <c r="D514" s="17">
        <f t="shared" si="0"/>
        <v>1.37334151844878e-6</v>
      </c>
      <c r="E514" s="18">
        <f t="shared" si="1"/>
        <v>1.68097597465088e-6</v>
      </c>
      <c r="G514" s="16" t="s">
        <v>799</v>
      </c>
      <c r="H514" s="16">
        <v>892</v>
      </c>
      <c r="I514" s="19">
        <v>5.11526081866194e-5</v>
      </c>
    </row>
    <row r="515" ht="22.5" customHeight="1" spans="1:9">
      <c r="A515" s="16" t="s">
        <v>337</v>
      </c>
      <c r="B515" s="16">
        <v>1</v>
      </c>
      <c r="C515" s="19">
        <v>0.000443363653674952</v>
      </c>
      <c r="D515" s="17">
        <f t="shared" si="0"/>
        <v>6.86670759224392e-7</v>
      </c>
      <c r="E515" s="18">
        <f t="shared" si="1"/>
        <v>8.40487987325441e-7</v>
      </c>
      <c r="G515" s="16" t="s">
        <v>790</v>
      </c>
      <c r="H515" s="16">
        <v>891</v>
      </c>
      <c r="I515" s="19">
        <v>5.1095262213316e-5</v>
      </c>
    </row>
    <row r="516" ht="22.5" customHeight="1" spans="1:9">
      <c r="A516" s="16" t="s">
        <v>361</v>
      </c>
      <c r="B516" s="16">
        <v>1</v>
      </c>
      <c r="C516" s="19">
        <v>0.000384956146363346</v>
      </c>
      <c r="D516" s="17">
        <f t="shared" si="0"/>
        <v>6.86670759224392e-7</v>
      </c>
      <c r="E516" s="18">
        <f t="shared" si="1"/>
        <v>8.40487987325441e-7</v>
      </c>
      <c r="G516" s="16" t="s">
        <v>749</v>
      </c>
      <c r="H516" s="16">
        <v>891</v>
      </c>
      <c r="I516" s="19">
        <v>5.1095262213316e-5</v>
      </c>
    </row>
    <row r="517" ht="22.5" customHeight="1" spans="1:9">
      <c r="A517" s="16" t="s">
        <v>922</v>
      </c>
      <c r="B517" s="16">
        <v>1</v>
      </c>
      <c r="C517" s="19">
        <v>2.95504648864201e-5</v>
      </c>
      <c r="D517" s="17">
        <f t="shared" si="0"/>
        <v>6.86670759224392e-7</v>
      </c>
      <c r="E517" s="18">
        <f t="shared" si="1"/>
        <v>8.40487987325441e-7</v>
      </c>
      <c r="G517" s="16" t="s">
        <v>813</v>
      </c>
      <c r="H517" s="16">
        <v>889</v>
      </c>
      <c r="I517" s="19">
        <v>5.09805702667092e-5</v>
      </c>
    </row>
    <row r="518" ht="22.5" customHeight="1" spans="1:9">
      <c r="A518" s="16" t="s">
        <v>955</v>
      </c>
      <c r="B518" s="16">
        <v>1</v>
      </c>
      <c r="C518" s="19">
        <v>2.48031880364356e-5</v>
      </c>
      <c r="D518" s="17">
        <f t="shared" si="0"/>
        <v>6.86670759224392e-7</v>
      </c>
      <c r="E518" s="18">
        <f t="shared" si="1"/>
        <v>8.40487987325441e-7</v>
      </c>
      <c r="G518" s="16" t="s">
        <v>818</v>
      </c>
      <c r="H518" s="16">
        <v>889</v>
      </c>
      <c r="I518" s="19">
        <v>5.09805702667092e-5</v>
      </c>
    </row>
    <row r="519" ht="22.5" customHeight="1" spans="1:9">
      <c r="A519" s="16" t="s">
        <v>1017</v>
      </c>
      <c r="B519" s="16">
        <v>1</v>
      </c>
      <c r="C519" s="19">
        <v>1.90424475892635e-5</v>
      </c>
      <c r="D519" s="17">
        <f t="shared" si="0"/>
        <v>6.86670759224392e-7</v>
      </c>
      <c r="E519" s="18">
        <f t="shared" si="1"/>
        <v>8.40487987325441e-7</v>
      </c>
      <c r="G519" s="16" t="s">
        <v>815</v>
      </c>
      <c r="H519" s="16">
        <v>882</v>
      </c>
      <c r="I519" s="19">
        <v>5.05791484535855e-5</v>
      </c>
    </row>
    <row r="520" ht="22.5" customHeight="1" spans="1:9">
      <c r="A520" s="16" t="s">
        <v>1022</v>
      </c>
      <c r="B520" s="16">
        <v>1</v>
      </c>
      <c r="C520" s="19">
        <v>1.85623858853325e-5</v>
      </c>
      <c r="D520" s="17">
        <f t="shared" si="0"/>
        <v>6.86670759224392e-7</v>
      </c>
      <c r="E520" s="18">
        <f t="shared" si="1"/>
        <v>8.40487987325441e-7</v>
      </c>
      <c r="G520" s="16" t="s">
        <v>740</v>
      </c>
      <c r="H520" s="16">
        <v>872</v>
      </c>
      <c r="I520" s="19">
        <v>5.00056887205517e-5</v>
      </c>
    </row>
    <row r="521" ht="22.5" customHeight="1" spans="1:9">
      <c r="A521" s="16" t="s">
        <v>1054</v>
      </c>
      <c r="B521" s="16">
        <v>1</v>
      </c>
      <c r="C521" s="19">
        <v>1.57886960403977e-5</v>
      </c>
      <c r="D521" s="17">
        <f t="shared" si="0"/>
        <v>6.86670759224392e-7</v>
      </c>
      <c r="E521" s="18">
        <f t="shared" si="1"/>
        <v>8.40487987325441e-7</v>
      </c>
      <c r="G521" s="16" t="s">
        <v>824</v>
      </c>
      <c r="H521" s="16">
        <v>865</v>
      </c>
      <c r="I521" s="19">
        <v>4.9604266907428e-5</v>
      </c>
    </row>
    <row r="522" ht="22.5" customHeight="1" spans="1:9">
      <c r="A522" s="16" t="s">
        <v>1057</v>
      </c>
      <c r="B522" s="16">
        <v>1</v>
      </c>
      <c r="C522" s="19">
        <v>1.54686549044437e-5</v>
      </c>
      <c r="D522" s="17">
        <f t="shared" si="0"/>
        <v>6.86670759224392e-7</v>
      </c>
      <c r="E522" s="18">
        <f t="shared" si="1"/>
        <v>8.40487987325441e-7</v>
      </c>
      <c r="G522" s="16" t="s">
        <v>716</v>
      </c>
      <c r="H522" s="16">
        <v>863</v>
      </c>
      <c r="I522" s="19">
        <v>4.94895749608212e-5</v>
      </c>
    </row>
    <row r="523" ht="22.5" customHeight="1" spans="1:9">
      <c r="A523" s="16" t="s">
        <v>1075</v>
      </c>
      <c r="B523" s="16">
        <v>1</v>
      </c>
      <c r="C523" s="19">
        <v>1.4615211875233e-5</v>
      </c>
      <c r="D523" s="17">
        <f t="shared" si="0"/>
        <v>6.86670759224392e-7</v>
      </c>
      <c r="E523" s="18">
        <f t="shared" si="1"/>
        <v>8.40487987325441e-7</v>
      </c>
      <c r="G523" s="16" t="s">
        <v>825</v>
      </c>
      <c r="H523" s="16">
        <v>855</v>
      </c>
      <c r="I523" s="19">
        <v>4.90308071743942e-5</v>
      </c>
    </row>
    <row r="524" ht="22.5" customHeight="1" spans="1:9">
      <c r="A524" s="16" t="s">
        <v>1079</v>
      </c>
      <c r="B524" s="16">
        <v>1</v>
      </c>
      <c r="C524" s="19">
        <v>1.4135150171302e-5</v>
      </c>
      <c r="D524" s="17">
        <f t="shared" si="0"/>
        <v>6.86670759224392e-7</v>
      </c>
      <c r="E524" s="18">
        <f t="shared" si="1"/>
        <v>8.40487987325441e-7</v>
      </c>
      <c r="G524" s="16" t="s">
        <v>820</v>
      </c>
      <c r="H524" s="16">
        <v>854</v>
      </c>
      <c r="I524" s="19">
        <v>4.89734612010908e-5</v>
      </c>
    </row>
    <row r="525" ht="22.5" customHeight="1" spans="1:9">
      <c r="A525" s="16" t="s">
        <v>1114</v>
      </c>
      <c r="B525" s="16">
        <v>1</v>
      </c>
      <c r="C525" s="19">
        <v>1.20015425982753e-5</v>
      </c>
      <c r="D525" s="17">
        <f t="shared" si="0"/>
        <v>6.86670759224392e-7</v>
      </c>
      <c r="E525" s="18">
        <f t="shared" si="1"/>
        <v>8.40487987325441e-7</v>
      </c>
      <c r="G525" s="16" t="s">
        <v>829</v>
      </c>
      <c r="H525" s="16">
        <v>850</v>
      </c>
      <c r="I525" s="19">
        <v>4.87440773078772e-5</v>
      </c>
    </row>
    <row r="526" ht="22.5" customHeight="1" spans="1:9">
      <c r="A526" s="16" t="s">
        <v>1164</v>
      </c>
      <c r="B526" s="16">
        <v>1</v>
      </c>
      <c r="C526" s="19">
        <v>9.38787332131757e-6</v>
      </c>
      <c r="D526" s="17">
        <f t="shared" si="0"/>
        <v>6.86670759224392e-7</v>
      </c>
      <c r="E526" s="18">
        <f t="shared" si="1"/>
        <v>8.40487987325441e-7</v>
      </c>
      <c r="G526" s="16" t="s">
        <v>706</v>
      </c>
      <c r="H526" s="16">
        <v>847</v>
      </c>
      <c r="I526" s="19">
        <v>4.85720393879671e-5</v>
      </c>
    </row>
    <row r="527" ht="22.5" customHeight="1" spans="1:9">
      <c r="A527" s="16" t="s">
        <v>1174</v>
      </c>
      <c r="B527" s="16">
        <v>1</v>
      </c>
      <c r="C527" s="19">
        <v>8.64111067075821e-6</v>
      </c>
      <c r="D527" s="17">
        <f t="shared" si="0"/>
        <v>6.86670759224392e-7</v>
      </c>
      <c r="E527" s="18">
        <f t="shared" si="1"/>
        <v>8.40487987325441e-7</v>
      </c>
      <c r="G527" s="16" t="s">
        <v>752</v>
      </c>
      <c r="H527" s="16">
        <v>845</v>
      </c>
      <c r="I527" s="19">
        <v>4.84573474413603e-5</v>
      </c>
    </row>
    <row r="528" ht="22.5" customHeight="1" spans="1:9">
      <c r="A528" s="16" t="s">
        <v>1201</v>
      </c>
      <c r="B528" s="16">
        <v>1</v>
      </c>
      <c r="C528" s="19">
        <v>7.36094612694218e-6</v>
      </c>
      <c r="D528" s="17">
        <f t="shared" si="0"/>
        <v>6.86670759224392e-7</v>
      </c>
      <c r="E528" s="18">
        <f t="shared" si="1"/>
        <v>8.40487987325441e-7</v>
      </c>
      <c r="G528" s="16" t="s">
        <v>806</v>
      </c>
      <c r="H528" s="16">
        <v>844</v>
      </c>
      <c r="I528" s="19">
        <v>4.84000014680569e-5</v>
      </c>
    </row>
    <row r="529" ht="22.5" customHeight="1" spans="1:9">
      <c r="A529" s="16" t="s">
        <v>1232</v>
      </c>
      <c r="B529" s="16">
        <v>1</v>
      </c>
      <c r="C529" s="19">
        <v>6.02744139380048e-6</v>
      </c>
      <c r="D529" s="17">
        <f t="shared" si="0"/>
        <v>6.86670759224392e-7</v>
      </c>
      <c r="E529" s="18">
        <f t="shared" si="1"/>
        <v>8.40487987325441e-7</v>
      </c>
      <c r="G529" s="16" t="s">
        <v>832</v>
      </c>
      <c r="H529" s="16">
        <v>844</v>
      </c>
      <c r="I529" s="19">
        <v>4.84000014680569e-5</v>
      </c>
    </row>
    <row r="530" ht="22.5" customHeight="1" spans="1:9">
      <c r="A530" s="16" t="s">
        <v>1270</v>
      </c>
      <c r="B530" s="16">
        <v>1</v>
      </c>
      <c r="C530" s="19">
        <v>4.37389552470478e-6</v>
      </c>
      <c r="D530" s="17">
        <f t="shared" si="0"/>
        <v>6.86670759224392e-7</v>
      </c>
      <c r="E530" s="18">
        <f t="shared" si="1"/>
        <v>8.40487987325441e-7</v>
      </c>
      <c r="G530" s="16" t="s">
        <v>743</v>
      </c>
      <c r="H530" s="16">
        <v>840</v>
      </c>
      <c r="I530" s="19">
        <v>4.81706175748434e-5</v>
      </c>
    </row>
    <row r="531" ht="22.5" customHeight="1" spans="1:9">
      <c r="A531" s="16" t="s">
        <v>1293</v>
      </c>
      <c r="B531" s="16">
        <v>1</v>
      </c>
      <c r="C531" s="19">
        <v>3.78715344212243e-6</v>
      </c>
      <c r="D531" s="17">
        <f t="shared" si="0"/>
        <v>6.86670759224392e-7</v>
      </c>
      <c r="E531" s="18">
        <f t="shared" si="1"/>
        <v>8.40487987325441e-7</v>
      </c>
      <c r="G531" s="16" t="s">
        <v>817</v>
      </c>
      <c r="H531" s="16">
        <v>835</v>
      </c>
      <c r="I531" s="19">
        <v>4.78838877083265e-5</v>
      </c>
    </row>
    <row r="532" ht="22.5" customHeight="1" spans="1:9">
      <c r="A532" s="16" t="s">
        <v>1304</v>
      </c>
      <c r="B532" s="16">
        <v>1</v>
      </c>
      <c r="C532" s="19">
        <v>3.30709173819142e-6</v>
      </c>
      <c r="D532" s="17">
        <f t="shared" si="0"/>
        <v>6.86670759224392e-7</v>
      </c>
      <c r="E532" s="18">
        <f t="shared" si="1"/>
        <v>8.40487987325441e-7</v>
      </c>
      <c r="G532" s="16" t="s">
        <v>822</v>
      </c>
      <c r="H532" s="16">
        <v>835</v>
      </c>
      <c r="I532" s="19">
        <v>4.78838877083265e-5</v>
      </c>
    </row>
    <row r="533" ht="22.5" customHeight="1" spans="1:9">
      <c r="A533" s="16" t="s">
        <v>1323</v>
      </c>
      <c r="B533" s="16">
        <v>1</v>
      </c>
      <c r="C533" s="19">
        <v>2.88037022358607e-6</v>
      </c>
      <c r="D533" s="17">
        <f t="shared" si="0"/>
        <v>6.86670759224392e-7</v>
      </c>
      <c r="E533" s="18">
        <f t="shared" si="1"/>
        <v>8.40487987325441e-7</v>
      </c>
      <c r="G533" s="16" t="s">
        <v>836</v>
      </c>
      <c r="H533" s="16">
        <v>830</v>
      </c>
      <c r="I533" s="19">
        <v>4.75971578418095e-5</v>
      </c>
    </row>
    <row r="534" ht="22.5" customHeight="1" spans="1:9">
      <c r="A534" s="16" t="s">
        <v>1333</v>
      </c>
      <c r="B534" s="16">
        <v>1</v>
      </c>
      <c r="C534" s="19">
        <v>2.6670094662834e-6</v>
      </c>
      <c r="D534" s="17">
        <f t="shared" si="0"/>
        <v>6.86670759224392e-7</v>
      </c>
      <c r="E534" s="18">
        <f t="shared" si="1"/>
        <v>8.40487987325441e-7</v>
      </c>
      <c r="G534" s="16" t="s">
        <v>835</v>
      </c>
      <c r="H534" s="16">
        <v>829</v>
      </c>
      <c r="I534" s="19">
        <v>4.75398118685061e-5</v>
      </c>
    </row>
    <row r="535" ht="22.5" customHeight="1" spans="1:9">
      <c r="A535" s="16" t="s">
        <v>1335</v>
      </c>
      <c r="B535" s="16">
        <v>1</v>
      </c>
      <c r="C535" s="19">
        <v>2.56032908763206e-6</v>
      </c>
      <c r="D535" s="17">
        <f t="shared" si="0"/>
        <v>6.86670759224392e-7</v>
      </c>
      <c r="E535" s="18">
        <f t="shared" si="1"/>
        <v>8.40487987325441e-7</v>
      </c>
      <c r="G535" s="16" t="s">
        <v>666</v>
      </c>
      <c r="H535" s="16">
        <v>827</v>
      </c>
      <c r="I535" s="19">
        <v>4.74251199218994e-5</v>
      </c>
    </row>
    <row r="536" ht="22.5" customHeight="1" spans="1:9">
      <c r="A536" s="16" t="s">
        <v>1344</v>
      </c>
      <c r="B536" s="16">
        <v>1</v>
      </c>
      <c r="C536" s="19">
        <v>2.40030851965506e-6</v>
      </c>
      <c r="D536" s="17">
        <f t="shared" si="0"/>
        <v>6.86670759224392e-7</v>
      </c>
      <c r="E536" s="18">
        <f t="shared" si="1"/>
        <v>8.40487987325441e-7</v>
      </c>
      <c r="G536" s="16" t="s">
        <v>702</v>
      </c>
      <c r="H536" s="16">
        <v>821</v>
      </c>
      <c r="I536" s="19">
        <v>4.70810440820791e-5</v>
      </c>
    </row>
    <row r="537" ht="22.5" customHeight="1" spans="1:9">
      <c r="A537" s="16" t="s">
        <v>1351</v>
      </c>
      <c r="B537" s="16">
        <v>1</v>
      </c>
      <c r="C537" s="19">
        <v>2.13360757302672e-6</v>
      </c>
      <c r="D537" s="17">
        <f t="shared" si="0"/>
        <v>6.86670759224392e-7</v>
      </c>
      <c r="E537" s="18">
        <f t="shared" si="1"/>
        <v>8.40487987325441e-7</v>
      </c>
      <c r="G537" s="16" t="s">
        <v>838</v>
      </c>
      <c r="H537" s="16">
        <v>819</v>
      </c>
      <c r="I537" s="19">
        <v>4.69663521354723e-5</v>
      </c>
    </row>
    <row r="538" ht="22.5" customHeight="1" spans="1:9">
      <c r="A538" s="16" t="s">
        <v>1356</v>
      </c>
      <c r="B538" s="16">
        <v>1</v>
      </c>
      <c r="C538" s="19">
        <v>2.02692719437538e-6</v>
      </c>
      <c r="D538" s="17">
        <f t="shared" si="0"/>
        <v>6.86670759224392e-7</v>
      </c>
      <c r="E538" s="18">
        <f t="shared" si="1"/>
        <v>8.40487987325441e-7</v>
      </c>
      <c r="G538" s="16" t="s">
        <v>828</v>
      </c>
      <c r="H538" s="16">
        <v>816</v>
      </c>
      <c r="I538" s="19">
        <v>4.67943142155621e-5</v>
      </c>
    </row>
    <row r="539" ht="22.5" customHeight="1" spans="1:9">
      <c r="A539" s="16" t="s">
        <v>1358</v>
      </c>
      <c r="B539" s="16">
        <v>1</v>
      </c>
      <c r="C539" s="19">
        <v>1.97358700504972e-6</v>
      </c>
      <c r="D539" s="17">
        <f t="shared" si="0"/>
        <v>6.86670759224392e-7</v>
      </c>
      <c r="E539" s="18">
        <f t="shared" si="1"/>
        <v>8.40487987325441e-7</v>
      </c>
      <c r="G539" s="16" t="s">
        <v>839</v>
      </c>
      <c r="H539" s="16">
        <v>805</v>
      </c>
      <c r="I539" s="19">
        <v>4.61635085092249e-5</v>
      </c>
    </row>
    <row r="540" ht="22.5" customHeight="1" spans="1:9">
      <c r="A540" s="16" t="s">
        <v>1373</v>
      </c>
      <c r="B540" s="16">
        <v>1</v>
      </c>
      <c r="C540" s="19">
        <v>1.54686549044437e-6</v>
      </c>
      <c r="D540" s="17">
        <f t="shared" si="0"/>
        <v>6.86670759224392e-7</v>
      </c>
      <c r="E540" s="18">
        <f t="shared" si="1"/>
        <v>8.40487987325441e-7</v>
      </c>
      <c r="G540" s="16" t="s">
        <v>841</v>
      </c>
      <c r="H540" s="16">
        <v>804</v>
      </c>
      <c r="I540" s="19">
        <v>4.61061625359215e-5</v>
      </c>
    </row>
    <row r="541" ht="22.5" customHeight="1" spans="1:9">
      <c r="A541" s="16" t="s">
        <v>1375</v>
      </c>
      <c r="B541" s="16">
        <v>1</v>
      </c>
      <c r="C541" s="19">
        <v>1.4935253011187e-6</v>
      </c>
      <c r="D541" s="17">
        <f t="shared" si="0"/>
        <v>6.86670759224392e-7</v>
      </c>
      <c r="E541" s="18">
        <f t="shared" si="1"/>
        <v>8.40487987325441e-7</v>
      </c>
      <c r="G541" s="16" t="s">
        <v>843</v>
      </c>
      <c r="H541" s="16">
        <v>801</v>
      </c>
      <c r="I541" s="19">
        <v>4.59341246160114e-5</v>
      </c>
    </row>
    <row r="542" ht="22.5" customHeight="1" spans="1:9">
      <c r="A542" s="16" t="s">
        <v>1389</v>
      </c>
      <c r="B542" s="16">
        <v>1</v>
      </c>
      <c r="C542" s="19">
        <v>1.22682435449036e-6</v>
      </c>
      <c r="D542" s="17">
        <f t="shared" si="0"/>
        <v>6.86670759224392e-7</v>
      </c>
      <c r="E542" s="18">
        <f t="shared" si="1"/>
        <v>8.40487987325441e-7</v>
      </c>
      <c r="G542" s="16" t="s">
        <v>842</v>
      </c>
      <c r="H542" s="16">
        <v>798</v>
      </c>
      <c r="I542" s="19">
        <v>4.57620866961012e-5</v>
      </c>
    </row>
    <row r="543" ht="22.5" customHeight="1" spans="1:9">
      <c r="A543" s="16" t="s">
        <v>1392</v>
      </c>
      <c r="B543" s="16">
        <v>1</v>
      </c>
      <c r="C543" s="19">
        <v>1.12014397583903e-6</v>
      </c>
      <c r="D543" s="17">
        <f t="shared" si="0"/>
        <v>6.86670759224392e-7</v>
      </c>
      <c r="E543" s="18">
        <f t="shared" si="1"/>
        <v>8.40487987325441e-7</v>
      </c>
      <c r="G543" s="16" t="s">
        <v>833</v>
      </c>
      <c r="H543" s="16">
        <v>793</v>
      </c>
      <c r="I543" s="19">
        <v>4.54753568295843e-5</v>
      </c>
    </row>
    <row r="544" ht="22.5" customHeight="1" spans="1:9">
      <c r="A544" s="16" t="s">
        <v>13</v>
      </c>
      <c r="B544" s="16">
        <v>0</v>
      </c>
      <c r="C544" s="17">
        <v>0.125461032591389</v>
      </c>
      <c r="D544" s="17">
        <f t="shared" si="0"/>
        <v>0</v>
      </c>
      <c r="E544" s="18">
        <f t="shared" si="1"/>
        <v>0</v>
      </c>
      <c r="G544" s="16" t="s">
        <v>844</v>
      </c>
      <c r="H544" s="16">
        <v>787</v>
      </c>
      <c r="I544" s="19">
        <v>4.5131280989764e-5</v>
      </c>
    </row>
    <row r="545" ht="22.5" customHeight="1" spans="1:9">
      <c r="A545" s="16" t="s">
        <v>22</v>
      </c>
      <c r="B545" s="16">
        <v>0</v>
      </c>
      <c r="C545" s="17">
        <v>0.0975670472844776</v>
      </c>
      <c r="D545" s="17">
        <f t="shared" si="0"/>
        <v>0</v>
      </c>
      <c r="E545" s="18">
        <f t="shared" si="1"/>
        <v>0</v>
      </c>
      <c r="G545" s="16" t="s">
        <v>845</v>
      </c>
      <c r="H545" s="16">
        <v>786</v>
      </c>
      <c r="I545" s="19">
        <v>4.50739350164606e-5</v>
      </c>
    </row>
    <row r="546" ht="22.5" customHeight="1" spans="1:9">
      <c r="A546" s="16" t="s">
        <v>28</v>
      </c>
      <c r="B546" s="16">
        <v>0</v>
      </c>
      <c r="C546" s="17">
        <v>0.0803409398221318</v>
      </c>
      <c r="D546" s="17">
        <f t="shared" si="0"/>
        <v>0</v>
      </c>
      <c r="E546" s="18">
        <f t="shared" si="1"/>
        <v>0</v>
      </c>
      <c r="G546" s="16" t="s">
        <v>848</v>
      </c>
      <c r="H546" s="16">
        <v>778</v>
      </c>
      <c r="I546" s="19">
        <v>4.46151672300335e-5</v>
      </c>
    </row>
    <row r="547" ht="22.5" customHeight="1" spans="1:9">
      <c r="A547" s="16" t="s">
        <v>32</v>
      </c>
      <c r="B547" s="16">
        <v>0</v>
      </c>
      <c r="C547" s="17">
        <v>0.0481496021621979</v>
      </c>
      <c r="D547" s="17">
        <f t="shared" si="0"/>
        <v>0</v>
      </c>
      <c r="E547" s="18">
        <f t="shared" si="1"/>
        <v>0</v>
      </c>
      <c r="G547" s="16" t="s">
        <v>821</v>
      </c>
      <c r="H547" s="16">
        <v>776</v>
      </c>
      <c r="I547" s="19">
        <v>4.45004752834267e-5</v>
      </c>
    </row>
    <row r="548" ht="22.5" customHeight="1" spans="1:9">
      <c r="A548" s="16" t="s">
        <v>36</v>
      </c>
      <c r="B548" s="16">
        <v>0</v>
      </c>
      <c r="C548" s="17">
        <v>0.0253775018549051</v>
      </c>
      <c r="D548" s="17">
        <f t="shared" si="0"/>
        <v>0</v>
      </c>
      <c r="E548" s="18">
        <f t="shared" si="1"/>
        <v>0</v>
      </c>
      <c r="G548" s="16" t="s">
        <v>805</v>
      </c>
      <c r="H548" s="16">
        <v>768</v>
      </c>
      <c r="I548" s="19">
        <v>4.40417074969997e-5</v>
      </c>
    </row>
    <row r="549" ht="22.5" customHeight="1" spans="1:9">
      <c r="A549" s="16" t="s">
        <v>42</v>
      </c>
      <c r="B549" s="16">
        <v>0</v>
      </c>
      <c r="C549" s="17">
        <v>0.0237401180631751</v>
      </c>
      <c r="D549" s="17">
        <f t="shared" si="0"/>
        <v>0</v>
      </c>
      <c r="E549" s="18">
        <f t="shared" si="1"/>
        <v>0</v>
      </c>
      <c r="G549" s="16" t="s">
        <v>773</v>
      </c>
      <c r="H549" s="16">
        <v>768</v>
      </c>
      <c r="I549" s="19">
        <v>4.40417074969997e-5</v>
      </c>
    </row>
    <row r="550" ht="22.5" customHeight="1" spans="1:9">
      <c r="A550" s="16" t="s">
        <v>48</v>
      </c>
      <c r="B550" s="16">
        <v>0</v>
      </c>
      <c r="C550" s="17">
        <v>0.018326942289649</v>
      </c>
      <c r="D550" s="17">
        <f t="shared" si="0"/>
        <v>0</v>
      </c>
      <c r="E550" s="18">
        <f t="shared" si="1"/>
        <v>0</v>
      </c>
      <c r="G550" s="16" t="s">
        <v>847</v>
      </c>
      <c r="H550" s="16">
        <v>763</v>
      </c>
      <c r="I550" s="19">
        <v>4.37549776304827e-5</v>
      </c>
    </row>
    <row r="551" ht="22.5" customHeight="1" spans="1:9">
      <c r="A551" s="16" t="s">
        <v>52</v>
      </c>
      <c r="B551" s="16">
        <v>0</v>
      </c>
      <c r="C551" s="17">
        <v>0.0162618768599057</v>
      </c>
      <c r="D551" s="17">
        <f t="shared" si="0"/>
        <v>0</v>
      </c>
      <c r="E551" s="18">
        <f t="shared" si="1"/>
        <v>0</v>
      </c>
      <c r="G551" s="16" t="s">
        <v>546</v>
      </c>
      <c r="H551" s="16">
        <v>757</v>
      </c>
      <c r="I551" s="19">
        <v>4.34109017906624e-5</v>
      </c>
    </row>
    <row r="552" ht="22.5" customHeight="1" spans="1:9">
      <c r="A552" s="16" t="s">
        <v>56</v>
      </c>
      <c r="B552" s="16">
        <v>0</v>
      </c>
      <c r="C552" s="17">
        <v>0.0134565562827009</v>
      </c>
      <c r="D552" s="17">
        <f t="shared" si="0"/>
        <v>0</v>
      </c>
      <c r="E552" s="18">
        <f t="shared" si="1"/>
        <v>0</v>
      </c>
      <c r="G552" s="16" t="s">
        <v>849</v>
      </c>
      <c r="H552" s="16">
        <v>755</v>
      </c>
      <c r="I552" s="19">
        <v>4.32962098440557e-5</v>
      </c>
    </row>
    <row r="553" ht="22.5" customHeight="1" spans="1:9">
      <c r="A553" s="16" t="s">
        <v>60</v>
      </c>
      <c r="B553" s="16">
        <v>0</v>
      </c>
      <c r="C553" s="17">
        <v>0.012581297116056</v>
      </c>
      <c r="D553" s="17">
        <f t="shared" si="0"/>
        <v>0</v>
      </c>
      <c r="E553" s="18">
        <f t="shared" si="1"/>
        <v>0</v>
      </c>
      <c r="G553" s="16" t="s">
        <v>854</v>
      </c>
      <c r="H553" s="16">
        <v>755</v>
      </c>
      <c r="I553" s="19">
        <v>4.32962098440557e-5</v>
      </c>
    </row>
    <row r="554" ht="22.5" customHeight="1" spans="1:9">
      <c r="A554" s="16" t="s">
        <v>65</v>
      </c>
      <c r="B554" s="16">
        <v>0</v>
      </c>
      <c r="C554" s="17">
        <v>0.0103852281813289</v>
      </c>
      <c r="D554" s="17">
        <f t="shared" si="0"/>
        <v>0</v>
      </c>
      <c r="E554" s="18">
        <f t="shared" si="1"/>
        <v>0</v>
      </c>
      <c r="G554" s="16" t="s">
        <v>855</v>
      </c>
      <c r="H554" s="16">
        <v>752</v>
      </c>
      <c r="I554" s="19">
        <v>4.31241719241455e-5</v>
      </c>
    </row>
    <row r="555" ht="22.5" customHeight="1" spans="1:9">
      <c r="A555" s="16" t="s">
        <v>70</v>
      </c>
      <c r="B555" s="16">
        <v>0</v>
      </c>
      <c r="C555" s="17">
        <v>0.00950900889127616</v>
      </c>
      <c r="D555" s="17">
        <f t="shared" si="0"/>
        <v>0</v>
      </c>
      <c r="E555" s="18">
        <f t="shared" si="1"/>
        <v>0</v>
      </c>
      <c r="G555" s="16" t="s">
        <v>856</v>
      </c>
      <c r="H555" s="16">
        <v>750</v>
      </c>
      <c r="I555" s="19">
        <v>4.30094799775387e-5</v>
      </c>
    </row>
    <row r="556" ht="22.5" customHeight="1" spans="1:9">
      <c r="A556" s="16" t="s">
        <v>74</v>
      </c>
      <c r="B556" s="16">
        <v>0</v>
      </c>
      <c r="C556" s="17">
        <v>0.00871653369846471</v>
      </c>
      <c r="D556" s="17">
        <f t="shared" si="0"/>
        <v>0</v>
      </c>
      <c r="E556" s="18">
        <f t="shared" si="1"/>
        <v>0</v>
      </c>
      <c r="G556" s="16" t="s">
        <v>857</v>
      </c>
      <c r="H556" s="16">
        <v>748</v>
      </c>
      <c r="I556" s="19">
        <v>4.2894788030932e-5</v>
      </c>
    </row>
    <row r="557" ht="22.5" customHeight="1" spans="1:9">
      <c r="A557" s="16" t="s">
        <v>76</v>
      </c>
      <c r="B557" s="16">
        <v>0</v>
      </c>
      <c r="C557" s="17">
        <v>0.00748298848011931</v>
      </c>
      <c r="D557" s="17">
        <f t="shared" si="0"/>
        <v>0</v>
      </c>
      <c r="E557" s="18">
        <f t="shared" si="1"/>
        <v>0</v>
      </c>
      <c r="G557" s="16" t="s">
        <v>858</v>
      </c>
      <c r="H557" s="16">
        <v>741</v>
      </c>
      <c r="I557" s="19">
        <v>4.24933662178083e-5</v>
      </c>
    </row>
    <row r="558" ht="22.5" customHeight="1" spans="1:9">
      <c r="A558" s="16" t="s">
        <v>78</v>
      </c>
      <c r="B558" s="16">
        <v>0</v>
      </c>
      <c r="C558" s="17">
        <v>0.00734473070938718</v>
      </c>
      <c r="D558" s="17">
        <f t="shared" si="0"/>
        <v>0</v>
      </c>
      <c r="E558" s="18">
        <f t="shared" si="1"/>
        <v>0</v>
      </c>
      <c r="G558" s="16" t="s">
        <v>827</v>
      </c>
      <c r="H558" s="16">
        <v>739</v>
      </c>
      <c r="I558" s="19">
        <v>4.23786742712015e-5</v>
      </c>
    </row>
    <row r="559" ht="22.5" customHeight="1" spans="1:9">
      <c r="A559" s="16" t="s">
        <v>1604</v>
      </c>
      <c r="B559" s="16">
        <v>0</v>
      </c>
      <c r="C559" s="17">
        <v>0.00717356204184111</v>
      </c>
      <c r="D559" s="17">
        <f t="shared" si="0"/>
        <v>0</v>
      </c>
      <c r="E559" s="18">
        <f t="shared" si="1"/>
        <v>0</v>
      </c>
      <c r="G559" s="16" t="s">
        <v>852</v>
      </c>
      <c r="H559" s="16">
        <v>734</v>
      </c>
      <c r="I559" s="19">
        <v>4.20919444046846e-5</v>
      </c>
    </row>
    <row r="560" ht="22.5" customHeight="1" spans="1:9">
      <c r="A560" s="16" t="s">
        <v>85</v>
      </c>
      <c r="B560" s="16">
        <v>0</v>
      </c>
      <c r="C560" s="17">
        <v>0.00712726275750643</v>
      </c>
      <c r="D560" s="17">
        <f t="shared" si="0"/>
        <v>0</v>
      </c>
      <c r="E560" s="18">
        <f t="shared" si="1"/>
        <v>0</v>
      </c>
      <c r="G560" s="16" t="s">
        <v>859</v>
      </c>
      <c r="H560" s="16">
        <v>729</v>
      </c>
      <c r="I560" s="19">
        <v>4.18052145381676e-5</v>
      </c>
    </row>
    <row r="561" ht="22.5" customHeight="1" spans="1:9">
      <c r="A561" s="16" t="s">
        <v>94</v>
      </c>
      <c r="B561" s="16">
        <v>0</v>
      </c>
      <c r="C561" s="17">
        <v>0.00533300546896961</v>
      </c>
      <c r="D561" s="17">
        <f t="shared" si="0"/>
        <v>0</v>
      </c>
      <c r="E561" s="18">
        <f t="shared" si="1"/>
        <v>0</v>
      </c>
      <c r="G561" s="16" t="s">
        <v>860</v>
      </c>
      <c r="H561" s="16">
        <v>720</v>
      </c>
      <c r="I561" s="19">
        <v>4.12891007784372e-5</v>
      </c>
    </row>
    <row r="562" ht="22.5" customHeight="1" spans="1:9">
      <c r="A562" s="16" t="s">
        <v>95</v>
      </c>
      <c r="B562" s="16">
        <v>0</v>
      </c>
      <c r="C562" s="17">
        <v>0.0048271804535943</v>
      </c>
      <c r="D562" s="17">
        <f t="shared" si="0"/>
        <v>0</v>
      </c>
      <c r="E562" s="18">
        <f t="shared" si="1"/>
        <v>0</v>
      </c>
      <c r="G562" s="16" t="s">
        <v>863</v>
      </c>
      <c r="H562" s="16">
        <v>718</v>
      </c>
      <c r="I562" s="19">
        <v>4.11744088318304e-5</v>
      </c>
    </row>
    <row r="563" ht="22.5" customHeight="1" spans="1:9">
      <c r="A563" s="16" t="s">
        <v>101</v>
      </c>
      <c r="B563" s="16">
        <v>0</v>
      </c>
      <c r="C563" s="17">
        <v>0.00441411402745633</v>
      </c>
      <c r="D563" s="17">
        <f t="shared" si="0"/>
        <v>0</v>
      </c>
      <c r="E563" s="18">
        <f t="shared" si="1"/>
        <v>0</v>
      </c>
      <c r="G563" s="16" t="s">
        <v>837</v>
      </c>
      <c r="H563" s="16">
        <v>718</v>
      </c>
      <c r="I563" s="19">
        <v>4.11744088318304e-5</v>
      </c>
    </row>
    <row r="564" ht="22.5" customHeight="1" spans="1:9">
      <c r="A564" s="16" t="s">
        <v>104</v>
      </c>
      <c r="B564" s="16">
        <v>0</v>
      </c>
      <c r="C564" s="17">
        <v>0.00347911384876669</v>
      </c>
      <c r="D564" s="17">
        <f t="shared" si="0"/>
        <v>0</v>
      </c>
      <c r="E564" s="18">
        <f t="shared" si="1"/>
        <v>0</v>
      </c>
      <c r="G564" s="16" t="s">
        <v>865</v>
      </c>
      <c r="H564" s="16">
        <v>705</v>
      </c>
      <c r="I564" s="19">
        <v>4.04289111788864e-5</v>
      </c>
    </row>
    <row r="565" ht="22.5" customHeight="1" spans="1:9">
      <c r="A565" s="16" t="s">
        <v>105</v>
      </c>
      <c r="B565" s="16">
        <v>0</v>
      </c>
      <c r="C565" s="17">
        <v>0.00334619009696713</v>
      </c>
      <c r="D565" s="17">
        <f t="shared" si="0"/>
        <v>0</v>
      </c>
      <c r="E565" s="18">
        <f t="shared" si="1"/>
        <v>0</v>
      </c>
      <c r="G565" s="16" t="s">
        <v>866</v>
      </c>
      <c r="H565" s="16">
        <v>698</v>
      </c>
      <c r="I565" s="19">
        <v>4.00274893657627e-5</v>
      </c>
    </row>
    <row r="566" ht="22.5" customHeight="1" spans="1:9">
      <c r="A566" s="16" t="s">
        <v>110</v>
      </c>
      <c r="B566" s="16">
        <v>0</v>
      </c>
      <c r="C566" s="17">
        <v>0.00311800076703192</v>
      </c>
      <c r="D566" s="17">
        <f t="shared" si="0"/>
        <v>0</v>
      </c>
      <c r="E566" s="18">
        <f t="shared" si="1"/>
        <v>0</v>
      </c>
      <c r="G566" s="16" t="s">
        <v>867</v>
      </c>
      <c r="H566" s="16">
        <v>693</v>
      </c>
      <c r="I566" s="19">
        <v>3.97407594992458e-5</v>
      </c>
    </row>
    <row r="567" ht="22.5" customHeight="1" spans="1:9">
      <c r="A567" s="16" t="s">
        <v>112</v>
      </c>
      <c r="B567" s="16">
        <v>0</v>
      </c>
      <c r="C567" s="17">
        <v>0.00302182840567774</v>
      </c>
      <c r="D567" s="17">
        <f t="shared" si="0"/>
        <v>0</v>
      </c>
      <c r="E567" s="18">
        <f t="shared" si="1"/>
        <v>0</v>
      </c>
      <c r="G567" s="16" t="s">
        <v>755</v>
      </c>
      <c r="H567" s="16">
        <v>693</v>
      </c>
      <c r="I567" s="19">
        <v>3.97407594992458e-5</v>
      </c>
    </row>
    <row r="568" ht="22.5" customHeight="1" spans="1:9">
      <c r="A568" s="16" t="s">
        <v>114</v>
      </c>
      <c r="B568" s="16">
        <v>0</v>
      </c>
      <c r="C568" s="17">
        <v>0.002795025920665</v>
      </c>
      <c r="D568" s="17">
        <f t="shared" si="0"/>
        <v>0</v>
      </c>
      <c r="E568" s="18">
        <f t="shared" si="1"/>
        <v>0</v>
      </c>
      <c r="G568" s="16" t="s">
        <v>816</v>
      </c>
      <c r="H568" s="16">
        <v>692</v>
      </c>
      <c r="I568" s="19">
        <v>3.96834135259424e-5</v>
      </c>
    </row>
    <row r="569" ht="22.5" customHeight="1" spans="1:9">
      <c r="A569" s="16" t="s">
        <v>134</v>
      </c>
      <c r="B569" s="16">
        <v>0</v>
      </c>
      <c r="C569" s="19">
        <v>0.00209088208137686</v>
      </c>
      <c r="D569" s="17">
        <f t="shared" si="0"/>
        <v>0</v>
      </c>
      <c r="E569" s="18">
        <f t="shared" si="1"/>
        <v>0</v>
      </c>
      <c r="G569" s="16" t="s">
        <v>876</v>
      </c>
      <c r="H569" s="16">
        <v>676</v>
      </c>
      <c r="I569" s="19">
        <v>3.87658779530882e-5</v>
      </c>
    </row>
    <row r="570" ht="22.5" customHeight="1" spans="1:9">
      <c r="A570" s="16" t="s">
        <v>137</v>
      </c>
      <c r="B570" s="16">
        <v>0</v>
      </c>
      <c r="C570" s="19">
        <v>0.00206495874936459</v>
      </c>
      <c r="D570" s="17">
        <f t="shared" si="0"/>
        <v>0</v>
      </c>
      <c r="E570" s="18">
        <f t="shared" si="1"/>
        <v>0</v>
      </c>
      <c r="G570" s="16" t="s">
        <v>878</v>
      </c>
      <c r="H570" s="16">
        <v>659</v>
      </c>
      <c r="I570" s="19">
        <v>3.77909964069307e-5</v>
      </c>
    </row>
    <row r="571" ht="22.5" customHeight="1" spans="1:9">
      <c r="A571" s="16" t="s">
        <v>145</v>
      </c>
      <c r="B571" s="16">
        <v>0</v>
      </c>
      <c r="C571" s="19">
        <v>0.00199289615358561</v>
      </c>
      <c r="D571" s="17">
        <f t="shared" si="0"/>
        <v>0</v>
      </c>
      <c r="E571" s="18">
        <f t="shared" si="1"/>
        <v>0</v>
      </c>
      <c r="G571" s="16" t="s">
        <v>834</v>
      </c>
      <c r="H571" s="16">
        <v>657</v>
      </c>
      <c r="I571" s="19">
        <v>3.76763044603239e-5</v>
      </c>
    </row>
    <row r="572" ht="22.5" customHeight="1" spans="1:9">
      <c r="A572" s="16" t="s">
        <v>146</v>
      </c>
      <c r="B572" s="16">
        <v>0</v>
      </c>
      <c r="C572" s="19">
        <v>0.00193928926331331</v>
      </c>
      <c r="D572" s="17">
        <f t="shared" si="0"/>
        <v>0</v>
      </c>
      <c r="E572" s="18">
        <f t="shared" si="1"/>
        <v>0</v>
      </c>
      <c r="G572" s="16" t="s">
        <v>874</v>
      </c>
      <c r="H572" s="16">
        <v>655</v>
      </c>
      <c r="I572" s="19">
        <v>3.75616125137172e-5</v>
      </c>
    </row>
    <row r="573" ht="22.5" customHeight="1" spans="1:9">
      <c r="A573" s="16" t="s">
        <v>150</v>
      </c>
      <c r="B573" s="16">
        <v>0</v>
      </c>
      <c r="C573" s="19">
        <v>0.00190883201520835</v>
      </c>
      <c r="D573" s="17">
        <f t="shared" si="0"/>
        <v>0</v>
      </c>
      <c r="E573" s="18">
        <f t="shared" si="1"/>
        <v>0</v>
      </c>
      <c r="G573" s="16" t="s">
        <v>877</v>
      </c>
      <c r="H573" s="16">
        <v>651</v>
      </c>
      <c r="I573" s="19">
        <v>3.73322286205036e-5</v>
      </c>
    </row>
    <row r="574" ht="22.5" customHeight="1" spans="1:9">
      <c r="A574" s="16" t="s">
        <v>154</v>
      </c>
      <c r="B574" s="16">
        <v>0</v>
      </c>
      <c r="C574" s="19">
        <v>0.00186957363586466</v>
      </c>
      <c r="D574" s="17">
        <f t="shared" si="0"/>
        <v>0</v>
      </c>
      <c r="E574" s="18">
        <f t="shared" si="1"/>
        <v>0</v>
      </c>
      <c r="G574" s="16" t="s">
        <v>884</v>
      </c>
      <c r="H574" s="16">
        <v>639</v>
      </c>
      <c r="I574" s="19">
        <v>3.6644076940863e-5</v>
      </c>
    </row>
    <row r="575" ht="22.5" customHeight="1" spans="1:9">
      <c r="A575" s="16" t="s">
        <v>156</v>
      </c>
      <c r="B575" s="16">
        <v>0</v>
      </c>
      <c r="C575" s="19">
        <v>0.00186530642071861</v>
      </c>
      <c r="D575" s="17">
        <f t="shared" si="0"/>
        <v>0</v>
      </c>
      <c r="E575" s="18">
        <f t="shared" si="1"/>
        <v>0</v>
      </c>
      <c r="G575" s="16" t="s">
        <v>887</v>
      </c>
      <c r="H575" s="16">
        <v>634</v>
      </c>
      <c r="I575" s="19">
        <v>3.63573470743461e-5</v>
      </c>
    </row>
    <row r="576" ht="22.5" customHeight="1" spans="1:9">
      <c r="A576" s="16" t="s">
        <v>157</v>
      </c>
      <c r="B576" s="16">
        <v>0</v>
      </c>
      <c r="C576" s="19">
        <v>0.00186290611219895</v>
      </c>
      <c r="D576" s="17">
        <f t="shared" si="0"/>
        <v>0</v>
      </c>
      <c r="E576" s="18">
        <f t="shared" si="1"/>
        <v>0</v>
      </c>
      <c r="G576" s="16" t="s">
        <v>819</v>
      </c>
      <c r="H576" s="16">
        <v>628</v>
      </c>
      <c r="I576" s="19">
        <v>3.60132712345258e-5</v>
      </c>
    </row>
    <row r="577" ht="22.5" customHeight="1" spans="1:9">
      <c r="A577" s="16" t="s">
        <v>165</v>
      </c>
      <c r="B577" s="16">
        <v>0</v>
      </c>
      <c r="C577" s="19">
        <v>0.00171147331470338</v>
      </c>
      <c r="D577" s="17">
        <f t="shared" si="0"/>
        <v>0</v>
      </c>
      <c r="E577" s="18">
        <f t="shared" si="1"/>
        <v>0</v>
      </c>
      <c r="G577" s="16" t="s">
        <v>248</v>
      </c>
      <c r="H577" s="16">
        <v>627</v>
      </c>
      <c r="I577" s="19">
        <v>3.59559252612224e-5</v>
      </c>
    </row>
    <row r="578" ht="22.5" customHeight="1" spans="1:9">
      <c r="A578" s="16" t="s">
        <v>176</v>
      </c>
      <c r="B578" s="16">
        <v>0</v>
      </c>
      <c r="C578" s="19">
        <v>0.00161812798338346</v>
      </c>
      <c r="D578" s="17">
        <f t="shared" si="0"/>
        <v>0</v>
      </c>
      <c r="E578" s="18">
        <f t="shared" si="1"/>
        <v>0</v>
      </c>
      <c r="G578" s="16" t="s">
        <v>894</v>
      </c>
      <c r="H578" s="16">
        <v>622</v>
      </c>
      <c r="I578" s="19">
        <v>3.56691953947055e-5</v>
      </c>
    </row>
    <row r="579" ht="22.5" customHeight="1" spans="1:9">
      <c r="A579" s="16" t="s">
        <v>178</v>
      </c>
      <c r="B579" s="16">
        <v>0</v>
      </c>
      <c r="C579" s="19">
        <v>0.00161172716066438</v>
      </c>
      <c r="D579" s="17">
        <f t="shared" si="0"/>
        <v>0</v>
      </c>
      <c r="E579" s="18">
        <f t="shared" si="1"/>
        <v>0</v>
      </c>
      <c r="G579" s="16" t="s">
        <v>900</v>
      </c>
      <c r="H579" s="16">
        <v>614</v>
      </c>
      <c r="I579" s="19">
        <v>3.52104276082784e-5</v>
      </c>
    </row>
    <row r="580" ht="22.5" customHeight="1" spans="1:9">
      <c r="A580" s="16" t="s">
        <v>180</v>
      </c>
      <c r="B580" s="16">
        <v>0</v>
      </c>
      <c r="C580" s="19">
        <v>0.00159497834121612</v>
      </c>
      <c r="D580" s="17">
        <f t="shared" si="0"/>
        <v>0</v>
      </c>
      <c r="E580" s="18">
        <f t="shared" si="1"/>
        <v>0</v>
      </c>
      <c r="G580" s="16" t="s">
        <v>881</v>
      </c>
      <c r="H580" s="16">
        <v>614</v>
      </c>
      <c r="I580" s="19">
        <v>3.52104276082784e-5</v>
      </c>
    </row>
    <row r="581" ht="22.5" customHeight="1" spans="1:9">
      <c r="A581" s="16" t="s">
        <v>193</v>
      </c>
      <c r="B581" s="16">
        <v>0</v>
      </c>
      <c r="C581" s="19">
        <v>0.00150968737848438</v>
      </c>
      <c r="D581" s="17">
        <f t="shared" si="0"/>
        <v>0</v>
      </c>
      <c r="E581" s="18">
        <f t="shared" si="1"/>
        <v>0</v>
      </c>
      <c r="G581" s="16" t="s">
        <v>883</v>
      </c>
      <c r="H581" s="16">
        <v>613</v>
      </c>
      <c r="I581" s="19">
        <v>3.5153081634975e-5</v>
      </c>
    </row>
    <row r="582" ht="22.5" customHeight="1" spans="1:9">
      <c r="A582" s="16" t="s">
        <v>194</v>
      </c>
      <c r="B582" s="16">
        <v>0</v>
      </c>
      <c r="C582" s="19">
        <v>0.00148840464294344</v>
      </c>
      <c r="D582" s="17">
        <f t="shared" si="0"/>
        <v>0</v>
      </c>
      <c r="E582" s="18">
        <f t="shared" si="1"/>
        <v>0</v>
      </c>
      <c r="G582" s="16" t="s">
        <v>902</v>
      </c>
      <c r="H582" s="16">
        <v>606</v>
      </c>
      <c r="I582" s="19">
        <v>3.47516598218513e-5</v>
      </c>
    </row>
    <row r="583" ht="22.5" customHeight="1" spans="1:9">
      <c r="A583" s="16" t="s">
        <v>195</v>
      </c>
      <c r="B583" s="16">
        <v>0</v>
      </c>
      <c r="C583" s="19">
        <v>0.00147186918425248</v>
      </c>
      <c r="D583" s="17">
        <f t="shared" si="0"/>
        <v>0</v>
      </c>
      <c r="E583" s="18">
        <f t="shared" si="1"/>
        <v>0</v>
      </c>
      <c r="G583" s="16" t="s">
        <v>903</v>
      </c>
      <c r="H583" s="16">
        <v>606</v>
      </c>
      <c r="I583" s="19">
        <v>3.47516598218513e-5</v>
      </c>
    </row>
    <row r="584" ht="22.5" customHeight="1" spans="1:9">
      <c r="A584" s="16" t="s">
        <v>1461</v>
      </c>
      <c r="B584" s="16">
        <v>0</v>
      </c>
      <c r="C584" s="19">
        <v>0.00141420843959144</v>
      </c>
      <c r="D584" s="17">
        <f t="shared" si="0"/>
        <v>0</v>
      </c>
      <c r="E584" s="18">
        <f t="shared" si="1"/>
        <v>0</v>
      </c>
      <c r="G584" s="16" t="s">
        <v>904</v>
      </c>
      <c r="H584" s="16">
        <v>606</v>
      </c>
      <c r="I584" s="19">
        <v>3.47516598218513e-5</v>
      </c>
    </row>
    <row r="585" ht="22.5" customHeight="1" spans="1:9">
      <c r="A585" s="16" t="s">
        <v>199</v>
      </c>
      <c r="B585" s="16">
        <v>0</v>
      </c>
      <c r="C585" s="19">
        <v>0.00138071080069492</v>
      </c>
      <c r="D585" s="17">
        <f t="shared" si="0"/>
        <v>0</v>
      </c>
      <c r="E585" s="18">
        <f t="shared" si="1"/>
        <v>0</v>
      </c>
      <c r="G585" s="16" t="s">
        <v>908</v>
      </c>
      <c r="H585" s="16">
        <v>603</v>
      </c>
      <c r="I585" s="19">
        <v>3.45796219019411e-5</v>
      </c>
    </row>
    <row r="586" ht="22.5" customHeight="1" spans="1:9">
      <c r="A586" s="16" t="s">
        <v>201</v>
      </c>
      <c r="B586" s="16">
        <v>0</v>
      </c>
      <c r="C586" s="19">
        <v>0.00133206454802991</v>
      </c>
      <c r="D586" s="17">
        <f t="shared" si="0"/>
        <v>0</v>
      </c>
      <c r="E586" s="18">
        <f t="shared" si="1"/>
        <v>0</v>
      </c>
      <c r="G586" s="16" t="s">
        <v>910</v>
      </c>
      <c r="H586" s="16">
        <v>599</v>
      </c>
      <c r="I586" s="19">
        <v>3.43502380087276e-5</v>
      </c>
    </row>
    <row r="587" ht="22.5" customHeight="1" spans="1:9">
      <c r="A587" s="16" t="s">
        <v>209</v>
      </c>
      <c r="B587" s="16">
        <v>0</v>
      </c>
      <c r="C587" s="19">
        <v>0.00125477461369701</v>
      </c>
      <c r="D587" s="17">
        <f t="shared" si="0"/>
        <v>0</v>
      </c>
      <c r="E587" s="18">
        <f t="shared" si="1"/>
        <v>0</v>
      </c>
      <c r="G587" s="16" t="s">
        <v>905</v>
      </c>
      <c r="H587" s="16">
        <v>596</v>
      </c>
      <c r="I587" s="19">
        <v>3.41782000888174e-5</v>
      </c>
    </row>
    <row r="588" ht="22.5" customHeight="1" spans="1:9">
      <c r="A588" s="16" t="s">
        <v>213</v>
      </c>
      <c r="B588" s="16">
        <v>0</v>
      </c>
      <c r="C588" s="19">
        <v>0.00124277307109874</v>
      </c>
      <c r="D588" s="17">
        <f t="shared" si="0"/>
        <v>0</v>
      </c>
      <c r="E588" s="18">
        <f t="shared" si="1"/>
        <v>0</v>
      </c>
      <c r="G588" s="16" t="s">
        <v>888</v>
      </c>
      <c r="H588" s="16">
        <v>586</v>
      </c>
      <c r="I588" s="19">
        <v>3.36047403557836e-5</v>
      </c>
    </row>
    <row r="589" ht="22.5" customHeight="1" spans="1:9">
      <c r="A589" s="16" t="s">
        <v>216</v>
      </c>
      <c r="B589" s="16">
        <v>0</v>
      </c>
      <c r="C589" s="19">
        <v>0.00119482024089496</v>
      </c>
      <c r="D589" s="17">
        <f t="shared" si="0"/>
        <v>0</v>
      </c>
      <c r="E589" s="18">
        <f t="shared" si="1"/>
        <v>0</v>
      </c>
      <c r="G589" s="16" t="s">
        <v>911</v>
      </c>
      <c r="H589" s="16">
        <v>585</v>
      </c>
      <c r="I589" s="19">
        <v>3.35473943824802e-5</v>
      </c>
    </row>
    <row r="590" ht="22.5" customHeight="1" spans="1:9">
      <c r="A590" s="16" t="s">
        <v>217</v>
      </c>
      <c r="B590" s="16">
        <v>0</v>
      </c>
      <c r="C590" s="19">
        <v>0.00118639249098151</v>
      </c>
      <c r="D590" s="17">
        <f t="shared" si="0"/>
        <v>0</v>
      </c>
      <c r="E590" s="18">
        <f t="shared" si="1"/>
        <v>0</v>
      </c>
      <c r="G590" s="16" t="s">
        <v>914</v>
      </c>
      <c r="H590" s="16">
        <v>578</v>
      </c>
      <c r="I590" s="19">
        <v>3.31459725693565e-5</v>
      </c>
    </row>
    <row r="591" ht="22.5" customHeight="1" spans="1:9">
      <c r="A591" s="16" t="s">
        <v>219</v>
      </c>
      <c r="B591" s="16">
        <v>0</v>
      </c>
      <c r="C591" s="19">
        <v>0.00116441633297933</v>
      </c>
      <c r="D591" s="17">
        <f t="shared" si="0"/>
        <v>0</v>
      </c>
      <c r="E591" s="18">
        <f t="shared" si="1"/>
        <v>0</v>
      </c>
      <c r="G591" s="16" t="s">
        <v>864</v>
      </c>
      <c r="H591" s="16">
        <v>573</v>
      </c>
      <c r="I591" s="19">
        <v>3.28592427028396e-5</v>
      </c>
    </row>
    <row r="592" ht="22.5" customHeight="1" spans="1:9">
      <c r="A592" s="16" t="s">
        <v>222</v>
      </c>
      <c r="B592" s="16">
        <v>0</v>
      </c>
      <c r="C592" s="19">
        <v>0.00113097203427214</v>
      </c>
      <c r="D592" s="17">
        <f t="shared" si="0"/>
        <v>0</v>
      </c>
      <c r="E592" s="18">
        <f t="shared" si="1"/>
        <v>0</v>
      </c>
      <c r="G592" s="16" t="s">
        <v>913</v>
      </c>
      <c r="H592" s="16">
        <v>570</v>
      </c>
      <c r="I592" s="19">
        <v>3.26872047829294e-5</v>
      </c>
    </row>
    <row r="593" ht="22.5" customHeight="1" spans="1:9">
      <c r="A593" s="16" t="s">
        <v>232</v>
      </c>
      <c r="B593" s="16">
        <v>0</v>
      </c>
      <c r="C593" s="19">
        <v>0.00104669453513758</v>
      </c>
      <c r="D593" s="17">
        <f t="shared" si="0"/>
        <v>0</v>
      </c>
      <c r="E593" s="18">
        <f t="shared" si="1"/>
        <v>0</v>
      </c>
      <c r="G593" s="16" t="s">
        <v>916</v>
      </c>
      <c r="H593" s="16">
        <v>569</v>
      </c>
      <c r="I593" s="19">
        <v>3.26298588096261e-5</v>
      </c>
    </row>
    <row r="594" ht="22.5" customHeight="1" spans="1:9">
      <c r="A594" s="16" t="s">
        <v>233</v>
      </c>
      <c r="B594" s="16">
        <v>0</v>
      </c>
      <c r="C594" s="19">
        <v>0.00103832012541345</v>
      </c>
      <c r="D594" s="17">
        <f t="shared" si="0"/>
        <v>0</v>
      </c>
      <c r="E594" s="18">
        <f t="shared" si="1"/>
        <v>0</v>
      </c>
      <c r="G594" s="16" t="s">
        <v>879</v>
      </c>
      <c r="H594" s="16">
        <v>566</v>
      </c>
      <c r="I594" s="19">
        <v>3.24578208897159e-5</v>
      </c>
    </row>
    <row r="595" ht="22.5" customHeight="1" spans="1:9">
      <c r="A595" s="16" t="s">
        <v>235</v>
      </c>
      <c r="B595" s="16">
        <v>0</v>
      </c>
      <c r="C595" s="19">
        <v>0.00099575465433157</v>
      </c>
      <c r="D595" s="17">
        <f t="shared" si="0"/>
        <v>0</v>
      </c>
      <c r="E595" s="18">
        <f t="shared" si="1"/>
        <v>0</v>
      </c>
      <c r="G595" s="16" t="s">
        <v>919</v>
      </c>
      <c r="H595" s="16">
        <v>561</v>
      </c>
      <c r="I595" s="19">
        <v>3.2171091023199e-5</v>
      </c>
    </row>
    <row r="596" ht="22.5" customHeight="1" spans="1:9">
      <c r="A596" s="16" t="s">
        <v>237</v>
      </c>
      <c r="B596" s="16">
        <v>0</v>
      </c>
      <c r="C596" s="19">
        <v>0.000990153934452375</v>
      </c>
      <c r="D596" s="17">
        <f t="shared" si="0"/>
        <v>0</v>
      </c>
      <c r="E596" s="18">
        <f t="shared" si="1"/>
        <v>0</v>
      </c>
      <c r="G596" s="16" t="s">
        <v>898</v>
      </c>
      <c r="H596" s="16">
        <v>558</v>
      </c>
      <c r="I596" s="19">
        <v>3.19990531032888e-5</v>
      </c>
    </row>
    <row r="597" ht="22.5" customHeight="1" spans="1:9">
      <c r="A597" s="16" t="s">
        <v>239</v>
      </c>
      <c r="B597" s="16">
        <v>0</v>
      </c>
      <c r="C597" s="19">
        <v>0.000988287027825977</v>
      </c>
      <c r="D597" s="17">
        <f t="shared" si="0"/>
        <v>0</v>
      </c>
      <c r="E597" s="18">
        <f t="shared" si="1"/>
        <v>0</v>
      </c>
      <c r="G597" s="16" t="s">
        <v>922</v>
      </c>
      <c r="H597" s="16">
        <v>553</v>
      </c>
      <c r="I597" s="19">
        <v>3.17123232367719e-5</v>
      </c>
    </row>
    <row r="598" ht="22.5" customHeight="1" spans="1:9">
      <c r="A598" s="16" t="s">
        <v>242</v>
      </c>
      <c r="B598" s="16">
        <v>0</v>
      </c>
      <c r="C598" s="19">
        <v>0.000939640775160967</v>
      </c>
      <c r="D598" s="17">
        <f t="shared" si="0"/>
        <v>0</v>
      </c>
      <c r="E598" s="18">
        <f t="shared" si="1"/>
        <v>0</v>
      </c>
      <c r="G598" s="16" t="s">
        <v>921</v>
      </c>
      <c r="H598" s="16">
        <v>551</v>
      </c>
      <c r="I598" s="19">
        <v>3.15976312901651e-5</v>
      </c>
    </row>
    <row r="599" ht="22.5" customHeight="1" spans="1:9">
      <c r="A599" s="16" t="s">
        <v>247</v>
      </c>
      <c r="B599" s="16">
        <v>0</v>
      </c>
      <c r="C599" s="19">
        <v>0.000882993494097108</v>
      </c>
      <c r="D599" s="17">
        <f t="shared" si="0"/>
        <v>0</v>
      </c>
      <c r="E599" s="18">
        <f t="shared" si="1"/>
        <v>0</v>
      </c>
      <c r="G599" s="16" t="s">
        <v>923</v>
      </c>
      <c r="H599" s="16">
        <v>551</v>
      </c>
      <c r="I599" s="19">
        <v>3.15976312901651e-5</v>
      </c>
    </row>
    <row r="600" ht="22.5" customHeight="1" spans="1:9">
      <c r="A600" s="16" t="s">
        <v>253</v>
      </c>
      <c r="B600" s="16">
        <v>0</v>
      </c>
      <c r="C600" s="19">
        <v>0.000838774477146129</v>
      </c>
      <c r="D600" s="17">
        <f t="shared" si="0"/>
        <v>0</v>
      </c>
      <c r="E600" s="18">
        <f t="shared" si="1"/>
        <v>0</v>
      </c>
      <c r="G600" s="16" t="s">
        <v>920</v>
      </c>
      <c r="H600" s="16">
        <v>549</v>
      </c>
      <c r="I600" s="19">
        <v>3.14829393435583e-5</v>
      </c>
    </row>
    <row r="601" ht="22.5" customHeight="1" spans="1:9">
      <c r="A601" s="16" t="s">
        <v>266</v>
      </c>
      <c r="B601" s="16">
        <v>0</v>
      </c>
      <c r="C601" s="19">
        <v>0.00081327786664846</v>
      </c>
      <c r="D601" s="17">
        <f t="shared" si="0"/>
        <v>0</v>
      </c>
      <c r="E601" s="18">
        <f t="shared" si="1"/>
        <v>0</v>
      </c>
      <c r="G601" s="16" t="s">
        <v>930</v>
      </c>
      <c r="H601" s="16">
        <v>546</v>
      </c>
      <c r="I601" s="19">
        <v>3.13109014236482e-5</v>
      </c>
    </row>
    <row r="602" ht="22.5" customHeight="1" spans="1:9">
      <c r="A602" s="16" t="s">
        <v>267</v>
      </c>
      <c r="B602" s="16">
        <v>0</v>
      </c>
      <c r="C602" s="19">
        <v>0.00079370201716594</v>
      </c>
      <c r="D602" s="17">
        <f t="shared" si="0"/>
        <v>0</v>
      </c>
      <c r="E602" s="18">
        <f t="shared" si="1"/>
        <v>0</v>
      </c>
      <c r="G602" s="16" t="s">
        <v>931</v>
      </c>
      <c r="H602" s="16">
        <v>544</v>
      </c>
      <c r="I602" s="19">
        <v>3.11962094770414e-5</v>
      </c>
    </row>
    <row r="603" ht="22.5" customHeight="1" spans="1:9">
      <c r="A603" s="16" t="s">
        <v>271</v>
      </c>
      <c r="B603" s="16">
        <v>0</v>
      </c>
      <c r="C603" s="19">
        <v>0.00079135504883561</v>
      </c>
      <c r="D603" s="17">
        <f t="shared" si="0"/>
        <v>0</v>
      </c>
      <c r="E603" s="18">
        <f t="shared" si="1"/>
        <v>0</v>
      </c>
      <c r="G603" s="16" t="s">
        <v>933</v>
      </c>
      <c r="H603" s="16">
        <v>543</v>
      </c>
      <c r="I603" s="19">
        <v>3.1138863503738e-5</v>
      </c>
    </row>
    <row r="604" ht="22.5" customHeight="1" spans="1:9">
      <c r="A604" s="16" t="s">
        <v>272</v>
      </c>
      <c r="B604" s="16">
        <v>0</v>
      </c>
      <c r="C604" s="19">
        <v>0.000777859980936216</v>
      </c>
      <c r="D604" s="17">
        <f t="shared" si="0"/>
        <v>0</v>
      </c>
      <c r="E604" s="18">
        <f t="shared" si="1"/>
        <v>0</v>
      </c>
      <c r="G604" s="16" t="s">
        <v>809</v>
      </c>
      <c r="H604" s="16">
        <v>541</v>
      </c>
      <c r="I604" s="19">
        <v>3.10241715571313e-5</v>
      </c>
    </row>
    <row r="605" ht="22.5" customHeight="1" spans="1:9">
      <c r="A605" s="16" t="s">
        <v>274</v>
      </c>
      <c r="B605" s="16">
        <v>0</v>
      </c>
      <c r="C605" s="19">
        <v>0.000754763678958202</v>
      </c>
      <c r="D605" s="17">
        <f t="shared" si="0"/>
        <v>0</v>
      </c>
      <c r="E605" s="18">
        <f t="shared" si="1"/>
        <v>0</v>
      </c>
      <c r="G605" s="16" t="s">
        <v>565</v>
      </c>
      <c r="H605" s="16">
        <v>538</v>
      </c>
      <c r="I605" s="19">
        <v>3.08521336372211e-5</v>
      </c>
    </row>
    <row r="606" ht="22.5" customHeight="1" spans="1:9">
      <c r="A606" s="16" t="s">
        <v>285</v>
      </c>
      <c r="B606" s="16">
        <v>0</v>
      </c>
      <c r="C606" s="19">
        <v>0.000665578882405685</v>
      </c>
      <c r="D606" s="17">
        <f t="shared" si="0"/>
        <v>0</v>
      </c>
      <c r="E606" s="18">
        <f t="shared" si="1"/>
        <v>0</v>
      </c>
      <c r="G606" s="16" t="s">
        <v>926</v>
      </c>
      <c r="H606" s="16">
        <v>538</v>
      </c>
      <c r="I606" s="19">
        <v>3.08521336372211e-5</v>
      </c>
    </row>
    <row r="607" ht="22.5" customHeight="1" spans="1:9">
      <c r="A607" s="16" t="s">
        <v>291</v>
      </c>
      <c r="B607" s="16">
        <v>0</v>
      </c>
      <c r="C607" s="19">
        <v>0.000600397171049719</v>
      </c>
      <c r="D607" s="17">
        <f t="shared" si="0"/>
        <v>0</v>
      </c>
      <c r="E607" s="18">
        <f t="shared" si="1"/>
        <v>0</v>
      </c>
      <c r="G607" s="16" t="s">
        <v>932</v>
      </c>
      <c r="H607" s="16">
        <v>537</v>
      </c>
      <c r="I607" s="19">
        <v>3.07947876639177e-5</v>
      </c>
    </row>
    <row r="608" ht="22.5" customHeight="1" spans="1:9">
      <c r="A608" s="16" t="s">
        <v>292</v>
      </c>
      <c r="B608" s="16">
        <v>0</v>
      </c>
      <c r="C608" s="19">
        <v>0.000591542699621658</v>
      </c>
      <c r="D608" s="17">
        <f t="shared" si="0"/>
        <v>0</v>
      </c>
      <c r="E608" s="18">
        <f t="shared" si="1"/>
        <v>0</v>
      </c>
      <c r="G608" s="16" t="s">
        <v>934</v>
      </c>
      <c r="H608" s="16">
        <v>531</v>
      </c>
      <c r="I608" s="19">
        <v>3.04507118240974e-5</v>
      </c>
    </row>
    <row r="609" ht="22.5" customHeight="1" spans="1:9">
      <c r="A609" s="16" t="s">
        <v>293</v>
      </c>
      <c r="B609" s="16">
        <v>0</v>
      </c>
      <c r="C609" s="19">
        <v>0.000566952872342525</v>
      </c>
      <c r="D609" s="17">
        <f t="shared" si="0"/>
        <v>0</v>
      </c>
      <c r="E609" s="18">
        <f t="shared" si="1"/>
        <v>0</v>
      </c>
      <c r="G609" s="16" t="s">
        <v>912</v>
      </c>
      <c r="H609" s="16">
        <v>527</v>
      </c>
      <c r="I609" s="19">
        <v>3.02213279308839e-5</v>
      </c>
    </row>
    <row r="610" ht="22.5" customHeight="1" spans="1:9">
      <c r="A610" s="16" t="s">
        <v>296</v>
      </c>
      <c r="B610" s="16">
        <v>0</v>
      </c>
      <c r="C610" s="19">
        <v>0.000549617310811683</v>
      </c>
      <c r="D610" s="17">
        <f t="shared" si="0"/>
        <v>0</v>
      </c>
      <c r="E610" s="18">
        <f t="shared" si="1"/>
        <v>0</v>
      </c>
      <c r="G610" s="16" t="s">
        <v>915</v>
      </c>
      <c r="H610" s="16">
        <v>527</v>
      </c>
      <c r="I610" s="19">
        <v>3.02213279308839e-5</v>
      </c>
    </row>
    <row r="611" ht="22.5" customHeight="1" spans="1:9">
      <c r="A611" s="16" t="s">
        <v>301</v>
      </c>
      <c r="B611" s="16">
        <v>0</v>
      </c>
      <c r="C611" s="19">
        <v>0.000542896446956649</v>
      </c>
      <c r="D611" s="17">
        <f t="shared" si="0"/>
        <v>0</v>
      </c>
      <c r="E611" s="18">
        <f t="shared" si="1"/>
        <v>0</v>
      </c>
      <c r="G611" s="16" t="s">
        <v>800</v>
      </c>
      <c r="H611" s="16">
        <v>521</v>
      </c>
      <c r="I611" s="19">
        <v>2.98772520910636e-5</v>
      </c>
    </row>
    <row r="612" ht="22.5" customHeight="1" spans="1:9">
      <c r="A612" s="16" t="s">
        <v>314</v>
      </c>
      <c r="B612" s="16">
        <v>0</v>
      </c>
      <c r="C612" s="19">
        <v>0.000517666537405608</v>
      </c>
      <c r="D612" s="17">
        <f t="shared" si="0"/>
        <v>0</v>
      </c>
      <c r="E612" s="18">
        <f t="shared" si="1"/>
        <v>0</v>
      </c>
      <c r="G612" s="16" t="s">
        <v>379</v>
      </c>
      <c r="H612" s="16">
        <v>517</v>
      </c>
      <c r="I612" s="19">
        <v>2.964786819785e-5</v>
      </c>
    </row>
    <row r="613" ht="22.5" customHeight="1" spans="1:9">
      <c r="A613" s="16" t="s">
        <v>326</v>
      </c>
      <c r="B613" s="16">
        <v>0</v>
      </c>
      <c r="C613" s="19">
        <v>0.00049585039997141</v>
      </c>
      <c r="D613" s="17">
        <f t="shared" si="0"/>
        <v>0</v>
      </c>
      <c r="E613" s="18">
        <f t="shared" si="1"/>
        <v>0</v>
      </c>
      <c r="G613" s="16" t="s">
        <v>718</v>
      </c>
      <c r="H613" s="16">
        <v>509</v>
      </c>
      <c r="I613" s="19">
        <v>2.9189100411423e-5</v>
      </c>
    </row>
    <row r="614" ht="22.5" customHeight="1" spans="1:9">
      <c r="A614" s="16" t="s">
        <v>329</v>
      </c>
      <c r="B614" s="16">
        <v>0</v>
      </c>
      <c r="C614" s="19">
        <v>0.000481128507717525</v>
      </c>
      <c r="D614" s="17">
        <f t="shared" si="0"/>
        <v>0</v>
      </c>
      <c r="E614" s="18">
        <f t="shared" si="1"/>
        <v>0</v>
      </c>
      <c r="G614" s="16" t="s">
        <v>917</v>
      </c>
      <c r="H614" s="16">
        <v>507</v>
      </c>
      <c r="I614" s="19">
        <v>2.90744084648162e-5</v>
      </c>
    </row>
    <row r="615" ht="22.5" customHeight="1" spans="1:9">
      <c r="A615" s="16" t="s">
        <v>332</v>
      </c>
      <c r="B615" s="16">
        <v>0</v>
      </c>
      <c r="C615" s="19">
        <v>0.000468913604361947</v>
      </c>
      <c r="D615" s="17">
        <f t="shared" si="0"/>
        <v>0</v>
      </c>
      <c r="E615" s="18">
        <f t="shared" si="1"/>
        <v>0</v>
      </c>
      <c r="G615" s="16" t="s">
        <v>846</v>
      </c>
      <c r="H615" s="16">
        <v>506</v>
      </c>
      <c r="I615" s="19">
        <v>2.90170624915128e-5</v>
      </c>
    </row>
    <row r="616" ht="22.5" customHeight="1" spans="1:9">
      <c r="A616" s="16" t="s">
        <v>333</v>
      </c>
      <c r="B616" s="16">
        <v>0</v>
      </c>
      <c r="C616" s="19">
        <v>0.000468220181900714</v>
      </c>
      <c r="D616" s="17">
        <f t="shared" si="0"/>
        <v>0</v>
      </c>
      <c r="E616" s="18">
        <f t="shared" si="1"/>
        <v>0</v>
      </c>
      <c r="G616" s="16" t="s">
        <v>937</v>
      </c>
      <c r="H616" s="16">
        <v>503</v>
      </c>
      <c r="I616" s="19">
        <v>2.88450245716026e-5</v>
      </c>
    </row>
    <row r="617" ht="22.5" customHeight="1" spans="1:9">
      <c r="A617" s="16" t="s">
        <v>341</v>
      </c>
      <c r="B617" s="16">
        <v>0</v>
      </c>
      <c r="C617" s="19">
        <v>0.000438029634742386</v>
      </c>
      <c r="D617" s="17">
        <f t="shared" si="0"/>
        <v>0</v>
      </c>
      <c r="E617" s="18">
        <f t="shared" si="1"/>
        <v>0</v>
      </c>
      <c r="G617" s="16" t="s">
        <v>939</v>
      </c>
      <c r="H617" s="16">
        <v>501</v>
      </c>
      <c r="I617" s="19">
        <v>2.87303326249959e-5</v>
      </c>
    </row>
    <row r="618" ht="22.5" customHeight="1" spans="1:9">
      <c r="A618" s="16" t="s">
        <v>346</v>
      </c>
      <c r="B618" s="16">
        <v>0</v>
      </c>
      <c r="C618" s="19">
        <v>0.000425921411765459</v>
      </c>
      <c r="D618" s="17">
        <f t="shared" si="0"/>
        <v>0</v>
      </c>
      <c r="E618" s="18">
        <f t="shared" si="1"/>
        <v>0</v>
      </c>
      <c r="G618" s="16" t="s">
        <v>928</v>
      </c>
      <c r="H618" s="16">
        <v>493</v>
      </c>
      <c r="I618" s="19">
        <v>2.82715648385688e-5</v>
      </c>
    </row>
    <row r="619" ht="22.5" customHeight="1" spans="1:9">
      <c r="A619" s="16" t="s">
        <v>352</v>
      </c>
      <c r="B619" s="16">
        <v>0</v>
      </c>
      <c r="C619" s="19">
        <v>0.000413333127084601</v>
      </c>
      <c r="D619" s="17">
        <f t="shared" si="0"/>
        <v>0</v>
      </c>
      <c r="E619" s="18">
        <f t="shared" si="1"/>
        <v>0</v>
      </c>
      <c r="G619" s="16" t="s">
        <v>946</v>
      </c>
      <c r="H619" s="16">
        <v>488</v>
      </c>
      <c r="I619" s="19">
        <v>2.79848349720519e-5</v>
      </c>
    </row>
    <row r="620" ht="22.5" customHeight="1" spans="1:9">
      <c r="A620" s="16" t="s">
        <v>353</v>
      </c>
      <c r="B620" s="16">
        <v>0</v>
      </c>
      <c r="C620" s="19">
        <v>0.000409012571749222</v>
      </c>
      <c r="D620" s="17">
        <f t="shared" si="0"/>
        <v>0</v>
      </c>
      <c r="E620" s="18">
        <f t="shared" si="1"/>
        <v>0</v>
      </c>
      <c r="G620" s="16" t="s">
        <v>936</v>
      </c>
      <c r="H620" s="16">
        <v>487</v>
      </c>
      <c r="I620" s="19">
        <v>2.79274889987485e-5</v>
      </c>
    </row>
    <row r="621" ht="22.5" customHeight="1" spans="1:9">
      <c r="A621" s="16" t="s">
        <v>1453</v>
      </c>
      <c r="B621" s="16">
        <v>0</v>
      </c>
      <c r="C621" s="19">
        <v>0.000401544945243629</v>
      </c>
      <c r="D621" s="17">
        <f t="shared" si="0"/>
        <v>0</v>
      </c>
      <c r="E621" s="18">
        <f t="shared" si="1"/>
        <v>0</v>
      </c>
      <c r="G621" s="16" t="s">
        <v>907</v>
      </c>
      <c r="H621" s="16">
        <v>484</v>
      </c>
      <c r="I621" s="19">
        <v>2.77554510788383e-5</v>
      </c>
    </row>
    <row r="622" ht="22.5" customHeight="1" spans="1:9">
      <c r="A622" s="16" t="s">
        <v>355</v>
      </c>
      <c r="B622" s="16">
        <v>0</v>
      </c>
      <c r="C622" s="19">
        <v>0.000397864472180158</v>
      </c>
      <c r="D622" s="17">
        <f t="shared" si="0"/>
        <v>0</v>
      </c>
      <c r="E622" s="18">
        <f t="shared" si="1"/>
        <v>0</v>
      </c>
      <c r="G622" s="16" t="s">
        <v>942</v>
      </c>
      <c r="H622" s="16">
        <v>483</v>
      </c>
      <c r="I622" s="19">
        <v>2.76981051055349e-5</v>
      </c>
    </row>
    <row r="623" ht="22.5" customHeight="1" spans="1:9">
      <c r="A623" s="16" t="s">
        <v>356</v>
      </c>
      <c r="B623" s="16">
        <v>0</v>
      </c>
      <c r="C623" s="19">
        <v>0.000395837544985782</v>
      </c>
      <c r="D623" s="17">
        <f t="shared" si="0"/>
        <v>0</v>
      </c>
      <c r="E623" s="18">
        <f t="shared" si="1"/>
        <v>0</v>
      </c>
      <c r="G623" s="16" t="s">
        <v>947</v>
      </c>
      <c r="H623" s="16">
        <v>475</v>
      </c>
      <c r="I623" s="19">
        <v>2.72393373191079e-5</v>
      </c>
    </row>
    <row r="624" ht="22.5" customHeight="1" spans="1:9">
      <c r="A624" s="16" t="s">
        <v>359</v>
      </c>
      <c r="B624" s="16">
        <v>0</v>
      </c>
      <c r="C624" s="19">
        <v>0.000390290165295913</v>
      </c>
      <c r="D624" s="17">
        <f t="shared" si="0"/>
        <v>0</v>
      </c>
      <c r="E624" s="18">
        <f t="shared" si="1"/>
        <v>0</v>
      </c>
      <c r="G624" s="16" t="s">
        <v>948</v>
      </c>
      <c r="H624" s="16">
        <v>473</v>
      </c>
      <c r="I624" s="19">
        <v>2.71246453725011e-5</v>
      </c>
    </row>
    <row r="625" ht="22.5" customHeight="1" spans="1:9">
      <c r="A625" s="16" t="s">
        <v>363</v>
      </c>
      <c r="B625" s="16">
        <v>0</v>
      </c>
      <c r="C625" s="19">
        <v>0.000383089239736948</v>
      </c>
      <c r="D625" s="17">
        <f t="shared" si="0"/>
        <v>0</v>
      </c>
      <c r="E625" s="18">
        <f t="shared" si="1"/>
        <v>0</v>
      </c>
      <c r="G625" s="16" t="s">
        <v>955</v>
      </c>
      <c r="H625" s="16">
        <v>464</v>
      </c>
      <c r="I625" s="19">
        <v>2.66085316127706e-5</v>
      </c>
    </row>
    <row r="626" ht="22.5" customHeight="1" spans="1:9">
      <c r="A626" s="16" t="s">
        <v>364</v>
      </c>
      <c r="B626" s="16">
        <v>0</v>
      </c>
      <c r="C626" s="19">
        <v>0.000378768684401568</v>
      </c>
      <c r="D626" s="17">
        <f t="shared" si="0"/>
        <v>0</v>
      </c>
      <c r="E626" s="18">
        <f t="shared" si="1"/>
        <v>0</v>
      </c>
      <c r="G626" s="16" t="s">
        <v>952</v>
      </c>
      <c r="H626" s="16">
        <v>460</v>
      </c>
      <c r="I626" s="19">
        <v>2.63791477195571e-5</v>
      </c>
    </row>
    <row r="627" ht="22.5" customHeight="1" spans="1:9">
      <c r="A627" s="16" t="s">
        <v>377</v>
      </c>
      <c r="B627" s="16">
        <v>0</v>
      </c>
      <c r="C627" s="19">
        <v>0.000347511333456727</v>
      </c>
      <c r="D627" s="17">
        <f t="shared" si="0"/>
        <v>0</v>
      </c>
      <c r="E627" s="18">
        <f t="shared" si="1"/>
        <v>0</v>
      </c>
      <c r="G627" s="16" t="s">
        <v>958</v>
      </c>
      <c r="H627" s="16">
        <v>459</v>
      </c>
      <c r="I627" s="19">
        <v>2.63218017462537e-5</v>
      </c>
    </row>
    <row r="628" ht="22.5" customHeight="1" spans="1:9">
      <c r="A628" s="16" t="s">
        <v>380</v>
      </c>
      <c r="B628" s="16">
        <v>0</v>
      </c>
      <c r="C628" s="19">
        <v>0.000343510819257302</v>
      </c>
      <c r="D628" s="17">
        <f t="shared" si="0"/>
        <v>0</v>
      </c>
      <c r="E628" s="18">
        <f t="shared" si="1"/>
        <v>0</v>
      </c>
      <c r="G628" s="16" t="s">
        <v>897</v>
      </c>
      <c r="H628" s="16">
        <v>459</v>
      </c>
      <c r="I628" s="19">
        <v>2.63218017462537e-5</v>
      </c>
    </row>
    <row r="629" ht="22.5" customHeight="1" spans="1:9">
      <c r="A629" s="16" t="s">
        <v>381</v>
      </c>
      <c r="B629" s="16">
        <v>0</v>
      </c>
      <c r="C629" s="19">
        <v>0.00034217731452416</v>
      </c>
      <c r="D629" s="17">
        <f t="shared" si="0"/>
        <v>0</v>
      </c>
      <c r="E629" s="18">
        <f t="shared" si="1"/>
        <v>0</v>
      </c>
      <c r="G629" s="16" t="s">
        <v>961</v>
      </c>
      <c r="H629" s="16">
        <v>457</v>
      </c>
      <c r="I629" s="19">
        <v>2.62071097996469e-5</v>
      </c>
    </row>
    <row r="630" ht="22.5" customHeight="1" spans="1:9">
      <c r="A630" s="16" t="s">
        <v>383</v>
      </c>
      <c r="B630" s="16">
        <v>0</v>
      </c>
      <c r="C630" s="19">
        <v>0.000337963439567432</v>
      </c>
      <c r="D630" s="17">
        <f t="shared" si="0"/>
        <v>0</v>
      </c>
      <c r="E630" s="18">
        <f t="shared" si="1"/>
        <v>0</v>
      </c>
      <c r="G630" s="16" t="s">
        <v>918</v>
      </c>
      <c r="H630" s="16">
        <v>455</v>
      </c>
      <c r="I630" s="19">
        <v>2.60924178530402e-5</v>
      </c>
    </row>
    <row r="631" ht="22.5" customHeight="1" spans="1:9">
      <c r="A631" s="16" t="s">
        <v>389</v>
      </c>
      <c r="B631" s="16">
        <v>0</v>
      </c>
      <c r="C631" s="19">
        <v>0.000313586973045602</v>
      </c>
      <c r="D631" s="17">
        <f t="shared" si="0"/>
        <v>0</v>
      </c>
      <c r="E631" s="18">
        <f t="shared" si="1"/>
        <v>0</v>
      </c>
      <c r="G631" s="16" t="s">
        <v>953</v>
      </c>
      <c r="H631" s="16">
        <v>455</v>
      </c>
      <c r="I631" s="19">
        <v>2.60924178530402e-5</v>
      </c>
    </row>
    <row r="632" ht="22.5" customHeight="1" spans="1:9">
      <c r="A632" s="16" t="s">
        <v>394</v>
      </c>
      <c r="B632" s="16">
        <v>0</v>
      </c>
      <c r="C632" s="19">
        <v>0.000308786356006292</v>
      </c>
      <c r="D632" s="17">
        <f t="shared" si="0"/>
        <v>0</v>
      </c>
      <c r="E632" s="18">
        <f t="shared" si="1"/>
        <v>0</v>
      </c>
      <c r="G632" s="16" t="s">
        <v>944</v>
      </c>
      <c r="H632" s="16">
        <v>454</v>
      </c>
      <c r="I632" s="19">
        <v>2.60350718797368e-5</v>
      </c>
    </row>
    <row r="633" ht="22.5" customHeight="1" spans="1:9">
      <c r="A633" s="16" t="s">
        <v>396</v>
      </c>
      <c r="B633" s="16">
        <v>0</v>
      </c>
      <c r="C633" s="19">
        <v>0.000301692110825978</v>
      </c>
      <c r="D633" s="17">
        <f t="shared" si="0"/>
        <v>0</v>
      </c>
      <c r="E633" s="18">
        <f t="shared" si="1"/>
        <v>0</v>
      </c>
      <c r="G633" s="16" t="s">
        <v>965</v>
      </c>
      <c r="H633" s="16">
        <v>451</v>
      </c>
      <c r="I633" s="19">
        <v>2.58630339598266e-5</v>
      </c>
    </row>
    <row r="634" ht="22.5" customHeight="1" spans="1:9">
      <c r="A634" s="16" t="s">
        <v>397</v>
      </c>
      <c r="B634" s="16">
        <v>0</v>
      </c>
      <c r="C634" s="19">
        <v>0.000298331678898461</v>
      </c>
      <c r="D634" s="17">
        <f t="shared" si="0"/>
        <v>0</v>
      </c>
      <c r="E634" s="18">
        <f t="shared" si="1"/>
        <v>0</v>
      </c>
      <c r="G634" s="16" t="s">
        <v>963</v>
      </c>
      <c r="H634" s="16">
        <v>449</v>
      </c>
      <c r="I634" s="19">
        <v>2.57483420132199e-5</v>
      </c>
    </row>
    <row r="635" ht="22.5" customHeight="1" spans="1:9">
      <c r="A635" s="16" t="s">
        <v>402</v>
      </c>
      <c r="B635" s="16">
        <v>0</v>
      </c>
      <c r="C635" s="19">
        <v>0.000291770835611404</v>
      </c>
      <c r="D635" s="17">
        <f t="shared" si="0"/>
        <v>0</v>
      </c>
      <c r="E635" s="18">
        <f t="shared" si="1"/>
        <v>0</v>
      </c>
      <c r="G635" s="16" t="s">
        <v>969</v>
      </c>
      <c r="H635" s="16">
        <v>447</v>
      </c>
      <c r="I635" s="19">
        <v>2.56336500666131e-5</v>
      </c>
    </row>
    <row r="636" ht="22.5" customHeight="1" spans="1:9">
      <c r="A636" s="16" t="s">
        <v>404</v>
      </c>
      <c r="B636" s="16">
        <v>0</v>
      </c>
      <c r="C636" s="19">
        <v>0.000282863023994017</v>
      </c>
      <c r="D636" s="17">
        <f t="shared" si="0"/>
        <v>0</v>
      </c>
      <c r="E636" s="18">
        <f t="shared" si="1"/>
        <v>0</v>
      </c>
      <c r="G636" s="16" t="s">
        <v>970</v>
      </c>
      <c r="H636" s="16">
        <v>447</v>
      </c>
      <c r="I636" s="19">
        <v>2.56336500666131e-5</v>
      </c>
    </row>
    <row r="637" ht="22.5" customHeight="1" spans="1:9">
      <c r="A637" s="16" t="s">
        <v>408</v>
      </c>
      <c r="B637" s="16">
        <v>0</v>
      </c>
      <c r="C637" s="19">
        <v>0.000275182036731121</v>
      </c>
      <c r="D637" s="17">
        <f t="shared" si="0"/>
        <v>0</v>
      </c>
      <c r="E637" s="18">
        <f t="shared" si="1"/>
        <v>0</v>
      </c>
      <c r="G637" s="16" t="s">
        <v>974</v>
      </c>
      <c r="H637" s="16">
        <v>443</v>
      </c>
      <c r="I637" s="19">
        <v>2.54042661733995e-5</v>
      </c>
    </row>
    <row r="638" ht="22.5" customHeight="1" spans="1:9">
      <c r="A638" s="16" t="s">
        <v>410</v>
      </c>
      <c r="B638" s="16">
        <v>0</v>
      </c>
      <c r="C638" s="19">
        <v>0.000273261789915397</v>
      </c>
      <c r="D638" s="17">
        <f t="shared" si="0"/>
        <v>0</v>
      </c>
      <c r="E638" s="18">
        <f t="shared" si="1"/>
        <v>0</v>
      </c>
      <c r="G638" s="16" t="s">
        <v>956</v>
      </c>
      <c r="H638" s="16">
        <v>440</v>
      </c>
      <c r="I638" s="19">
        <v>2.52322282534894e-5</v>
      </c>
    </row>
    <row r="639" ht="22.5" customHeight="1" spans="1:9">
      <c r="A639" s="16" t="s">
        <v>411</v>
      </c>
      <c r="B639" s="16">
        <v>0</v>
      </c>
      <c r="C639" s="19">
        <v>0.000270914821585068</v>
      </c>
      <c r="D639" s="17">
        <f t="shared" si="0"/>
        <v>0</v>
      </c>
      <c r="E639" s="18">
        <f t="shared" si="1"/>
        <v>0</v>
      </c>
      <c r="G639" s="16" t="s">
        <v>971</v>
      </c>
      <c r="H639" s="16">
        <v>435</v>
      </c>
      <c r="I639" s="19">
        <v>2.49454983869725e-5</v>
      </c>
    </row>
    <row r="640" ht="22.5" customHeight="1" spans="1:9">
      <c r="A640" s="16" t="s">
        <v>413</v>
      </c>
      <c r="B640" s="16">
        <v>0</v>
      </c>
      <c r="C640" s="19">
        <v>0.000264887380191267</v>
      </c>
      <c r="D640" s="17">
        <f t="shared" si="0"/>
        <v>0</v>
      </c>
      <c r="E640" s="18">
        <f t="shared" si="1"/>
        <v>0</v>
      </c>
      <c r="G640" s="16" t="s">
        <v>977</v>
      </c>
      <c r="H640" s="16">
        <v>434</v>
      </c>
      <c r="I640" s="19">
        <v>2.48881524136691e-5</v>
      </c>
    </row>
    <row r="641" ht="22.5" customHeight="1" spans="1:9">
      <c r="A641" s="16" t="s">
        <v>1605</v>
      </c>
      <c r="B641" s="16">
        <v>0</v>
      </c>
      <c r="C641" s="19">
        <v>0.00025992674258398</v>
      </c>
      <c r="D641" s="17">
        <f t="shared" si="0"/>
        <v>0</v>
      </c>
      <c r="E641" s="18">
        <f t="shared" si="1"/>
        <v>0</v>
      </c>
      <c r="G641" s="16" t="s">
        <v>949</v>
      </c>
      <c r="H641" s="16">
        <v>432</v>
      </c>
      <c r="I641" s="19">
        <v>2.47734604670623e-5</v>
      </c>
    </row>
    <row r="642" ht="22.5" customHeight="1" spans="1:9">
      <c r="A642" s="16" t="s">
        <v>418</v>
      </c>
      <c r="B642" s="16">
        <v>0</v>
      </c>
      <c r="C642" s="19">
        <v>0.000255712867627252</v>
      </c>
      <c r="D642" s="17">
        <f t="shared" si="0"/>
        <v>0</v>
      </c>
      <c r="E642" s="18">
        <f t="shared" si="1"/>
        <v>0</v>
      </c>
      <c r="G642" s="16" t="s">
        <v>943</v>
      </c>
      <c r="H642" s="16">
        <v>432</v>
      </c>
      <c r="I642" s="19">
        <v>2.47734604670623e-5</v>
      </c>
    </row>
    <row r="643" ht="22.5" customHeight="1" spans="1:9">
      <c r="A643" s="16" t="s">
        <v>420</v>
      </c>
      <c r="B643" s="16">
        <v>0</v>
      </c>
      <c r="C643" s="19">
        <v>0.000255659527437927</v>
      </c>
      <c r="D643" s="17">
        <f t="shared" si="0"/>
        <v>0</v>
      </c>
      <c r="E643" s="18">
        <f t="shared" si="1"/>
        <v>0</v>
      </c>
      <c r="G643" s="16" t="s">
        <v>979</v>
      </c>
      <c r="H643" s="16">
        <v>432</v>
      </c>
      <c r="I643" s="19">
        <v>2.47734604670623e-5</v>
      </c>
    </row>
    <row r="644" ht="22.5" customHeight="1" spans="1:9">
      <c r="A644" s="16" t="s">
        <v>424</v>
      </c>
      <c r="B644" s="16">
        <v>0</v>
      </c>
      <c r="C644" s="19">
        <v>0.000252405775889061</v>
      </c>
      <c r="D644" s="17">
        <f t="shared" si="0"/>
        <v>0</v>
      </c>
      <c r="E644" s="18">
        <f t="shared" si="1"/>
        <v>0</v>
      </c>
      <c r="G644" s="16" t="s">
        <v>968</v>
      </c>
      <c r="H644" s="16">
        <v>431</v>
      </c>
      <c r="I644" s="19">
        <v>2.47161144937589e-5</v>
      </c>
    </row>
    <row r="645" ht="22.5" customHeight="1" spans="1:9">
      <c r="A645" s="16" t="s">
        <v>432</v>
      </c>
      <c r="B645" s="16">
        <v>0</v>
      </c>
      <c r="C645" s="19">
        <v>0.000242164459538533</v>
      </c>
      <c r="D645" s="17">
        <f t="shared" si="0"/>
        <v>0</v>
      </c>
      <c r="E645" s="18">
        <f t="shared" si="1"/>
        <v>0</v>
      </c>
      <c r="G645" s="16" t="s">
        <v>951</v>
      </c>
      <c r="H645" s="16">
        <v>431</v>
      </c>
      <c r="I645" s="19">
        <v>2.47161144937589e-5</v>
      </c>
    </row>
    <row r="646" ht="22.5" customHeight="1" spans="1:9">
      <c r="A646" s="16" t="s">
        <v>437</v>
      </c>
      <c r="B646" s="16">
        <v>0</v>
      </c>
      <c r="C646" s="19">
        <v>0.0002375238630672</v>
      </c>
      <c r="D646" s="17">
        <f t="shared" si="0"/>
        <v>0</v>
      </c>
      <c r="E646" s="18">
        <f t="shared" si="1"/>
        <v>0</v>
      </c>
      <c r="G646" s="16" t="s">
        <v>980</v>
      </c>
      <c r="H646" s="16">
        <v>429</v>
      </c>
      <c r="I646" s="19">
        <v>2.46014225471522e-5</v>
      </c>
    </row>
    <row r="647" ht="22.5" customHeight="1" spans="1:9">
      <c r="A647" s="16" t="s">
        <v>850</v>
      </c>
      <c r="B647" s="16">
        <v>0</v>
      </c>
      <c r="C647" s="19">
        <v>0.000234856853600916</v>
      </c>
      <c r="D647" s="17">
        <f t="shared" si="0"/>
        <v>0</v>
      </c>
      <c r="E647" s="18">
        <f t="shared" si="1"/>
        <v>0</v>
      </c>
      <c r="G647" s="16" t="s">
        <v>982</v>
      </c>
      <c r="H647" s="16">
        <v>429</v>
      </c>
      <c r="I647" s="19">
        <v>2.46014225471522e-5</v>
      </c>
    </row>
    <row r="648" ht="22.5" customHeight="1" spans="1:9">
      <c r="A648" s="16" t="s">
        <v>442</v>
      </c>
      <c r="B648" s="16">
        <v>0</v>
      </c>
      <c r="C648" s="19">
        <v>0.000232083163755981</v>
      </c>
      <c r="D648" s="17">
        <f t="shared" si="0"/>
        <v>0</v>
      </c>
      <c r="E648" s="18">
        <f t="shared" si="1"/>
        <v>0</v>
      </c>
      <c r="G648" s="16" t="s">
        <v>984</v>
      </c>
      <c r="H648" s="16">
        <v>425</v>
      </c>
      <c r="I648" s="19">
        <v>2.43720386539386e-5</v>
      </c>
    </row>
    <row r="649" ht="22.5" customHeight="1" spans="1:9">
      <c r="A649" s="16" t="s">
        <v>445</v>
      </c>
      <c r="B649" s="16">
        <v>0</v>
      </c>
      <c r="C649" s="19">
        <v>0.000229522834668349</v>
      </c>
      <c r="D649" s="17">
        <f t="shared" si="0"/>
        <v>0</v>
      </c>
      <c r="E649" s="18">
        <f t="shared" si="1"/>
        <v>0</v>
      </c>
      <c r="G649" s="16" t="s">
        <v>975</v>
      </c>
      <c r="H649" s="16">
        <v>424</v>
      </c>
      <c r="I649" s="19">
        <v>2.43146926806352e-5</v>
      </c>
    </row>
    <row r="650" ht="22.5" customHeight="1" spans="1:9">
      <c r="A650" s="16" t="s">
        <v>448</v>
      </c>
      <c r="B650" s="16">
        <v>0</v>
      </c>
      <c r="C650" s="19">
        <v>0.000226855825202066</v>
      </c>
      <c r="D650" s="17">
        <f t="shared" si="0"/>
        <v>0</v>
      </c>
      <c r="E650" s="18">
        <f t="shared" si="1"/>
        <v>0</v>
      </c>
      <c r="G650" s="16" t="s">
        <v>985</v>
      </c>
      <c r="H650" s="16">
        <v>424</v>
      </c>
      <c r="I650" s="19">
        <v>2.43146926806352e-5</v>
      </c>
    </row>
    <row r="651" ht="22.5" customHeight="1" spans="1:9">
      <c r="A651" s="16" t="s">
        <v>452</v>
      </c>
      <c r="B651" s="16">
        <v>0</v>
      </c>
      <c r="C651" s="19">
        <v>0.000220828383808265</v>
      </c>
      <c r="D651" s="17">
        <f t="shared" si="0"/>
        <v>0</v>
      </c>
      <c r="E651" s="18">
        <f t="shared" si="1"/>
        <v>0</v>
      </c>
      <c r="G651" s="16" t="s">
        <v>987</v>
      </c>
      <c r="H651" s="16">
        <v>423</v>
      </c>
      <c r="I651" s="19">
        <v>2.42573467073318e-5</v>
      </c>
    </row>
    <row r="652" ht="22.5" customHeight="1" spans="1:9">
      <c r="A652" s="16" t="s">
        <v>458</v>
      </c>
      <c r="B652" s="16">
        <v>0</v>
      </c>
      <c r="C652" s="19">
        <v>0.000214587581657162</v>
      </c>
      <c r="D652" s="17">
        <f t="shared" si="0"/>
        <v>0</v>
      </c>
      <c r="E652" s="18">
        <f t="shared" si="1"/>
        <v>0</v>
      </c>
      <c r="G652" s="16" t="s">
        <v>885</v>
      </c>
      <c r="H652" s="16">
        <v>423</v>
      </c>
      <c r="I652" s="19">
        <v>2.42573467073318e-5</v>
      </c>
    </row>
    <row r="653" ht="22.5" customHeight="1" spans="1:9">
      <c r="A653" s="16" t="s">
        <v>459</v>
      </c>
      <c r="B653" s="16">
        <v>0</v>
      </c>
      <c r="C653" s="19">
        <v>0.000214320880710534</v>
      </c>
      <c r="D653" s="17">
        <f t="shared" si="0"/>
        <v>0</v>
      </c>
      <c r="E653" s="18">
        <f t="shared" si="1"/>
        <v>0</v>
      </c>
      <c r="G653" s="16" t="s">
        <v>988</v>
      </c>
      <c r="H653" s="16">
        <v>421</v>
      </c>
      <c r="I653" s="19">
        <v>2.41426547607251e-5</v>
      </c>
    </row>
    <row r="654" ht="22.5" customHeight="1" spans="1:9">
      <c r="A654" s="16" t="s">
        <v>460</v>
      </c>
      <c r="B654" s="16">
        <v>0</v>
      </c>
      <c r="C654" s="19">
        <v>0.000213360757302672</v>
      </c>
      <c r="D654" s="17">
        <f t="shared" si="0"/>
        <v>0</v>
      </c>
      <c r="E654" s="18">
        <f t="shared" si="1"/>
        <v>0</v>
      </c>
      <c r="G654" s="16" t="s">
        <v>986</v>
      </c>
      <c r="H654" s="16">
        <v>421</v>
      </c>
      <c r="I654" s="19">
        <v>2.41426547607251e-5</v>
      </c>
    </row>
    <row r="655" ht="22.5" customHeight="1" spans="1:9">
      <c r="A655" s="16" t="s">
        <v>464</v>
      </c>
      <c r="B655" s="16">
        <v>0</v>
      </c>
      <c r="C655" s="19">
        <v>0.00020882684120999</v>
      </c>
      <c r="D655" s="17">
        <f t="shared" si="0"/>
        <v>0</v>
      </c>
      <c r="E655" s="18">
        <f t="shared" si="1"/>
        <v>0</v>
      </c>
      <c r="G655" s="16" t="s">
        <v>978</v>
      </c>
      <c r="H655" s="16">
        <v>420</v>
      </c>
      <c r="I655" s="19">
        <v>2.40853087874217e-5</v>
      </c>
    </row>
    <row r="656" ht="22.5" customHeight="1" spans="1:9">
      <c r="A656" s="16" t="s">
        <v>1455</v>
      </c>
      <c r="B656" s="16">
        <v>0</v>
      </c>
      <c r="C656" s="19">
        <v>0.000202105977354956</v>
      </c>
      <c r="D656" s="17">
        <f t="shared" si="0"/>
        <v>0</v>
      </c>
      <c r="E656" s="18">
        <f t="shared" si="1"/>
        <v>0</v>
      </c>
      <c r="G656" s="16" t="s">
        <v>990</v>
      </c>
      <c r="H656" s="16">
        <v>418</v>
      </c>
      <c r="I656" s="19">
        <v>2.39706168408149e-5</v>
      </c>
    </row>
    <row r="657" ht="22.5" customHeight="1" spans="1:9">
      <c r="A657" s="16" t="s">
        <v>473</v>
      </c>
      <c r="B657" s="16">
        <v>0</v>
      </c>
      <c r="C657" s="19">
        <v>0.000200185730539232</v>
      </c>
      <c r="D657" s="17">
        <f t="shared" si="0"/>
        <v>0</v>
      </c>
      <c r="E657" s="18">
        <f t="shared" si="1"/>
        <v>0</v>
      </c>
      <c r="G657" s="16" t="s">
        <v>994</v>
      </c>
      <c r="H657" s="16">
        <v>406</v>
      </c>
      <c r="I657" s="19">
        <v>2.32824651611743e-5</v>
      </c>
    </row>
    <row r="658" ht="22.5" customHeight="1" spans="1:9">
      <c r="A658" s="16" t="s">
        <v>476</v>
      </c>
      <c r="B658" s="16">
        <v>0</v>
      </c>
      <c r="C658" s="19">
        <v>0.000197038659369018</v>
      </c>
      <c r="D658" s="17">
        <f t="shared" si="0"/>
        <v>0</v>
      </c>
      <c r="E658" s="18">
        <f t="shared" si="1"/>
        <v>0</v>
      </c>
      <c r="G658" s="16" t="s">
        <v>954</v>
      </c>
      <c r="H658" s="16">
        <v>402</v>
      </c>
      <c r="I658" s="19">
        <v>2.30530812679608e-5</v>
      </c>
    </row>
    <row r="659" ht="22.5" customHeight="1" spans="1:9">
      <c r="A659" s="16" t="s">
        <v>478</v>
      </c>
      <c r="B659" s="16">
        <v>0</v>
      </c>
      <c r="C659" s="19">
        <v>0.000195011732174642</v>
      </c>
      <c r="D659" s="17">
        <f t="shared" si="0"/>
        <v>0</v>
      </c>
      <c r="E659" s="18">
        <f t="shared" si="1"/>
        <v>0</v>
      </c>
      <c r="G659" s="16" t="s">
        <v>995</v>
      </c>
      <c r="H659" s="16">
        <v>391</v>
      </c>
      <c r="I659" s="19">
        <v>2.24222755616235e-5</v>
      </c>
    </row>
    <row r="660" ht="22.5" customHeight="1" spans="1:9">
      <c r="A660" s="16" t="s">
        <v>479</v>
      </c>
      <c r="B660" s="16">
        <v>0</v>
      </c>
      <c r="C660" s="19">
        <v>0.000194958391985317</v>
      </c>
      <c r="D660" s="17">
        <f t="shared" si="0"/>
        <v>0</v>
      </c>
      <c r="E660" s="18">
        <f t="shared" si="1"/>
        <v>0</v>
      </c>
      <c r="G660" s="16" t="s">
        <v>992</v>
      </c>
      <c r="H660" s="16">
        <v>389</v>
      </c>
      <c r="I660" s="19">
        <v>2.23075836150168e-5</v>
      </c>
    </row>
    <row r="661" ht="22.5" customHeight="1" spans="1:9">
      <c r="A661" s="16" t="s">
        <v>480</v>
      </c>
      <c r="B661" s="16">
        <v>0</v>
      </c>
      <c r="C661" s="19">
        <v>0.000194478330281386</v>
      </c>
      <c r="D661" s="17">
        <f t="shared" si="0"/>
        <v>0</v>
      </c>
      <c r="E661" s="18">
        <f t="shared" si="1"/>
        <v>0</v>
      </c>
      <c r="G661" s="16" t="s">
        <v>901</v>
      </c>
      <c r="H661" s="16">
        <v>387</v>
      </c>
      <c r="I661" s="19">
        <v>2.219289166841e-5</v>
      </c>
    </row>
    <row r="662" ht="22.5" customHeight="1" spans="1:9">
      <c r="A662" s="16" t="s">
        <v>484</v>
      </c>
      <c r="B662" s="16">
        <v>0</v>
      </c>
      <c r="C662" s="19">
        <v>0.000190904537596566</v>
      </c>
      <c r="D662" s="17">
        <f t="shared" si="0"/>
        <v>0</v>
      </c>
      <c r="E662" s="18">
        <f t="shared" si="1"/>
        <v>0</v>
      </c>
      <c r="G662" s="16" t="s">
        <v>998</v>
      </c>
      <c r="H662" s="16">
        <v>382</v>
      </c>
      <c r="I662" s="19">
        <v>2.19061618018931e-5</v>
      </c>
    </row>
    <row r="663" ht="22.5" customHeight="1" spans="1:9">
      <c r="A663" s="16" t="s">
        <v>485</v>
      </c>
      <c r="B663" s="16">
        <v>0</v>
      </c>
      <c r="C663" s="19">
        <v>0.000190157774946006</v>
      </c>
      <c r="D663" s="17">
        <f t="shared" si="0"/>
        <v>0</v>
      </c>
      <c r="E663" s="18">
        <f t="shared" si="1"/>
        <v>0</v>
      </c>
      <c r="G663" s="16" t="s">
        <v>1001</v>
      </c>
      <c r="H663" s="16">
        <v>381</v>
      </c>
      <c r="I663" s="19">
        <v>2.18488158285897e-5</v>
      </c>
    </row>
    <row r="664" ht="22.5" customHeight="1" spans="1:9">
      <c r="A664" s="16" t="s">
        <v>488</v>
      </c>
      <c r="B664" s="16">
        <v>0</v>
      </c>
      <c r="C664" s="19">
        <v>0.000189464352484773</v>
      </c>
      <c r="D664" s="17">
        <f t="shared" si="0"/>
        <v>0</v>
      </c>
      <c r="E664" s="18">
        <f t="shared" si="1"/>
        <v>0</v>
      </c>
      <c r="G664" s="16" t="s">
        <v>996</v>
      </c>
      <c r="H664" s="16">
        <v>379</v>
      </c>
      <c r="I664" s="19">
        <v>2.17341238819829e-5</v>
      </c>
    </row>
    <row r="665" ht="22.5" customHeight="1" spans="1:9">
      <c r="A665" s="16" t="s">
        <v>490</v>
      </c>
      <c r="B665" s="16">
        <v>0</v>
      </c>
      <c r="C665" s="19">
        <v>0.000188077507562305</v>
      </c>
      <c r="D665" s="17">
        <f t="shared" si="0"/>
        <v>0</v>
      </c>
      <c r="E665" s="18">
        <f t="shared" si="1"/>
        <v>0</v>
      </c>
      <c r="G665" s="16" t="s">
        <v>976</v>
      </c>
      <c r="H665" s="16">
        <v>378</v>
      </c>
      <c r="I665" s="19">
        <v>2.16767779086795e-5</v>
      </c>
    </row>
    <row r="666" ht="22.5" customHeight="1" spans="1:9">
      <c r="A666" s="16" t="s">
        <v>492</v>
      </c>
      <c r="B666" s="16">
        <v>0</v>
      </c>
      <c r="C666" s="19">
        <v>0.000185997240178604</v>
      </c>
      <c r="D666" s="17">
        <f t="shared" si="0"/>
        <v>0</v>
      </c>
      <c r="E666" s="18">
        <f t="shared" si="1"/>
        <v>0</v>
      </c>
      <c r="G666" s="16" t="s">
        <v>1003</v>
      </c>
      <c r="H666" s="16">
        <v>377</v>
      </c>
      <c r="I666" s="19">
        <v>2.16194319353761e-5</v>
      </c>
    </row>
    <row r="667" ht="22.5" customHeight="1" spans="1:9">
      <c r="A667" s="16" t="s">
        <v>493</v>
      </c>
      <c r="B667" s="16">
        <v>0</v>
      </c>
      <c r="C667" s="19">
        <v>0.000185357157906696</v>
      </c>
      <c r="D667" s="17">
        <f t="shared" si="0"/>
        <v>0</v>
      </c>
      <c r="E667" s="18">
        <f t="shared" si="1"/>
        <v>0</v>
      </c>
      <c r="G667" s="16" t="s">
        <v>1006</v>
      </c>
      <c r="H667" s="16">
        <v>371</v>
      </c>
      <c r="I667" s="19">
        <v>2.12753560955558e-5</v>
      </c>
    </row>
    <row r="668" ht="22.5" customHeight="1" spans="1:9">
      <c r="A668" s="16" t="s">
        <v>495</v>
      </c>
      <c r="B668" s="16">
        <v>0</v>
      </c>
      <c r="C668" s="19">
        <v>0.000185090456960068</v>
      </c>
      <c r="D668" s="17">
        <f t="shared" si="0"/>
        <v>0</v>
      </c>
      <c r="E668" s="18">
        <f t="shared" si="1"/>
        <v>0</v>
      </c>
      <c r="G668" s="16" t="s">
        <v>989</v>
      </c>
      <c r="H668" s="16">
        <v>368</v>
      </c>
      <c r="I668" s="19">
        <v>2.11033181756457e-5</v>
      </c>
    </row>
    <row r="669" ht="22.5" customHeight="1" spans="1:9">
      <c r="A669" s="16" t="s">
        <v>498</v>
      </c>
      <c r="B669" s="16">
        <v>0</v>
      </c>
      <c r="C669" s="19">
        <v>0.000179009675376942</v>
      </c>
      <c r="D669" s="17">
        <f t="shared" si="0"/>
        <v>0</v>
      </c>
      <c r="E669" s="18">
        <f t="shared" si="1"/>
        <v>0</v>
      </c>
      <c r="G669" s="16" t="s">
        <v>1002</v>
      </c>
      <c r="H669" s="16">
        <v>364</v>
      </c>
      <c r="I669" s="19">
        <v>2.08739342824321e-5</v>
      </c>
    </row>
    <row r="670" ht="22.5" customHeight="1" spans="1:9">
      <c r="A670" s="16" t="s">
        <v>499</v>
      </c>
      <c r="B670" s="16">
        <v>0</v>
      </c>
      <c r="C670" s="19">
        <v>0.000178849654808965</v>
      </c>
      <c r="D670" s="17">
        <f t="shared" si="0"/>
        <v>0</v>
      </c>
      <c r="E670" s="18">
        <f t="shared" si="1"/>
        <v>0</v>
      </c>
      <c r="G670" s="16" t="s">
        <v>983</v>
      </c>
      <c r="H670" s="16">
        <v>362</v>
      </c>
      <c r="I670" s="19">
        <v>2.07592423358254e-5</v>
      </c>
    </row>
    <row r="671" ht="22.5" customHeight="1" spans="1:9">
      <c r="A671" s="16" t="s">
        <v>500</v>
      </c>
      <c r="B671" s="16">
        <v>0</v>
      </c>
      <c r="C671" s="19">
        <v>0.000177996211779754</v>
      </c>
      <c r="D671" s="17">
        <f t="shared" si="0"/>
        <v>0</v>
      </c>
      <c r="E671" s="18">
        <f t="shared" si="1"/>
        <v>0</v>
      </c>
      <c r="G671" s="16" t="s">
        <v>896</v>
      </c>
      <c r="H671" s="16">
        <v>362</v>
      </c>
      <c r="I671" s="19">
        <v>2.07592423358254e-5</v>
      </c>
    </row>
    <row r="672" ht="22.5" customHeight="1" spans="1:9">
      <c r="A672" s="16" t="s">
        <v>501</v>
      </c>
      <c r="B672" s="16">
        <v>0</v>
      </c>
      <c r="C672" s="19">
        <v>0.000177996211779754</v>
      </c>
      <c r="D672" s="17">
        <f t="shared" si="0"/>
        <v>0</v>
      </c>
      <c r="E672" s="18">
        <f t="shared" si="1"/>
        <v>0</v>
      </c>
      <c r="G672" s="16" t="s">
        <v>1011</v>
      </c>
      <c r="H672" s="16">
        <v>361</v>
      </c>
      <c r="I672" s="19">
        <v>2.0701896362522e-5</v>
      </c>
    </row>
    <row r="673" ht="22.5" customHeight="1" spans="1:9">
      <c r="A673" s="16" t="s">
        <v>505</v>
      </c>
      <c r="B673" s="16">
        <v>0</v>
      </c>
      <c r="C673" s="19">
        <v>0.000175062501366842</v>
      </c>
      <c r="D673" s="17">
        <f t="shared" si="0"/>
        <v>0</v>
      </c>
      <c r="E673" s="18">
        <f t="shared" si="1"/>
        <v>0</v>
      </c>
      <c r="G673" s="16" t="s">
        <v>1016</v>
      </c>
      <c r="H673" s="16">
        <v>360</v>
      </c>
      <c r="I673" s="19">
        <v>2.06445503892186e-5</v>
      </c>
    </row>
    <row r="674" ht="22.5" customHeight="1" spans="1:9">
      <c r="A674" s="16" t="s">
        <v>506</v>
      </c>
      <c r="B674" s="16">
        <v>0</v>
      </c>
      <c r="C674" s="19">
        <v>0.000173142254551118</v>
      </c>
      <c r="D674" s="17">
        <f t="shared" si="0"/>
        <v>0</v>
      </c>
      <c r="E674" s="18">
        <f t="shared" si="1"/>
        <v>0</v>
      </c>
      <c r="G674" s="16" t="s">
        <v>1007</v>
      </c>
      <c r="H674" s="16">
        <v>357</v>
      </c>
      <c r="I674" s="19">
        <v>2.04725124693084e-5</v>
      </c>
    </row>
    <row r="675" ht="22.5" customHeight="1" spans="1:9">
      <c r="A675" s="16" t="s">
        <v>515</v>
      </c>
      <c r="B675" s="16">
        <v>0</v>
      </c>
      <c r="C675" s="19">
        <v>0.000167754895429226</v>
      </c>
      <c r="D675" s="17">
        <f t="shared" si="0"/>
        <v>0</v>
      </c>
      <c r="E675" s="18">
        <f t="shared" si="1"/>
        <v>0</v>
      </c>
      <c r="G675" s="16" t="s">
        <v>1017</v>
      </c>
      <c r="H675" s="16">
        <v>356</v>
      </c>
      <c r="I675" s="19">
        <v>2.0415166496005e-5</v>
      </c>
    </row>
    <row r="676" ht="22.5" customHeight="1" spans="1:9">
      <c r="A676" s="16" t="s">
        <v>517</v>
      </c>
      <c r="B676" s="16">
        <v>0</v>
      </c>
      <c r="C676" s="19">
        <v>0.00016412776255508</v>
      </c>
      <c r="D676" s="17">
        <f t="shared" si="0"/>
        <v>0</v>
      </c>
      <c r="E676" s="18">
        <f t="shared" si="1"/>
        <v>0</v>
      </c>
      <c r="G676" s="16" t="s">
        <v>1012</v>
      </c>
      <c r="H676" s="16">
        <v>355</v>
      </c>
      <c r="I676" s="19">
        <v>2.03578205227017e-5</v>
      </c>
    </row>
    <row r="677" ht="22.5" customHeight="1" spans="1:9">
      <c r="A677" s="16" t="s">
        <v>519</v>
      </c>
      <c r="B677" s="16">
        <v>0</v>
      </c>
      <c r="C677" s="19">
        <v>0.000162580897064636</v>
      </c>
      <c r="D677" s="17">
        <f t="shared" si="0"/>
        <v>0</v>
      </c>
      <c r="E677" s="18">
        <f t="shared" si="1"/>
        <v>0</v>
      </c>
      <c r="G677" s="16" t="s">
        <v>1021</v>
      </c>
      <c r="H677" s="16">
        <v>355</v>
      </c>
      <c r="I677" s="19">
        <v>2.03578205227017e-5</v>
      </c>
    </row>
    <row r="678" ht="22.5" customHeight="1" spans="1:9">
      <c r="A678" s="16" t="s">
        <v>522</v>
      </c>
      <c r="B678" s="16">
        <v>0</v>
      </c>
      <c r="C678" s="19">
        <v>0.000162367536307333</v>
      </c>
      <c r="D678" s="17">
        <f t="shared" si="0"/>
        <v>0</v>
      </c>
      <c r="E678" s="18">
        <f t="shared" si="1"/>
        <v>0</v>
      </c>
      <c r="G678" s="16" t="s">
        <v>1020</v>
      </c>
      <c r="H678" s="16">
        <v>348</v>
      </c>
      <c r="I678" s="19">
        <v>1.9956398709578e-5</v>
      </c>
    </row>
    <row r="679" ht="22.5" customHeight="1" spans="1:9">
      <c r="A679" s="16" t="s">
        <v>523</v>
      </c>
      <c r="B679" s="16">
        <v>0</v>
      </c>
      <c r="C679" s="19">
        <v>0.000161407412899471</v>
      </c>
      <c r="D679" s="17">
        <f t="shared" si="0"/>
        <v>0</v>
      </c>
      <c r="E679" s="18">
        <f t="shared" si="1"/>
        <v>0</v>
      </c>
      <c r="G679" s="16" t="s">
        <v>1023</v>
      </c>
      <c r="H679" s="16">
        <v>347</v>
      </c>
      <c r="I679" s="19">
        <v>1.98990527362746e-5</v>
      </c>
    </row>
    <row r="680" ht="22.5" customHeight="1" spans="1:9">
      <c r="A680" s="16" t="s">
        <v>525</v>
      </c>
      <c r="B680" s="16">
        <v>0</v>
      </c>
      <c r="C680" s="19">
        <v>0.000159967227787678</v>
      </c>
      <c r="D680" s="17">
        <f t="shared" si="0"/>
        <v>0</v>
      </c>
      <c r="E680" s="18">
        <f t="shared" si="1"/>
        <v>0</v>
      </c>
      <c r="G680" s="16" t="s">
        <v>1022</v>
      </c>
      <c r="H680" s="16">
        <v>347</v>
      </c>
      <c r="I680" s="19">
        <v>1.98990527362746e-5</v>
      </c>
    </row>
    <row r="681" ht="22.5" customHeight="1" spans="1:9">
      <c r="A681" s="16" t="s">
        <v>527</v>
      </c>
      <c r="B681" s="16">
        <v>0</v>
      </c>
      <c r="C681" s="19">
        <v>0.000158580382865211</v>
      </c>
      <c r="D681" s="17">
        <f t="shared" si="0"/>
        <v>0</v>
      </c>
      <c r="E681" s="18">
        <f t="shared" si="1"/>
        <v>0</v>
      </c>
      <c r="G681" s="16" t="s">
        <v>875</v>
      </c>
      <c r="H681" s="16">
        <v>346</v>
      </c>
      <c r="I681" s="19">
        <v>1.98417067629712e-5</v>
      </c>
    </row>
    <row r="682" ht="22.5" customHeight="1" spans="1:9">
      <c r="A682" s="16" t="s">
        <v>531</v>
      </c>
      <c r="B682" s="16">
        <v>0</v>
      </c>
      <c r="C682" s="19">
        <v>0.000156980177185441</v>
      </c>
      <c r="D682" s="17">
        <f t="shared" si="0"/>
        <v>0</v>
      </c>
      <c r="E682" s="18">
        <f t="shared" si="1"/>
        <v>0</v>
      </c>
      <c r="G682" s="16" t="s">
        <v>1024</v>
      </c>
      <c r="H682" s="16">
        <v>339</v>
      </c>
      <c r="I682" s="19">
        <v>1.94402849498475e-5</v>
      </c>
    </row>
    <row r="683" ht="22.5" customHeight="1" spans="1:9">
      <c r="A683" s="16" t="s">
        <v>537</v>
      </c>
      <c r="B683" s="16">
        <v>0</v>
      </c>
      <c r="C683" s="19">
        <v>0.000151806178820851</v>
      </c>
      <c r="D683" s="17">
        <f t="shared" si="0"/>
        <v>0</v>
      </c>
      <c r="E683" s="18">
        <f t="shared" si="1"/>
        <v>0</v>
      </c>
      <c r="G683" s="16" t="s">
        <v>1026</v>
      </c>
      <c r="H683" s="16">
        <v>339</v>
      </c>
      <c r="I683" s="19">
        <v>1.94402849498475e-5</v>
      </c>
    </row>
    <row r="684" ht="22.5" customHeight="1" spans="1:9">
      <c r="A684" s="16" t="s">
        <v>542</v>
      </c>
      <c r="B684" s="16">
        <v>0</v>
      </c>
      <c r="C684" s="19">
        <v>0.000150579354466361</v>
      </c>
      <c r="D684" s="17">
        <f t="shared" si="0"/>
        <v>0</v>
      </c>
      <c r="E684" s="18">
        <f t="shared" si="1"/>
        <v>0</v>
      </c>
      <c r="G684" s="16" t="s">
        <v>886</v>
      </c>
      <c r="H684" s="16">
        <v>339</v>
      </c>
      <c r="I684" s="19">
        <v>1.94402849498475e-5</v>
      </c>
    </row>
    <row r="685" ht="22.5" customHeight="1" spans="1:9">
      <c r="A685" s="16" t="s">
        <v>549</v>
      </c>
      <c r="B685" s="16">
        <v>0</v>
      </c>
      <c r="C685" s="19">
        <v>0.000148765788029288</v>
      </c>
      <c r="D685" s="17">
        <f t="shared" si="0"/>
        <v>0</v>
      </c>
      <c r="E685" s="18">
        <f t="shared" si="1"/>
        <v>0</v>
      </c>
      <c r="G685" s="16" t="s">
        <v>1028</v>
      </c>
      <c r="H685" s="16">
        <v>336</v>
      </c>
      <c r="I685" s="19">
        <v>1.92682470299374e-5</v>
      </c>
    </row>
    <row r="686" ht="22.5" customHeight="1" spans="1:9">
      <c r="A686" s="16" t="s">
        <v>551</v>
      </c>
      <c r="B686" s="16">
        <v>0</v>
      </c>
      <c r="C686" s="19">
        <v>0.000148019025378729</v>
      </c>
      <c r="D686" s="17">
        <f t="shared" si="0"/>
        <v>0</v>
      </c>
      <c r="E686" s="18">
        <f t="shared" si="1"/>
        <v>0</v>
      </c>
      <c r="G686" s="16" t="s">
        <v>1029</v>
      </c>
      <c r="H686" s="16">
        <v>332</v>
      </c>
      <c r="I686" s="19">
        <v>1.90388631367238e-5</v>
      </c>
    </row>
    <row r="687" ht="22.5" customHeight="1" spans="1:9">
      <c r="A687" s="16" t="s">
        <v>557</v>
      </c>
      <c r="B687" s="16">
        <v>0</v>
      </c>
      <c r="C687" s="19">
        <v>0.000144765273829863</v>
      </c>
      <c r="D687" s="17">
        <f t="shared" si="0"/>
        <v>0</v>
      </c>
      <c r="E687" s="18">
        <f t="shared" si="1"/>
        <v>0</v>
      </c>
      <c r="G687" s="16" t="s">
        <v>1033</v>
      </c>
      <c r="H687" s="16">
        <v>331</v>
      </c>
      <c r="I687" s="19">
        <v>1.89815171634204e-5</v>
      </c>
    </row>
    <row r="688" ht="22.5" customHeight="1" spans="1:9">
      <c r="A688" s="16" t="s">
        <v>558</v>
      </c>
      <c r="B688" s="16">
        <v>0</v>
      </c>
      <c r="C688" s="19">
        <v>0.000144658593451212</v>
      </c>
      <c r="D688" s="17">
        <f t="shared" si="0"/>
        <v>0</v>
      </c>
      <c r="E688" s="18">
        <f t="shared" si="1"/>
        <v>0</v>
      </c>
      <c r="G688" s="16" t="s">
        <v>1032</v>
      </c>
      <c r="H688" s="16">
        <v>329</v>
      </c>
      <c r="I688" s="19">
        <v>1.88668252168137e-5</v>
      </c>
    </row>
    <row r="689" ht="22.5" customHeight="1" spans="1:9">
      <c r="A689" s="16" t="s">
        <v>559</v>
      </c>
      <c r="B689" s="16">
        <v>0</v>
      </c>
      <c r="C689" s="19">
        <v>0.000143165068150093</v>
      </c>
      <c r="D689" s="17">
        <f t="shared" si="0"/>
        <v>0</v>
      </c>
      <c r="E689" s="18">
        <f t="shared" si="1"/>
        <v>0</v>
      </c>
      <c r="G689" s="16" t="s">
        <v>899</v>
      </c>
      <c r="H689" s="16">
        <v>329</v>
      </c>
      <c r="I689" s="19">
        <v>1.88668252168137e-5</v>
      </c>
    </row>
    <row r="690" ht="22.5" customHeight="1" spans="1:9">
      <c r="A690" s="16" t="s">
        <v>567</v>
      </c>
      <c r="B690" s="16">
        <v>0</v>
      </c>
      <c r="C690" s="19">
        <v>0.00014012467735853</v>
      </c>
      <c r="D690" s="17">
        <f t="shared" si="0"/>
        <v>0</v>
      </c>
      <c r="E690" s="18">
        <f t="shared" si="1"/>
        <v>0</v>
      </c>
      <c r="G690" s="16" t="s">
        <v>1035</v>
      </c>
      <c r="H690" s="16">
        <v>328</v>
      </c>
      <c r="I690" s="19">
        <v>1.88094792435103e-5</v>
      </c>
    </row>
    <row r="691" ht="22.5" customHeight="1" spans="1:9">
      <c r="A691" s="16" t="s">
        <v>568</v>
      </c>
      <c r="B691" s="16">
        <v>0</v>
      </c>
      <c r="C691" s="19">
        <v>0.000139537935275947</v>
      </c>
      <c r="D691" s="17">
        <f t="shared" si="0"/>
        <v>0</v>
      </c>
      <c r="E691" s="18">
        <f t="shared" si="1"/>
        <v>0</v>
      </c>
      <c r="G691" s="16" t="s">
        <v>1031</v>
      </c>
      <c r="H691" s="16">
        <v>326</v>
      </c>
      <c r="I691" s="19">
        <v>1.86947872969035e-5</v>
      </c>
    </row>
    <row r="692" ht="22.5" customHeight="1" spans="1:9">
      <c r="A692" s="16" t="s">
        <v>571</v>
      </c>
      <c r="B692" s="16">
        <v>0</v>
      </c>
      <c r="C692" s="19">
        <v>0.000138897853004039</v>
      </c>
      <c r="D692" s="17">
        <f t="shared" si="0"/>
        <v>0</v>
      </c>
      <c r="E692" s="18">
        <f t="shared" si="1"/>
        <v>0</v>
      </c>
      <c r="G692" s="16" t="s">
        <v>1036</v>
      </c>
      <c r="H692" s="16">
        <v>322</v>
      </c>
      <c r="I692" s="19">
        <v>1.846540340369e-5</v>
      </c>
    </row>
    <row r="693" ht="22.5" customHeight="1" spans="1:9">
      <c r="A693" s="16" t="s">
        <v>577</v>
      </c>
      <c r="B693" s="16">
        <v>0</v>
      </c>
      <c r="C693" s="19">
        <v>0.000132497030284959</v>
      </c>
      <c r="D693" s="17">
        <f t="shared" si="0"/>
        <v>0</v>
      </c>
      <c r="E693" s="18">
        <f t="shared" si="1"/>
        <v>0</v>
      </c>
      <c r="G693" s="16" t="s">
        <v>1025</v>
      </c>
      <c r="H693" s="16">
        <v>320</v>
      </c>
      <c r="I693" s="19">
        <v>1.83507114570832e-5</v>
      </c>
    </row>
    <row r="694" ht="22.5" customHeight="1" spans="1:9">
      <c r="A694" s="16" t="s">
        <v>580</v>
      </c>
      <c r="B694" s="16">
        <v>0</v>
      </c>
      <c r="C694" s="19">
        <v>0.000129456639493396</v>
      </c>
      <c r="D694" s="17">
        <f t="shared" si="0"/>
        <v>0</v>
      </c>
      <c r="E694" s="18">
        <f t="shared" si="1"/>
        <v>0</v>
      </c>
      <c r="G694" s="16" t="s">
        <v>1009</v>
      </c>
      <c r="H694" s="16">
        <v>319</v>
      </c>
      <c r="I694" s="19">
        <v>1.82933654837798e-5</v>
      </c>
    </row>
    <row r="695" ht="22.5" customHeight="1" spans="1:9">
      <c r="A695" s="16" t="s">
        <v>582</v>
      </c>
      <c r="B695" s="16">
        <v>0</v>
      </c>
      <c r="C695" s="19">
        <v>0.000127696413245649</v>
      </c>
      <c r="D695" s="17">
        <f t="shared" si="0"/>
        <v>0</v>
      </c>
      <c r="E695" s="18">
        <f t="shared" si="1"/>
        <v>0</v>
      </c>
      <c r="G695" s="16" t="s">
        <v>1038</v>
      </c>
      <c r="H695" s="16">
        <v>319</v>
      </c>
      <c r="I695" s="19">
        <v>1.82933654837798e-5</v>
      </c>
    </row>
    <row r="696" ht="22.5" customHeight="1" spans="1:9">
      <c r="A696" s="16" t="s">
        <v>583</v>
      </c>
      <c r="B696" s="16">
        <v>0</v>
      </c>
      <c r="C696" s="19">
        <v>0.000125402785104645</v>
      </c>
      <c r="D696" s="17">
        <f t="shared" si="0"/>
        <v>0</v>
      </c>
      <c r="E696" s="18">
        <f t="shared" si="1"/>
        <v>0</v>
      </c>
      <c r="G696" s="16" t="s">
        <v>1040</v>
      </c>
      <c r="H696" s="16">
        <v>318</v>
      </c>
      <c r="I696" s="19">
        <v>1.82360195104764e-5</v>
      </c>
    </row>
    <row r="697" ht="22.5" customHeight="1" spans="1:9">
      <c r="A697" s="16" t="s">
        <v>592</v>
      </c>
      <c r="B697" s="16">
        <v>0</v>
      </c>
      <c r="C697" s="19">
        <v>0.000123909259803527</v>
      </c>
      <c r="D697" s="17">
        <f t="shared" si="0"/>
        <v>0</v>
      </c>
      <c r="E697" s="18">
        <f t="shared" si="1"/>
        <v>0</v>
      </c>
      <c r="G697" s="16" t="s">
        <v>1037</v>
      </c>
      <c r="H697" s="16">
        <v>314</v>
      </c>
      <c r="I697" s="19">
        <v>1.80066356172629e-5</v>
      </c>
    </row>
    <row r="698" ht="22.5" customHeight="1" spans="1:9">
      <c r="A698" s="16" t="s">
        <v>594</v>
      </c>
      <c r="B698" s="16">
        <v>0</v>
      </c>
      <c r="C698" s="19">
        <v>0.000121082229769266</v>
      </c>
      <c r="D698" s="17">
        <f t="shared" si="0"/>
        <v>0</v>
      </c>
      <c r="E698" s="18">
        <f t="shared" si="1"/>
        <v>0</v>
      </c>
      <c r="G698" s="16" t="s">
        <v>1041</v>
      </c>
      <c r="H698" s="16">
        <v>309</v>
      </c>
      <c r="I698" s="19">
        <v>1.7719905750746e-5</v>
      </c>
    </row>
    <row r="699" ht="22.5" customHeight="1" spans="1:9">
      <c r="A699" s="16" t="s">
        <v>595</v>
      </c>
      <c r="B699" s="16">
        <v>0</v>
      </c>
      <c r="C699" s="19">
        <v>0.000120495487686684</v>
      </c>
      <c r="D699" s="17">
        <f t="shared" si="0"/>
        <v>0</v>
      </c>
      <c r="E699" s="18">
        <f t="shared" si="1"/>
        <v>0</v>
      </c>
      <c r="G699" s="16" t="s">
        <v>960</v>
      </c>
      <c r="H699" s="16">
        <v>308</v>
      </c>
      <c r="I699" s="19">
        <v>1.76625597774426e-5</v>
      </c>
    </row>
    <row r="700" ht="22.5" customHeight="1" spans="1:9">
      <c r="A700" s="16" t="s">
        <v>596</v>
      </c>
      <c r="B700" s="16">
        <v>0</v>
      </c>
      <c r="C700" s="19">
        <v>0.000120388807308033</v>
      </c>
      <c r="D700" s="17">
        <f t="shared" si="0"/>
        <v>0</v>
      </c>
      <c r="E700" s="18">
        <f t="shared" si="1"/>
        <v>0</v>
      </c>
      <c r="G700" s="16" t="s">
        <v>1042</v>
      </c>
      <c r="H700" s="16">
        <v>307</v>
      </c>
      <c r="I700" s="19">
        <v>1.76052138041392e-5</v>
      </c>
    </row>
    <row r="701" ht="22.5" customHeight="1" spans="1:9">
      <c r="A701" s="16" t="s">
        <v>597</v>
      </c>
      <c r="B701" s="16">
        <v>0</v>
      </c>
      <c r="C701" s="19">
        <v>0.000120015425982753</v>
      </c>
      <c r="D701" s="17">
        <f t="shared" si="0"/>
        <v>0</v>
      </c>
      <c r="E701" s="18">
        <f t="shared" si="1"/>
        <v>0</v>
      </c>
      <c r="G701" s="16" t="s">
        <v>1043</v>
      </c>
      <c r="H701" s="16">
        <v>306</v>
      </c>
      <c r="I701" s="19">
        <v>1.75478678308358e-5</v>
      </c>
    </row>
    <row r="702" ht="22.5" customHeight="1" spans="1:9">
      <c r="A702" s="16" t="s">
        <v>598</v>
      </c>
      <c r="B702" s="16">
        <v>0</v>
      </c>
      <c r="C702" s="19">
        <v>0.000119642044657473</v>
      </c>
      <c r="D702" s="17">
        <f t="shared" si="0"/>
        <v>0</v>
      </c>
      <c r="E702" s="18">
        <f t="shared" si="1"/>
        <v>0</v>
      </c>
      <c r="G702" s="16" t="s">
        <v>1044</v>
      </c>
      <c r="H702" s="16">
        <v>305</v>
      </c>
      <c r="I702" s="19">
        <v>1.74905218575324e-5</v>
      </c>
    </row>
    <row r="703" ht="22.5" customHeight="1" spans="1:9">
      <c r="A703" s="16" t="s">
        <v>602</v>
      </c>
      <c r="B703" s="16">
        <v>0</v>
      </c>
      <c r="C703" s="19">
        <v>0.00011697503519119</v>
      </c>
      <c r="D703" s="17">
        <f t="shared" si="0"/>
        <v>0</v>
      </c>
      <c r="E703" s="18">
        <f t="shared" si="1"/>
        <v>0</v>
      </c>
      <c r="G703" s="16" t="s">
        <v>1030</v>
      </c>
      <c r="H703" s="16">
        <v>305</v>
      </c>
      <c r="I703" s="19">
        <v>1.74905218575324e-5</v>
      </c>
    </row>
    <row r="704" ht="22.5" customHeight="1" spans="1:9">
      <c r="A704" s="16" t="s">
        <v>604</v>
      </c>
      <c r="B704" s="16">
        <v>0</v>
      </c>
      <c r="C704" s="19">
        <v>0.000114681407050186</v>
      </c>
      <c r="D704" s="17">
        <f t="shared" si="0"/>
        <v>0</v>
      </c>
      <c r="E704" s="18">
        <f t="shared" si="1"/>
        <v>0</v>
      </c>
      <c r="G704" s="16" t="s">
        <v>1045</v>
      </c>
      <c r="H704" s="16">
        <v>305</v>
      </c>
      <c r="I704" s="19">
        <v>1.74905218575324e-5</v>
      </c>
    </row>
    <row r="705" ht="22.5" customHeight="1" spans="1:9">
      <c r="A705" s="16" t="s">
        <v>606</v>
      </c>
      <c r="B705" s="16">
        <v>0</v>
      </c>
      <c r="C705" s="19">
        <v>0.000113881304210301</v>
      </c>
      <c r="D705" s="17">
        <f t="shared" si="0"/>
        <v>0</v>
      </c>
      <c r="E705" s="18">
        <f t="shared" si="1"/>
        <v>0</v>
      </c>
      <c r="G705" s="16" t="s">
        <v>1046</v>
      </c>
      <c r="H705" s="16">
        <v>304</v>
      </c>
      <c r="I705" s="19">
        <v>1.7433175884229e-5</v>
      </c>
    </row>
    <row r="706" ht="22.5" customHeight="1" spans="1:9">
      <c r="A706" s="16" t="s">
        <v>610</v>
      </c>
      <c r="B706" s="16">
        <v>0</v>
      </c>
      <c r="C706" s="19">
        <v>0.000112067737773228</v>
      </c>
      <c r="D706" s="17">
        <f t="shared" si="0"/>
        <v>0</v>
      </c>
      <c r="E706" s="18">
        <f t="shared" si="1"/>
        <v>0</v>
      </c>
      <c r="G706" s="16" t="s">
        <v>1048</v>
      </c>
      <c r="H706" s="16">
        <v>303</v>
      </c>
      <c r="I706" s="19">
        <v>1.73758299109256e-5</v>
      </c>
    </row>
    <row r="707" ht="22.5" customHeight="1" spans="1:9">
      <c r="A707" s="16" t="s">
        <v>616</v>
      </c>
      <c r="B707" s="16">
        <v>0</v>
      </c>
      <c r="C707" s="19">
        <v>0.000103586647670447</v>
      </c>
      <c r="D707" s="17">
        <f t="shared" si="0"/>
        <v>0</v>
      </c>
      <c r="E707" s="18">
        <f t="shared" si="1"/>
        <v>0</v>
      </c>
      <c r="G707" s="16" t="s">
        <v>1052</v>
      </c>
      <c r="H707" s="16">
        <v>300</v>
      </c>
      <c r="I707" s="19">
        <v>1.72037919910155e-5</v>
      </c>
    </row>
    <row r="708" ht="22.5" customHeight="1" spans="1:9">
      <c r="A708" s="16" t="s">
        <v>618</v>
      </c>
      <c r="B708" s="16">
        <v>0</v>
      </c>
      <c r="C708" s="19">
        <v>0.000103213266345168</v>
      </c>
      <c r="D708" s="17">
        <f t="shared" si="0"/>
        <v>0</v>
      </c>
      <c r="E708" s="18">
        <f t="shared" si="1"/>
        <v>0</v>
      </c>
      <c r="G708" s="16" t="s">
        <v>1471</v>
      </c>
      <c r="H708" s="16">
        <v>299</v>
      </c>
      <c r="I708" s="19">
        <v>1.71464460177121e-5</v>
      </c>
    </row>
    <row r="709" ht="22.5" customHeight="1" spans="1:9">
      <c r="A709" s="16" t="s">
        <v>622</v>
      </c>
      <c r="B709" s="16">
        <v>0</v>
      </c>
      <c r="C709" s="19">
        <v>0.000102733204641237</v>
      </c>
      <c r="D709" s="17">
        <f t="shared" si="0"/>
        <v>0</v>
      </c>
      <c r="E709" s="18">
        <f t="shared" si="1"/>
        <v>0</v>
      </c>
      <c r="G709" s="16" t="s">
        <v>1050</v>
      </c>
      <c r="H709" s="16">
        <v>295</v>
      </c>
      <c r="I709" s="19">
        <v>1.69170621244986e-5</v>
      </c>
    </row>
    <row r="710" ht="22.5" customHeight="1" spans="1:9">
      <c r="A710" s="16" t="s">
        <v>623</v>
      </c>
      <c r="B710" s="16">
        <v>0</v>
      </c>
      <c r="C710" s="19">
        <v>0.000101933101801352</v>
      </c>
      <c r="D710" s="17">
        <f t="shared" si="0"/>
        <v>0</v>
      </c>
      <c r="E710" s="18">
        <f t="shared" si="1"/>
        <v>0</v>
      </c>
      <c r="G710" s="16" t="s">
        <v>1054</v>
      </c>
      <c r="H710" s="16">
        <v>295</v>
      </c>
      <c r="I710" s="19">
        <v>1.69170621244986e-5</v>
      </c>
    </row>
    <row r="711" ht="22.5" customHeight="1" spans="1:9">
      <c r="A711" s="16" t="s">
        <v>628</v>
      </c>
      <c r="B711" s="16">
        <v>0</v>
      </c>
      <c r="C711" s="19">
        <v>9.71324847620414e-5</v>
      </c>
      <c r="D711" s="17">
        <f t="shared" si="0"/>
        <v>0</v>
      </c>
      <c r="E711" s="18">
        <f t="shared" si="1"/>
        <v>0</v>
      </c>
      <c r="G711" s="16" t="s">
        <v>997</v>
      </c>
      <c r="H711" s="16">
        <v>292</v>
      </c>
      <c r="I711" s="19">
        <v>1.67450242045884e-5</v>
      </c>
    </row>
    <row r="712" ht="22.5" customHeight="1" spans="1:9">
      <c r="A712" s="16" t="s">
        <v>631</v>
      </c>
      <c r="B712" s="16">
        <v>0</v>
      </c>
      <c r="C712" s="19">
        <v>9.67057632474361e-5</v>
      </c>
      <c r="D712" s="17">
        <f t="shared" si="0"/>
        <v>0</v>
      </c>
      <c r="E712" s="18">
        <f t="shared" si="1"/>
        <v>0</v>
      </c>
      <c r="G712" s="16" t="s">
        <v>1059</v>
      </c>
      <c r="H712" s="16">
        <v>290</v>
      </c>
      <c r="I712" s="19">
        <v>1.66303322579816e-5</v>
      </c>
    </row>
    <row r="713" ht="22.5" customHeight="1" spans="1:9">
      <c r="A713" s="16" t="s">
        <v>637</v>
      </c>
      <c r="B713" s="16">
        <v>0</v>
      </c>
      <c r="C713" s="19">
        <v>9.54789388929457e-5</v>
      </c>
      <c r="D713" s="17">
        <f t="shared" si="0"/>
        <v>0</v>
      </c>
      <c r="E713" s="18">
        <f t="shared" si="1"/>
        <v>0</v>
      </c>
      <c r="G713" s="16" t="s">
        <v>1053</v>
      </c>
      <c r="H713" s="16">
        <v>289</v>
      </c>
      <c r="I713" s="19">
        <v>1.65729862846783e-5</v>
      </c>
    </row>
    <row r="714" ht="22.5" customHeight="1" spans="1:9">
      <c r="A714" s="16" t="s">
        <v>639</v>
      </c>
      <c r="B714" s="16">
        <v>0</v>
      </c>
      <c r="C714" s="19">
        <v>9.5105557567666e-5</v>
      </c>
      <c r="D714" s="17">
        <f t="shared" si="0"/>
        <v>0</v>
      </c>
      <c r="E714" s="18">
        <f t="shared" si="1"/>
        <v>0</v>
      </c>
      <c r="G714" s="16" t="s">
        <v>1057</v>
      </c>
      <c r="H714" s="16">
        <v>289</v>
      </c>
      <c r="I714" s="19">
        <v>1.65729862846783e-5</v>
      </c>
    </row>
    <row r="715" ht="22.5" customHeight="1" spans="1:9">
      <c r="A715" s="16" t="s">
        <v>642</v>
      </c>
      <c r="B715" s="16">
        <v>0</v>
      </c>
      <c r="C715" s="19">
        <v>9.45188154850837e-5</v>
      </c>
      <c r="D715" s="17">
        <f t="shared" si="0"/>
        <v>0</v>
      </c>
      <c r="E715" s="18">
        <f t="shared" si="1"/>
        <v>0</v>
      </c>
      <c r="G715" s="16" t="s">
        <v>1061</v>
      </c>
      <c r="H715" s="16">
        <v>286</v>
      </c>
      <c r="I715" s="19">
        <v>1.64009483647681e-5</v>
      </c>
    </row>
    <row r="716" ht="22.5" customHeight="1" spans="1:9">
      <c r="A716" s="16" t="s">
        <v>650</v>
      </c>
      <c r="B716" s="16">
        <v>0</v>
      </c>
      <c r="C716" s="19">
        <v>9.3985413591827e-5</v>
      </c>
      <c r="D716" s="17">
        <f t="shared" si="0"/>
        <v>0</v>
      </c>
      <c r="E716" s="18">
        <f t="shared" si="1"/>
        <v>0</v>
      </c>
      <c r="G716" s="16" t="s">
        <v>1063</v>
      </c>
      <c r="H716" s="16">
        <v>286</v>
      </c>
      <c r="I716" s="19">
        <v>1.64009483647681e-5</v>
      </c>
    </row>
    <row r="717" ht="22.5" customHeight="1" spans="1:9">
      <c r="A717" s="16" t="s">
        <v>652</v>
      </c>
      <c r="B717" s="16">
        <v>0</v>
      </c>
      <c r="C717" s="19">
        <v>9.32919911305933e-5</v>
      </c>
      <c r="D717" s="17">
        <f t="shared" si="0"/>
        <v>0</v>
      </c>
      <c r="E717" s="18">
        <f t="shared" si="1"/>
        <v>0</v>
      </c>
      <c r="G717" s="16" t="s">
        <v>1444</v>
      </c>
      <c r="H717" s="16">
        <v>283</v>
      </c>
      <c r="I717" s="19">
        <v>1.62289104448579e-5</v>
      </c>
    </row>
    <row r="718" ht="22.5" customHeight="1" spans="1:9">
      <c r="A718" s="16" t="s">
        <v>656</v>
      </c>
      <c r="B718" s="16">
        <v>0</v>
      </c>
      <c r="C718" s="19">
        <v>8.98782190137506e-5</v>
      </c>
      <c r="D718" s="17">
        <f t="shared" si="0"/>
        <v>0</v>
      </c>
      <c r="E718" s="18">
        <f t="shared" si="1"/>
        <v>0</v>
      </c>
      <c r="G718" s="16" t="s">
        <v>1064</v>
      </c>
      <c r="H718" s="16">
        <v>282</v>
      </c>
      <c r="I718" s="19">
        <v>1.61715644715546e-5</v>
      </c>
    </row>
    <row r="719" ht="22.5" customHeight="1" spans="1:9">
      <c r="A719" s="16" t="s">
        <v>657</v>
      </c>
      <c r="B719" s="16">
        <v>0</v>
      </c>
      <c r="C719" s="19">
        <v>8.97715386350992e-5</v>
      </c>
      <c r="D719" s="17">
        <f t="shared" si="0"/>
        <v>0</v>
      </c>
      <c r="E719" s="18">
        <f t="shared" si="1"/>
        <v>0</v>
      </c>
      <c r="G719" s="16" t="s">
        <v>1068</v>
      </c>
      <c r="H719" s="16">
        <v>281</v>
      </c>
      <c r="I719" s="19">
        <v>1.61142184982512e-5</v>
      </c>
    </row>
    <row r="720" ht="22.5" customHeight="1" spans="1:9">
      <c r="A720" s="16" t="s">
        <v>1473</v>
      </c>
      <c r="B720" s="16">
        <v>0</v>
      </c>
      <c r="C720" s="19">
        <v>8.72112095474672e-5</v>
      </c>
      <c r="D720" s="17">
        <f t="shared" si="0"/>
        <v>0</v>
      </c>
      <c r="E720" s="18">
        <f t="shared" si="1"/>
        <v>0</v>
      </c>
      <c r="G720" s="16" t="s">
        <v>1072</v>
      </c>
      <c r="H720" s="16">
        <v>278</v>
      </c>
      <c r="I720" s="19">
        <v>1.5942180578341e-5</v>
      </c>
    </row>
    <row r="721" ht="22.5" customHeight="1" spans="1:9">
      <c r="A721" s="16" t="s">
        <v>663</v>
      </c>
      <c r="B721" s="16">
        <v>0</v>
      </c>
      <c r="C721" s="19">
        <v>8.54509832997201e-5</v>
      </c>
      <c r="D721" s="17">
        <f t="shared" si="0"/>
        <v>0</v>
      </c>
      <c r="E721" s="18">
        <f t="shared" si="1"/>
        <v>0</v>
      </c>
      <c r="G721" s="16" t="s">
        <v>872</v>
      </c>
      <c r="H721" s="16">
        <v>278</v>
      </c>
      <c r="I721" s="19">
        <v>1.5942180578341e-5</v>
      </c>
    </row>
    <row r="722" ht="22.5" customHeight="1" spans="1:9">
      <c r="A722" s="16" t="s">
        <v>664</v>
      </c>
      <c r="B722" s="16">
        <v>0</v>
      </c>
      <c r="C722" s="19">
        <v>8.49709215957891e-5</v>
      </c>
      <c r="D722" s="17">
        <f t="shared" si="0"/>
        <v>0</v>
      </c>
      <c r="E722" s="18">
        <f t="shared" si="1"/>
        <v>0</v>
      </c>
      <c r="G722" s="16" t="s">
        <v>1073</v>
      </c>
      <c r="H722" s="16">
        <v>277</v>
      </c>
      <c r="I722" s="19">
        <v>1.58848346050376e-5</v>
      </c>
    </row>
    <row r="723" ht="22.5" customHeight="1" spans="1:9">
      <c r="A723" s="16" t="s">
        <v>665</v>
      </c>
      <c r="B723" s="16">
        <v>0</v>
      </c>
      <c r="C723" s="19">
        <v>8.48642412171378e-5</v>
      </c>
      <c r="D723" s="17">
        <f t="shared" si="0"/>
        <v>0</v>
      </c>
      <c r="E723" s="18">
        <f t="shared" si="1"/>
        <v>0</v>
      </c>
      <c r="G723" s="16" t="s">
        <v>1067</v>
      </c>
      <c r="H723" s="16">
        <v>276</v>
      </c>
      <c r="I723" s="19">
        <v>1.58274886317343e-5</v>
      </c>
    </row>
    <row r="724" ht="22.5" customHeight="1" spans="1:9">
      <c r="A724" s="16" t="s">
        <v>670</v>
      </c>
      <c r="B724" s="16">
        <v>0</v>
      </c>
      <c r="C724" s="19">
        <v>8.32106953480421e-5</v>
      </c>
      <c r="D724" s="17">
        <f t="shared" si="0"/>
        <v>0</v>
      </c>
      <c r="E724" s="18">
        <f t="shared" si="1"/>
        <v>0</v>
      </c>
      <c r="G724" s="16" t="s">
        <v>1069</v>
      </c>
      <c r="H724" s="16">
        <v>274</v>
      </c>
      <c r="I724" s="19">
        <v>1.57127966851275e-5</v>
      </c>
    </row>
    <row r="725" ht="22.5" customHeight="1" spans="1:9">
      <c r="A725" s="16" t="s">
        <v>671</v>
      </c>
      <c r="B725" s="16">
        <v>0</v>
      </c>
      <c r="C725" s="19">
        <v>8.2090551372203e-5</v>
      </c>
      <c r="D725" s="17">
        <f t="shared" si="0"/>
        <v>0</v>
      </c>
      <c r="E725" s="18">
        <f t="shared" si="1"/>
        <v>0</v>
      </c>
      <c r="G725" s="16" t="s">
        <v>1075</v>
      </c>
      <c r="H725" s="16">
        <v>273</v>
      </c>
      <c r="I725" s="19">
        <v>1.56554507118241e-5</v>
      </c>
    </row>
    <row r="726" ht="22.5" customHeight="1" spans="1:9">
      <c r="A726" s="16" t="s">
        <v>673</v>
      </c>
      <c r="B726" s="16">
        <v>0</v>
      </c>
      <c r="C726" s="19">
        <v>8.1770510236249e-5</v>
      </c>
      <c r="D726" s="17">
        <f t="shared" si="0"/>
        <v>0</v>
      </c>
      <c r="E726" s="18">
        <f t="shared" si="1"/>
        <v>0</v>
      </c>
      <c r="G726" s="16" t="s">
        <v>1074</v>
      </c>
      <c r="H726" s="16">
        <v>272</v>
      </c>
      <c r="I726" s="19">
        <v>1.55981047385207e-5</v>
      </c>
    </row>
    <row r="727" ht="22.5" customHeight="1" spans="1:9">
      <c r="A727" s="16" t="s">
        <v>674</v>
      </c>
      <c r="B727" s="16">
        <v>0</v>
      </c>
      <c r="C727" s="19">
        <v>8.1130427964341e-5</v>
      </c>
      <c r="D727" s="17">
        <f t="shared" si="0"/>
        <v>0</v>
      </c>
      <c r="E727" s="18">
        <f t="shared" si="1"/>
        <v>0</v>
      </c>
      <c r="G727" s="16" t="s">
        <v>1071</v>
      </c>
      <c r="H727" s="16">
        <v>270</v>
      </c>
      <c r="I727" s="19">
        <v>1.54834127919139e-5</v>
      </c>
    </row>
    <row r="728" ht="22.5" customHeight="1" spans="1:9">
      <c r="A728" s="16" t="s">
        <v>675</v>
      </c>
      <c r="B728" s="16">
        <v>0</v>
      </c>
      <c r="C728" s="19">
        <v>8.10770877750153e-5</v>
      </c>
      <c r="D728" s="17">
        <f t="shared" si="0"/>
        <v>0</v>
      </c>
      <c r="E728" s="18">
        <f t="shared" si="1"/>
        <v>0</v>
      </c>
      <c r="G728" s="16" t="s">
        <v>940</v>
      </c>
      <c r="H728" s="16">
        <v>267</v>
      </c>
      <c r="I728" s="19">
        <v>1.53113748720038e-5</v>
      </c>
    </row>
    <row r="729" ht="22.5" customHeight="1" spans="1:9">
      <c r="A729" s="16" t="s">
        <v>676</v>
      </c>
      <c r="B729" s="16">
        <v>0</v>
      </c>
      <c r="C729" s="19">
        <v>8.10770877750153e-5</v>
      </c>
      <c r="D729" s="17">
        <f t="shared" si="0"/>
        <v>0</v>
      </c>
      <c r="E729" s="18">
        <f t="shared" si="1"/>
        <v>0</v>
      </c>
      <c r="G729" s="16" t="s">
        <v>1079</v>
      </c>
      <c r="H729" s="16">
        <v>264</v>
      </c>
      <c r="I729" s="19">
        <v>1.51393369520936e-5</v>
      </c>
    </row>
    <row r="730" ht="22.5" customHeight="1" spans="1:9">
      <c r="A730" s="16" t="s">
        <v>677</v>
      </c>
      <c r="B730" s="16">
        <v>0</v>
      </c>
      <c r="C730" s="19">
        <v>7.94768820952453e-5</v>
      </c>
      <c r="D730" s="17">
        <f t="shared" si="0"/>
        <v>0</v>
      </c>
      <c r="E730" s="18">
        <f t="shared" si="1"/>
        <v>0</v>
      </c>
      <c r="G730" s="16" t="s">
        <v>1083</v>
      </c>
      <c r="H730" s="16">
        <v>258</v>
      </c>
      <c r="I730" s="19">
        <v>1.47952611122733e-5</v>
      </c>
    </row>
    <row r="731" ht="22.5" customHeight="1" spans="1:9">
      <c r="A731" s="16" t="s">
        <v>679</v>
      </c>
      <c r="B731" s="16">
        <v>0</v>
      </c>
      <c r="C731" s="19">
        <v>7.78766764154753e-5</v>
      </c>
      <c r="D731" s="17">
        <f t="shared" si="0"/>
        <v>0</v>
      </c>
      <c r="E731" s="18">
        <f t="shared" si="1"/>
        <v>0</v>
      </c>
      <c r="G731" s="16" t="s">
        <v>1084</v>
      </c>
      <c r="H731" s="16">
        <v>257</v>
      </c>
      <c r="I731" s="19">
        <v>1.47379151389699e-5</v>
      </c>
    </row>
    <row r="732" ht="22.5" customHeight="1" spans="1:9">
      <c r="A732" s="16" t="s">
        <v>690</v>
      </c>
      <c r="B732" s="16">
        <v>0</v>
      </c>
      <c r="C732" s="19">
        <v>7.52630071385175e-5</v>
      </c>
      <c r="D732" s="17">
        <f t="shared" si="0"/>
        <v>0</v>
      </c>
      <c r="E732" s="18">
        <f t="shared" si="1"/>
        <v>0</v>
      </c>
      <c r="G732" s="16" t="s">
        <v>1085</v>
      </c>
      <c r="H732" s="16">
        <v>257</v>
      </c>
      <c r="I732" s="19">
        <v>1.47379151389699e-5</v>
      </c>
    </row>
    <row r="733" ht="22.5" customHeight="1" spans="1:9">
      <c r="A733" s="16" t="s">
        <v>693</v>
      </c>
      <c r="B733" s="16">
        <v>0</v>
      </c>
      <c r="C733" s="19">
        <v>7.44629042986325e-5</v>
      </c>
      <c r="D733" s="17">
        <f t="shared" si="0"/>
        <v>0</v>
      </c>
      <c r="E733" s="18">
        <f t="shared" si="1"/>
        <v>0</v>
      </c>
      <c r="G733" s="16" t="s">
        <v>1082</v>
      </c>
      <c r="H733" s="16">
        <v>256</v>
      </c>
      <c r="I733" s="19">
        <v>1.46805691656666e-5</v>
      </c>
    </row>
    <row r="734" ht="22.5" customHeight="1" spans="1:9">
      <c r="A734" s="16" t="s">
        <v>704</v>
      </c>
      <c r="B734" s="16">
        <v>0</v>
      </c>
      <c r="C734" s="19">
        <v>7.16358742643721e-5</v>
      </c>
      <c r="D734" s="17">
        <f t="shared" si="0"/>
        <v>0</v>
      </c>
      <c r="E734" s="18">
        <f t="shared" si="1"/>
        <v>0</v>
      </c>
      <c r="G734" s="16" t="s">
        <v>1088</v>
      </c>
      <c r="H734" s="16">
        <v>256</v>
      </c>
      <c r="I734" s="19">
        <v>1.46805691656666e-5</v>
      </c>
    </row>
    <row r="735" ht="22.5" customHeight="1" spans="1:9">
      <c r="A735" s="16" t="s">
        <v>714</v>
      </c>
      <c r="B735" s="16">
        <v>0</v>
      </c>
      <c r="C735" s="19">
        <v>6.8595483472809e-5</v>
      </c>
      <c r="D735" s="17">
        <f t="shared" si="0"/>
        <v>0</v>
      </c>
      <c r="E735" s="18">
        <f t="shared" si="1"/>
        <v>0</v>
      </c>
      <c r="G735" s="16" t="s">
        <v>1086</v>
      </c>
      <c r="H735" s="16">
        <v>253</v>
      </c>
      <c r="I735" s="19">
        <v>1.45085312457564e-5</v>
      </c>
    </row>
    <row r="736" ht="22.5" customHeight="1" spans="1:9">
      <c r="A736" s="16" t="s">
        <v>715</v>
      </c>
      <c r="B736" s="16">
        <v>0</v>
      </c>
      <c r="C736" s="19">
        <v>6.8115421768878e-5</v>
      </c>
      <c r="D736" s="17">
        <f t="shared" si="0"/>
        <v>0</v>
      </c>
      <c r="E736" s="18">
        <f t="shared" si="1"/>
        <v>0</v>
      </c>
      <c r="G736" s="16" t="s">
        <v>1087</v>
      </c>
      <c r="H736" s="16">
        <v>253</v>
      </c>
      <c r="I736" s="19">
        <v>1.45085312457564e-5</v>
      </c>
    </row>
    <row r="737" ht="22.5" customHeight="1" spans="1:9">
      <c r="A737" s="16" t="s">
        <v>891</v>
      </c>
      <c r="B737" s="16">
        <v>0</v>
      </c>
      <c r="C737" s="19">
        <v>6.75286796862957e-5</v>
      </c>
      <c r="D737" s="17">
        <f t="shared" si="0"/>
        <v>0</v>
      </c>
      <c r="E737" s="18">
        <f t="shared" si="1"/>
        <v>0</v>
      </c>
      <c r="G737" s="16" t="s">
        <v>1093</v>
      </c>
      <c r="H737" s="16">
        <v>251</v>
      </c>
      <c r="I737" s="19">
        <v>1.43938392991496e-5</v>
      </c>
    </row>
    <row r="738" ht="22.5" customHeight="1" spans="1:9">
      <c r="A738" s="16" t="s">
        <v>720</v>
      </c>
      <c r="B738" s="16">
        <v>0</v>
      </c>
      <c r="C738" s="19">
        <v>6.6995277793039e-5</v>
      </c>
      <c r="D738" s="17">
        <f t="shared" si="0"/>
        <v>0</v>
      </c>
      <c r="E738" s="18">
        <f t="shared" si="1"/>
        <v>0</v>
      </c>
      <c r="G738" s="16" t="s">
        <v>1094</v>
      </c>
      <c r="H738" s="16">
        <v>250</v>
      </c>
      <c r="I738" s="19">
        <v>1.43364933258462e-5</v>
      </c>
    </row>
    <row r="739" ht="22.5" customHeight="1" spans="1:9">
      <c r="A739" s="16" t="s">
        <v>723</v>
      </c>
      <c r="B739" s="16">
        <v>0</v>
      </c>
      <c r="C739" s="19">
        <v>6.6675236657085e-5</v>
      </c>
      <c r="D739" s="17">
        <f t="shared" si="0"/>
        <v>0</v>
      </c>
      <c r="E739" s="18">
        <f t="shared" si="1"/>
        <v>0</v>
      </c>
      <c r="G739" s="16" t="s">
        <v>1047</v>
      </c>
      <c r="H739" s="16">
        <v>248</v>
      </c>
      <c r="I739" s="19">
        <v>1.42218013792395e-5</v>
      </c>
    </row>
    <row r="740" ht="22.5" customHeight="1" spans="1:9">
      <c r="A740" s="16" t="s">
        <v>727</v>
      </c>
      <c r="B740" s="16">
        <v>0</v>
      </c>
      <c r="C740" s="19">
        <v>6.63018553318053e-5</v>
      </c>
      <c r="D740" s="17">
        <f t="shared" si="0"/>
        <v>0</v>
      </c>
      <c r="E740" s="18">
        <f t="shared" si="1"/>
        <v>0</v>
      </c>
      <c r="G740" s="16" t="s">
        <v>1081</v>
      </c>
      <c r="H740" s="16">
        <v>245</v>
      </c>
      <c r="I740" s="19">
        <v>1.40497634593293e-5</v>
      </c>
    </row>
    <row r="741" ht="22.5" customHeight="1" spans="1:9">
      <c r="A741" s="16" t="s">
        <v>730</v>
      </c>
      <c r="B741" s="16">
        <v>0</v>
      </c>
      <c r="C741" s="19">
        <v>6.54484123025946e-5</v>
      </c>
      <c r="D741" s="17">
        <f t="shared" si="0"/>
        <v>0</v>
      </c>
      <c r="E741" s="18">
        <f t="shared" si="1"/>
        <v>0</v>
      </c>
      <c r="G741" s="16" t="s">
        <v>1096</v>
      </c>
      <c r="H741" s="16">
        <v>245</v>
      </c>
      <c r="I741" s="19">
        <v>1.40497634593293e-5</v>
      </c>
    </row>
    <row r="742" ht="22.5" customHeight="1" spans="1:9">
      <c r="A742" s="16" t="s">
        <v>736</v>
      </c>
      <c r="B742" s="16">
        <v>0</v>
      </c>
      <c r="C742" s="19">
        <v>6.44349487054069e-5</v>
      </c>
      <c r="D742" s="17">
        <f t="shared" si="0"/>
        <v>0</v>
      </c>
      <c r="E742" s="18">
        <f t="shared" si="1"/>
        <v>0</v>
      </c>
      <c r="G742" s="16" t="s">
        <v>1099</v>
      </c>
      <c r="H742" s="16">
        <v>244</v>
      </c>
      <c r="I742" s="19">
        <v>1.39924174860259e-5</v>
      </c>
    </row>
    <row r="743" ht="22.5" customHeight="1" spans="1:9">
      <c r="A743" s="16" t="s">
        <v>742</v>
      </c>
      <c r="B743" s="16">
        <v>0</v>
      </c>
      <c r="C743" s="19">
        <v>6.23013411323802e-5</v>
      </c>
      <c r="D743" s="17">
        <f t="shared" si="0"/>
        <v>0</v>
      </c>
      <c r="E743" s="18">
        <f t="shared" si="1"/>
        <v>0</v>
      </c>
      <c r="G743" s="16" t="s">
        <v>1049</v>
      </c>
      <c r="H743" s="16">
        <v>242</v>
      </c>
      <c r="I743" s="19">
        <v>1.38777255394192e-5</v>
      </c>
    </row>
    <row r="744" ht="22.5" customHeight="1" spans="1:9">
      <c r="A744" s="16" t="s">
        <v>748</v>
      </c>
      <c r="B744" s="16">
        <v>0</v>
      </c>
      <c r="C744" s="19">
        <v>6.11811971565412e-5</v>
      </c>
      <c r="D744" s="17">
        <f t="shared" si="0"/>
        <v>0</v>
      </c>
      <c r="E744" s="18">
        <f t="shared" si="1"/>
        <v>0</v>
      </c>
      <c r="G744" s="16" t="s">
        <v>1078</v>
      </c>
      <c r="H744" s="16">
        <v>241</v>
      </c>
      <c r="I744" s="19">
        <v>1.38203795661158e-5</v>
      </c>
    </row>
    <row r="745" ht="22.5" customHeight="1" spans="1:9">
      <c r="A745" s="16" t="s">
        <v>753</v>
      </c>
      <c r="B745" s="16">
        <v>0</v>
      </c>
      <c r="C745" s="19">
        <v>6.02210737486792e-5</v>
      </c>
      <c r="D745" s="17">
        <f t="shared" si="0"/>
        <v>0</v>
      </c>
      <c r="E745" s="18">
        <f t="shared" si="1"/>
        <v>0</v>
      </c>
      <c r="G745" s="16" t="s">
        <v>1066</v>
      </c>
      <c r="H745" s="16">
        <v>240</v>
      </c>
      <c r="I745" s="19">
        <v>1.37630335928124e-5</v>
      </c>
    </row>
    <row r="746" ht="22.5" customHeight="1" spans="1:9">
      <c r="A746" s="16" t="s">
        <v>756</v>
      </c>
      <c r="B746" s="16">
        <v>0</v>
      </c>
      <c r="C746" s="19">
        <v>5.96343316660968e-5</v>
      </c>
      <c r="D746" s="17">
        <f t="shared" si="0"/>
        <v>0</v>
      </c>
      <c r="E746" s="18">
        <f t="shared" si="1"/>
        <v>0</v>
      </c>
      <c r="G746" s="16" t="s">
        <v>1090</v>
      </c>
      <c r="H746" s="16">
        <v>240</v>
      </c>
      <c r="I746" s="19">
        <v>1.37630335928124e-5</v>
      </c>
    </row>
    <row r="747" ht="22.5" customHeight="1" spans="1:9">
      <c r="A747" s="16" t="s">
        <v>760</v>
      </c>
      <c r="B747" s="16">
        <v>0</v>
      </c>
      <c r="C747" s="19">
        <v>5.86208680689091e-5</v>
      </c>
      <c r="D747" s="17">
        <f t="shared" si="0"/>
        <v>0</v>
      </c>
      <c r="E747" s="18">
        <f t="shared" si="1"/>
        <v>0</v>
      </c>
      <c r="G747" s="16" t="s">
        <v>1065</v>
      </c>
      <c r="H747" s="16">
        <v>238</v>
      </c>
      <c r="I747" s="19">
        <v>1.36483416462056e-5</v>
      </c>
    </row>
    <row r="748" ht="22.5" customHeight="1" spans="1:9">
      <c r="A748" s="16" t="s">
        <v>761</v>
      </c>
      <c r="B748" s="16">
        <v>0</v>
      </c>
      <c r="C748" s="19">
        <v>5.85141876902578e-5</v>
      </c>
      <c r="D748" s="17">
        <f t="shared" si="0"/>
        <v>0</v>
      </c>
      <c r="E748" s="18">
        <f t="shared" si="1"/>
        <v>0</v>
      </c>
      <c r="G748" s="16" t="s">
        <v>1102</v>
      </c>
      <c r="H748" s="16">
        <v>236</v>
      </c>
      <c r="I748" s="19">
        <v>1.35336496995989e-5</v>
      </c>
    </row>
    <row r="749" ht="22.5" customHeight="1" spans="1:9">
      <c r="A749" s="16" t="s">
        <v>763</v>
      </c>
      <c r="B749" s="16">
        <v>0</v>
      </c>
      <c r="C749" s="19">
        <v>5.81941465543038e-5</v>
      </c>
      <c r="D749" s="17">
        <f t="shared" si="0"/>
        <v>0</v>
      </c>
      <c r="E749" s="18">
        <f t="shared" si="1"/>
        <v>0</v>
      </c>
      <c r="G749" s="16" t="s">
        <v>1089</v>
      </c>
      <c r="H749" s="16">
        <v>235</v>
      </c>
      <c r="I749" s="19">
        <v>1.34763037262955e-5</v>
      </c>
    </row>
    <row r="750" ht="22.5" customHeight="1" spans="1:9">
      <c r="A750" s="16" t="s">
        <v>769</v>
      </c>
      <c r="B750" s="16">
        <v>0</v>
      </c>
      <c r="C750" s="19">
        <v>5.67006212531851e-5</v>
      </c>
      <c r="D750" s="17">
        <f t="shared" si="0"/>
        <v>0</v>
      </c>
      <c r="E750" s="18">
        <f t="shared" si="1"/>
        <v>0</v>
      </c>
      <c r="G750" s="16" t="s">
        <v>1103</v>
      </c>
      <c r="H750" s="16">
        <v>235</v>
      </c>
      <c r="I750" s="19">
        <v>1.34763037262955e-5</v>
      </c>
    </row>
    <row r="751" ht="22.5" customHeight="1" spans="1:9">
      <c r="A751" s="16" t="s">
        <v>770</v>
      </c>
      <c r="B751" s="16">
        <v>0</v>
      </c>
      <c r="C751" s="19">
        <v>5.62205595492541e-5</v>
      </c>
      <c r="D751" s="17">
        <f t="shared" si="0"/>
        <v>0</v>
      </c>
      <c r="E751" s="18">
        <f t="shared" si="1"/>
        <v>0</v>
      </c>
      <c r="G751" s="16" t="s">
        <v>853</v>
      </c>
      <c r="H751" s="16">
        <v>235</v>
      </c>
      <c r="I751" s="19">
        <v>1.34763037262955e-5</v>
      </c>
    </row>
    <row r="752" ht="22.5" customHeight="1" spans="1:9">
      <c r="A752" s="16" t="s">
        <v>1475</v>
      </c>
      <c r="B752" s="16">
        <v>0</v>
      </c>
      <c r="C752" s="19">
        <v>5.59538586026257e-5</v>
      </c>
      <c r="D752" s="17">
        <f t="shared" si="0"/>
        <v>0</v>
      </c>
      <c r="E752" s="18">
        <f t="shared" si="1"/>
        <v>0</v>
      </c>
      <c r="G752" s="16" t="s">
        <v>1105</v>
      </c>
      <c r="H752" s="16">
        <v>234</v>
      </c>
      <c r="I752" s="19">
        <v>1.34189577529921e-5</v>
      </c>
    </row>
    <row r="753" ht="22.5" customHeight="1" spans="1:9">
      <c r="A753" s="16" t="s">
        <v>745</v>
      </c>
      <c r="B753" s="16">
        <v>0</v>
      </c>
      <c r="C753" s="19">
        <v>5.44069931121814e-5</v>
      </c>
      <c r="D753" s="17">
        <f t="shared" si="0"/>
        <v>0</v>
      </c>
      <c r="E753" s="18">
        <f t="shared" si="1"/>
        <v>0</v>
      </c>
      <c r="G753" s="16" t="s">
        <v>1108</v>
      </c>
      <c r="H753" s="16">
        <v>233</v>
      </c>
      <c r="I753" s="19">
        <v>1.33616117796887e-5</v>
      </c>
    </row>
    <row r="754" ht="22.5" customHeight="1" spans="1:9">
      <c r="A754" s="16" t="s">
        <v>777</v>
      </c>
      <c r="B754" s="16">
        <v>0</v>
      </c>
      <c r="C754" s="19">
        <v>5.3660230461622e-5</v>
      </c>
      <c r="D754" s="17">
        <f t="shared" si="0"/>
        <v>0</v>
      </c>
      <c r="E754" s="18">
        <f t="shared" si="1"/>
        <v>0</v>
      </c>
      <c r="G754" s="16" t="s">
        <v>1109</v>
      </c>
      <c r="H754" s="16">
        <v>233</v>
      </c>
      <c r="I754" s="19">
        <v>1.33616117796887e-5</v>
      </c>
    </row>
    <row r="755" ht="22.5" customHeight="1" spans="1:9">
      <c r="A755" s="16" t="s">
        <v>784</v>
      </c>
      <c r="B755" s="16">
        <v>0</v>
      </c>
      <c r="C755" s="19">
        <v>5.26467668644343e-5</v>
      </c>
      <c r="D755" s="17">
        <f t="shared" si="0"/>
        <v>0</v>
      </c>
      <c r="E755" s="18">
        <f t="shared" si="1"/>
        <v>0</v>
      </c>
      <c r="G755" s="16" t="s">
        <v>1106</v>
      </c>
      <c r="H755" s="16">
        <v>231</v>
      </c>
      <c r="I755" s="19">
        <v>1.32469198330819e-5</v>
      </c>
    </row>
    <row r="756" ht="22.5" customHeight="1" spans="1:9">
      <c r="A756" s="16" t="s">
        <v>788</v>
      </c>
      <c r="B756" s="16">
        <v>0</v>
      </c>
      <c r="C756" s="19">
        <v>5.18466640245493e-5</v>
      </c>
      <c r="D756" s="17">
        <f t="shared" si="0"/>
        <v>0</v>
      </c>
      <c r="E756" s="18">
        <f t="shared" si="1"/>
        <v>0</v>
      </c>
      <c r="G756" s="16" t="s">
        <v>1104</v>
      </c>
      <c r="H756" s="16">
        <v>229</v>
      </c>
      <c r="I756" s="19">
        <v>1.31322278864752e-5</v>
      </c>
    </row>
    <row r="757" ht="22.5" customHeight="1" spans="1:9">
      <c r="A757" s="16" t="s">
        <v>793</v>
      </c>
      <c r="B757" s="16">
        <v>0</v>
      </c>
      <c r="C757" s="19">
        <v>5.13666023206183e-5</v>
      </c>
      <c r="D757" s="17">
        <f t="shared" si="0"/>
        <v>0</v>
      </c>
      <c r="E757" s="18">
        <f t="shared" si="1"/>
        <v>0</v>
      </c>
      <c r="G757" s="16" t="s">
        <v>807</v>
      </c>
      <c r="H757" s="16">
        <v>228</v>
      </c>
      <c r="I757" s="19">
        <v>1.30748819131718e-5</v>
      </c>
    </row>
    <row r="758" ht="22.5" customHeight="1" spans="1:9">
      <c r="A758" s="16" t="s">
        <v>794</v>
      </c>
      <c r="B758" s="16">
        <v>0</v>
      </c>
      <c r="C758" s="19">
        <v>5.12599219419669e-5</v>
      </c>
      <c r="D758" s="17">
        <f t="shared" si="0"/>
        <v>0</v>
      </c>
      <c r="E758" s="18">
        <f t="shared" si="1"/>
        <v>0</v>
      </c>
      <c r="G758" s="16" t="s">
        <v>1113</v>
      </c>
      <c r="H758" s="16">
        <v>227</v>
      </c>
      <c r="I758" s="19">
        <v>1.30175359398684e-5</v>
      </c>
    </row>
    <row r="759" ht="22.5" customHeight="1" spans="1:9">
      <c r="A759" s="16" t="s">
        <v>797</v>
      </c>
      <c r="B759" s="16">
        <v>0</v>
      </c>
      <c r="C759" s="19">
        <v>5.05664994807333e-5</v>
      </c>
      <c r="D759" s="17">
        <f t="shared" si="0"/>
        <v>0</v>
      </c>
      <c r="E759" s="18">
        <f t="shared" si="1"/>
        <v>0</v>
      </c>
      <c r="G759" s="16" t="s">
        <v>1097</v>
      </c>
      <c r="H759" s="16">
        <v>227</v>
      </c>
      <c r="I759" s="19">
        <v>1.30175359398684e-5</v>
      </c>
    </row>
    <row r="760" ht="22.5" customHeight="1" spans="1:9">
      <c r="A760" s="16" t="s">
        <v>801</v>
      </c>
      <c r="B760" s="16">
        <v>0</v>
      </c>
      <c r="C760" s="19">
        <v>4.98730770194996e-5</v>
      </c>
      <c r="D760" s="17">
        <f t="shared" si="0"/>
        <v>0</v>
      </c>
      <c r="E760" s="18">
        <f t="shared" si="1"/>
        <v>0</v>
      </c>
      <c r="G760" s="16" t="s">
        <v>1458</v>
      </c>
      <c r="H760" s="16">
        <v>225</v>
      </c>
      <c r="I760" s="19">
        <v>1.29028439932616e-5</v>
      </c>
    </row>
    <row r="761" ht="22.5" customHeight="1" spans="1:9">
      <c r="A761" s="16" t="s">
        <v>804</v>
      </c>
      <c r="B761" s="16">
        <v>0</v>
      </c>
      <c r="C761" s="19">
        <v>4.96063760728712e-5</v>
      </c>
      <c r="D761" s="17">
        <f t="shared" si="0"/>
        <v>0</v>
      </c>
      <c r="E761" s="18">
        <f t="shared" si="1"/>
        <v>0</v>
      </c>
      <c r="G761" s="16" t="s">
        <v>1114</v>
      </c>
      <c r="H761" s="16">
        <v>224</v>
      </c>
      <c r="I761" s="19">
        <v>1.28454980199582e-5</v>
      </c>
    </row>
    <row r="762" ht="22.5" customHeight="1" spans="1:9">
      <c r="A762" s="16" t="s">
        <v>808</v>
      </c>
      <c r="B762" s="16">
        <v>0</v>
      </c>
      <c r="C762" s="19">
        <v>4.88596134223119e-5</v>
      </c>
      <c r="D762" s="17">
        <f t="shared" si="0"/>
        <v>0</v>
      </c>
      <c r="E762" s="18">
        <f t="shared" si="1"/>
        <v>0</v>
      </c>
      <c r="G762" s="16" t="s">
        <v>1115</v>
      </c>
      <c r="H762" s="16">
        <v>224</v>
      </c>
      <c r="I762" s="19">
        <v>1.28454980199582e-5</v>
      </c>
    </row>
    <row r="763" ht="22.5" customHeight="1" spans="1:9">
      <c r="A763" s="16" t="s">
        <v>818</v>
      </c>
      <c r="B763" s="16">
        <v>0</v>
      </c>
      <c r="C763" s="19">
        <v>4.74194283105188e-5</v>
      </c>
      <c r="D763" s="17">
        <f t="shared" si="0"/>
        <v>0</v>
      </c>
      <c r="E763" s="18">
        <f t="shared" si="1"/>
        <v>0</v>
      </c>
      <c r="G763" s="16" t="s">
        <v>1116</v>
      </c>
      <c r="H763" s="16">
        <v>223</v>
      </c>
      <c r="I763" s="19">
        <v>1.27881520466548e-5</v>
      </c>
    </row>
    <row r="764" ht="22.5" customHeight="1" spans="1:9">
      <c r="A764" s="16" t="s">
        <v>824</v>
      </c>
      <c r="B764" s="16">
        <v>0</v>
      </c>
      <c r="C764" s="19">
        <v>4.61392637667028e-5</v>
      </c>
      <c r="D764" s="17">
        <f t="shared" si="0"/>
        <v>0</v>
      </c>
      <c r="E764" s="18">
        <f t="shared" si="1"/>
        <v>0</v>
      </c>
      <c r="G764" s="16" t="s">
        <v>1112</v>
      </c>
      <c r="H764" s="16">
        <v>222</v>
      </c>
      <c r="I764" s="19">
        <v>1.27308060733515e-5</v>
      </c>
    </row>
    <row r="765" ht="22.5" customHeight="1" spans="1:9">
      <c r="A765" s="16" t="s">
        <v>829</v>
      </c>
      <c r="B765" s="16">
        <v>0</v>
      </c>
      <c r="C765" s="19">
        <v>4.53391609268178e-5</v>
      </c>
      <c r="D765" s="17">
        <f t="shared" si="0"/>
        <v>0</v>
      </c>
      <c r="E765" s="18">
        <f t="shared" si="1"/>
        <v>0</v>
      </c>
      <c r="G765" s="16" t="s">
        <v>1117</v>
      </c>
      <c r="H765" s="16">
        <v>220</v>
      </c>
      <c r="I765" s="19">
        <v>1.26161141267447e-5</v>
      </c>
    </row>
    <row r="766" ht="22.5" customHeight="1" spans="1:9">
      <c r="A766" s="16" t="s">
        <v>832</v>
      </c>
      <c r="B766" s="16">
        <v>0</v>
      </c>
      <c r="C766" s="19">
        <v>4.50191197908638e-5</v>
      </c>
      <c r="D766" s="17">
        <f t="shared" si="0"/>
        <v>0</v>
      </c>
      <c r="E766" s="18">
        <f t="shared" si="1"/>
        <v>0</v>
      </c>
      <c r="G766" s="16" t="s">
        <v>1118</v>
      </c>
      <c r="H766" s="16">
        <v>220</v>
      </c>
      <c r="I766" s="19">
        <v>1.26161141267447e-5</v>
      </c>
    </row>
    <row r="767" ht="22.5" customHeight="1" spans="1:9">
      <c r="A767" s="16" t="s">
        <v>838</v>
      </c>
      <c r="B767" s="16">
        <v>0</v>
      </c>
      <c r="C767" s="19">
        <v>4.36856150577221e-5</v>
      </c>
      <c r="D767" s="17">
        <f t="shared" si="0"/>
        <v>0</v>
      </c>
      <c r="E767" s="18">
        <f t="shared" si="1"/>
        <v>0</v>
      </c>
      <c r="G767" s="16" t="s">
        <v>1121</v>
      </c>
      <c r="H767" s="16">
        <v>219</v>
      </c>
      <c r="I767" s="19">
        <v>1.25587681534413e-5</v>
      </c>
    </row>
    <row r="768" ht="22.5" customHeight="1" spans="1:9">
      <c r="A768" s="16" t="s">
        <v>841</v>
      </c>
      <c r="B768" s="16">
        <v>0</v>
      </c>
      <c r="C768" s="19">
        <v>4.28855122178371e-5</v>
      </c>
      <c r="D768" s="17">
        <f t="shared" si="0"/>
        <v>0</v>
      </c>
      <c r="E768" s="18">
        <f t="shared" si="1"/>
        <v>0</v>
      </c>
      <c r="G768" s="16" t="s">
        <v>1123</v>
      </c>
      <c r="H768" s="16">
        <v>219</v>
      </c>
      <c r="I768" s="19">
        <v>1.25587681534413e-5</v>
      </c>
    </row>
    <row r="769" ht="22.5" customHeight="1" spans="1:9">
      <c r="A769" s="16" t="s">
        <v>843</v>
      </c>
      <c r="B769" s="16">
        <v>0</v>
      </c>
      <c r="C769" s="19">
        <v>4.27254916498601e-5</v>
      </c>
      <c r="D769" s="17">
        <f t="shared" si="0"/>
        <v>0</v>
      </c>
      <c r="E769" s="18">
        <f t="shared" si="1"/>
        <v>0</v>
      </c>
      <c r="G769" s="16" t="s">
        <v>1080</v>
      </c>
      <c r="H769" s="16">
        <v>215</v>
      </c>
      <c r="I769" s="19">
        <v>1.23293842602278e-5</v>
      </c>
    </row>
    <row r="770" ht="22.5" customHeight="1" spans="1:9">
      <c r="A770" s="16" t="s">
        <v>844</v>
      </c>
      <c r="B770" s="16">
        <v>0</v>
      </c>
      <c r="C770" s="19">
        <v>4.19787289993007e-5</v>
      </c>
      <c r="D770" s="17">
        <f t="shared" si="0"/>
        <v>0</v>
      </c>
      <c r="E770" s="18">
        <f t="shared" si="1"/>
        <v>0</v>
      </c>
      <c r="G770" s="16" t="s">
        <v>1125</v>
      </c>
      <c r="H770" s="16">
        <v>213</v>
      </c>
      <c r="I770" s="19">
        <v>1.2214692313621e-5</v>
      </c>
    </row>
    <row r="771" ht="22.5" customHeight="1" spans="1:9">
      <c r="A771" s="16" t="s">
        <v>845</v>
      </c>
      <c r="B771" s="16">
        <v>0</v>
      </c>
      <c r="C771" s="19">
        <v>4.1925388809975e-5</v>
      </c>
      <c r="D771" s="17">
        <f t="shared" si="0"/>
        <v>0</v>
      </c>
      <c r="E771" s="18">
        <f t="shared" si="1"/>
        <v>0</v>
      </c>
      <c r="G771" s="16" t="s">
        <v>1126</v>
      </c>
      <c r="H771" s="16">
        <v>213</v>
      </c>
      <c r="I771" s="19">
        <v>1.2214692313621e-5</v>
      </c>
    </row>
    <row r="772" ht="22.5" customHeight="1" spans="1:9">
      <c r="A772" s="16" t="s">
        <v>848</v>
      </c>
      <c r="B772" s="16">
        <v>0</v>
      </c>
      <c r="C772" s="19">
        <v>4.14986672953697e-5</v>
      </c>
      <c r="D772" s="17">
        <f t="shared" si="0"/>
        <v>0</v>
      </c>
      <c r="E772" s="18">
        <f t="shared" si="1"/>
        <v>0</v>
      </c>
      <c r="G772" s="16" t="s">
        <v>1130</v>
      </c>
      <c r="H772" s="16">
        <v>209</v>
      </c>
      <c r="I772" s="19">
        <v>1.19853084204075e-5</v>
      </c>
    </row>
    <row r="773" ht="22.5" customHeight="1" spans="1:9">
      <c r="A773" s="16" t="s">
        <v>854</v>
      </c>
      <c r="B773" s="16">
        <v>0</v>
      </c>
      <c r="C773" s="19">
        <v>4.02718429408793e-5</v>
      </c>
      <c r="D773" s="17">
        <f t="shared" si="0"/>
        <v>0</v>
      </c>
      <c r="E773" s="18">
        <f t="shared" si="1"/>
        <v>0</v>
      </c>
      <c r="G773" s="16" t="s">
        <v>1128</v>
      </c>
      <c r="H773" s="16">
        <v>206</v>
      </c>
      <c r="I773" s="19">
        <v>1.18132705004973e-5</v>
      </c>
    </row>
    <row r="774" ht="22.5" customHeight="1" spans="1:9">
      <c r="A774" s="16" t="s">
        <v>855</v>
      </c>
      <c r="B774" s="16">
        <v>0</v>
      </c>
      <c r="C774" s="19">
        <v>4.01118223729023e-5</v>
      </c>
      <c r="D774" s="17">
        <f t="shared" si="0"/>
        <v>0</v>
      </c>
      <c r="E774" s="18">
        <f t="shared" si="1"/>
        <v>0</v>
      </c>
      <c r="G774" s="16" t="s">
        <v>1132</v>
      </c>
      <c r="H774" s="16">
        <v>203</v>
      </c>
      <c r="I774" s="19">
        <v>1.16412325805872e-5</v>
      </c>
    </row>
    <row r="775" ht="22.5" customHeight="1" spans="1:9">
      <c r="A775" s="16" t="s">
        <v>856</v>
      </c>
      <c r="B775" s="16">
        <v>0</v>
      </c>
      <c r="C775" s="19">
        <v>4.0005141994251e-5</v>
      </c>
      <c r="D775" s="17">
        <f t="shared" si="0"/>
        <v>0</v>
      </c>
      <c r="E775" s="18">
        <f t="shared" si="1"/>
        <v>0</v>
      </c>
      <c r="G775" s="16" t="s">
        <v>1134</v>
      </c>
      <c r="H775" s="16">
        <v>203</v>
      </c>
      <c r="I775" s="19">
        <v>1.16412325805872e-5</v>
      </c>
    </row>
    <row r="776" ht="22.5" customHeight="1" spans="1:9">
      <c r="A776" s="16" t="s">
        <v>857</v>
      </c>
      <c r="B776" s="16">
        <v>0</v>
      </c>
      <c r="C776" s="19">
        <v>3.98984616155997e-5</v>
      </c>
      <c r="D776" s="17">
        <f t="shared" si="0"/>
        <v>0</v>
      </c>
      <c r="E776" s="18">
        <f t="shared" si="1"/>
        <v>0</v>
      </c>
      <c r="G776" s="16" t="s">
        <v>1124</v>
      </c>
      <c r="H776" s="16">
        <v>201</v>
      </c>
      <c r="I776" s="19">
        <v>1.15265406339804e-5</v>
      </c>
    </row>
    <row r="777" ht="22.5" customHeight="1" spans="1:9">
      <c r="A777" s="16" t="s">
        <v>858</v>
      </c>
      <c r="B777" s="16">
        <v>0</v>
      </c>
      <c r="C777" s="19">
        <v>3.952508029032e-5</v>
      </c>
      <c r="D777" s="17">
        <f t="shared" si="0"/>
        <v>0</v>
      </c>
      <c r="E777" s="18">
        <f t="shared" si="1"/>
        <v>0</v>
      </c>
      <c r="G777" s="16" t="s">
        <v>1136</v>
      </c>
      <c r="H777" s="16">
        <v>198</v>
      </c>
      <c r="I777" s="19">
        <v>1.13545027140702e-5</v>
      </c>
    </row>
    <row r="778" ht="22.5" customHeight="1" spans="1:9">
      <c r="A778" s="16" t="s">
        <v>859</v>
      </c>
      <c r="B778" s="16">
        <v>0</v>
      </c>
      <c r="C778" s="19">
        <v>3.8884998018412e-5</v>
      </c>
      <c r="D778" s="17">
        <f t="shared" si="0"/>
        <v>0</v>
      </c>
      <c r="E778" s="18">
        <f t="shared" si="1"/>
        <v>0</v>
      </c>
      <c r="G778" s="16" t="s">
        <v>1137</v>
      </c>
      <c r="H778" s="16">
        <v>197</v>
      </c>
      <c r="I778" s="19">
        <v>1.12971567407668e-5</v>
      </c>
    </row>
    <row r="779" ht="22.5" customHeight="1" spans="1:9">
      <c r="A779" s="16" t="s">
        <v>860</v>
      </c>
      <c r="B779" s="16">
        <v>0</v>
      </c>
      <c r="C779" s="19">
        <v>3.8404936314481e-5</v>
      </c>
      <c r="D779" s="17">
        <f t="shared" si="0"/>
        <v>0</v>
      </c>
      <c r="E779" s="18">
        <f t="shared" si="1"/>
        <v>0</v>
      </c>
      <c r="G779" s="16" t="s">
        <v>1141</v>
      </c>
      <c r="H779" s="16">
        <v>195</v>
      </c>
      <c r="I779" s="19">
        <v>1.11824647941601e-5</v>
      </c>
    </row>
    <row r="780" ht="22.5" customHeight="1" spans="1:9">
      <c r="A780" s="16" t="s">
        <v>863</v>
      </c>
      <c r="B780" s="16">
        <v>0</v>
      </c>
      <c r="C780" s="19">
        <v>3.82982559358296e-5</v>
      </c>
      <c r="D780" s="17">
        <f t="shared" si="0"/>
        <v>0</v>
      </c>
      <c r="E780" s="18">
        <f t="shared" si="1"/>
        <v>0</v>
      </c>
      <c r="G780" s="16" t="s">
        <v>1077</v>
      </c>
      <c r="H780" s="16">
        <v>194</v>
      </c>
      <c r="I780" s="19">
        <v>1.11251188208567e-5</v>
      </c>
    </row>
    <row r="781" ht="22.5" customHeight="1" spans="1:9">
      <c r="A781" s="16" t="s">
        <v>867</v>
      </c>
      <c r="B781" s="16">
        <v>0</v>
      </c>
      <c r="C781" s="19">
        <v>3.69647512026879e-5</v>
      </c>
      <c r="D781" s="17">
        <f t="shared" si="0"/>
        <v>0</v>
      </c>
      <c r="E781" s="18">
        <f t="shared" si="1"/>
        <v>0</v>
      </c>
      <c r="G781" s="16" t="s">
        <v>1146</v>
      </c>
      <c r="H781" s="16">
        <v>193</v>
      </c>
      <c r="I781" s="19">
        <v>1.10677728475533e-5</v>
      </c>
    </row>
    <row r="782" ht="22.5" customHeight="1" spans="1:9">
      <c r="A782" s="16" t="s">
        <v>876</v>
      </c>
      <c r="B782" s="16">
        <v>0</v>
      </c>
      <c r="C782" s="19">
        <v>3.60579679841516e-5</v>
      </c>
      <c r="D782" s="17">
        <f t="shared" si="0"/>
        <v>0</v>
      </c>
      <c r="E782" s="18">
        <f t="shared" si="1"/>
        <v>0</v>
      </c>
      <c r="G782" s="16" t="s">
        <v>1149</v>
      </c>
      <c r="H782" s="16">
        <v>193</v>
      </c>
      <c r="I782" s="19">
        <v>1.10677728475533e-5</v>
      </c>
    </row>
    <row r="783" ht="22.5" customHeight="1" spans="1:9">
      <c r="A783" s="16" t="s">
        <v>887</v>
      </c>
      <c r="B783" s="16">
        <v>0</v>
      </c>
      <c r="C783" s="19">
        <v>3.38176800324735e-5</v>
      </c>
      <c r="D783" s="17">
        <f t="shared" si="0"/>
        <v>0</v>
      </c>
      <c r="E783" s="18">
        <f t="shared" si="1"/>
        <v>0</v>
      </c>
      <c r="G783" s="16" t="s">
        <v>1139</v>
      </c>
      <c r="H783" s="16">
        <v>191</v>
      </c>
      <c r="I783" s="19">
        <v>1.09530809009465e-5</v>
      </c>
    </row>
    <row r="784" ht="22.5" customHeight="1" spans="1:9">
      <c r="A784" s="16" t="s">
        <v>894</v>
      </c>
      <c r="B784" s="16">
        <v>0</v>
      </c>
      <c r="C784" s="19">
        <v>3.31775977605655e-5</v>
      </c>
      <c r="D784" s="17">
        <f t="shared" si="0"/>
        <v>0</v>
      </c>
      <c r="E784" s="18">
        <f t="shared" si="1"/>
        <v>0</v>
      </c>
      <c r="G784" s="16" t="s">
        <v>1151</v>
      </c>
      <c r="H784" s="16">
        <v>190</v>
      </c>
      <c r="I784" s="19">
        <v>1.08957349276431e-5</v>
      </c>
    </row>
    <row r="785" ht="22.5" customHeight="1" spans="1:9">
      <c r="A785" s="16" t="s">
        <v>900</v>
      </c>
      <c r="B785" s="16">
        <v>0</v>
      </c>
      <c r="C785" s="19">
        <v>3.27508762459601e-5</v>
      </c>
      <c r="D785" s="17">
        <f t="shared" si="0"/>
        <v>0</v>
      </c>
      <c r="E785" s="18">
        <f t="shared" si="1"/>
        <v>0</v>
      </c>
      <c r="G785" s="16" t="s">
        <v>1100</v>
      </c>
      <c r="H785" s="16">
        <v>190</v>
      </c>
      <c r="I785" s="19">
        <v>1.08957349276431e-5</v>
      </c>
    </row>
    <row r="786" ht="22.5" customHeight="1" spans="1:9">
      <c r="A786" s="16" t="s">
        <v>902</v>
      </c>
      <c r="B786" s="16">
        <v>0</v>
      </c>
      <c r="C786" s="19">
        <v>3.23241547313548e-5</v>
      </c>
      <c r="D786" s="17">
        <f t="shared" si="0"/>
        <v>0</v>
      </c>
      <c r="E786" s="18">
        <f t="shared" si="1"/>
        <v>0</v>
      </c>
      <c r="G786" s="16" t="s">
        <v>1152</v>
      </c>
      <c r="H786" s="16">
        <v>187</v>
      </c>
      <c r="I786" s="19">
        <v>1.0723697007733e-5</v>
      </c>
    </row>
    <row r="787" ht="22.5" customHeight="1" spans="1:9">
      <c r="A787" s="16" t="s">
        <v>903</v>
      </c>
      <c r="B787" s="16">
        <v>0</v>
      </c>
      <c r="C787" s="19">
        <v>3.23241547313548e-5</v>
      </c>
      <c r="D787" s="17">
        <f t="shared" si="0"/>
        <v>0</v>
      </c>
      <c r="E787" s="18">
        <f t="shared" si="1"/>
        <v>0</v>
      </c>
      <c r="G787" s="16" t="s">
        <v>1138</v>
      </c>
      <c r="H787" s="16">
        <v>186</v>
      </c>
      <c r="I787" s="19">
        <v>1.06663510344296e-5</v>
      </c>
    </row>
    <row r="788" ht="22.5" customHeight="1" spans="1:9">
      <c r="A788" s="16" t="s">
        <v>904</v>
      </c>
      <c r="B788" s="16">
        <v>0</v>
      </c>
      <c r="C788" s="19">
        <v>3.23241547313548e-5</v>
      </c>
      <c r="D788" s="17">
        <f t="shared" si="0"/>
        <v>0</v>
      </c>
      <c r="E788" s="18">
        <f t="shared" si="1"/>
        <v>0</v>
      </c>
      <c r="G788" s="16" t="s">
        <v>1150</v>
      </c>
      <c r="H788" s="16">
        <v>185</v>
      </c>
      <c r="I788" s="19">
        <v>1.06090050611262e-5</v>
      </c>
    </row>
    <row r="789" ht="22.5" customHeight="1" spans="1:9">
      <c r="A789" s="16" t="s">
        <v>908</v>
      </c>
      <c r="B789" s="16">
        <v>0</v>
      </c>
      <c r="C789" s="19">
        <v>3.21641341633778e-5</v>
      </c>
      <c r="D789" s="17">
        <f t="shared" si="0"/>
        <v>0</v>
      </c>
      <c r="E789" s="18">
        <f t="shared" si="1"/>
        <v>0</v>
      </c>
      <c r="G789" s="16" t="s">
        <v>1095</v>
      </c>
      <c r="H789" s="16">
        <v>184</v>
      </c>
      <c r="I789" s="19">
        <v>1.05516590878228e-5</v>
      </c>
    </row>
    <row r="790" ht="22.5" customHeight="1" spans="1:9">
      <c r="A790" s="16" t="s">
        <v>910</v>
      </c>
      <c r="B790" s="16">
        <v>0</v>
      </c>
      <c r="C790" s="19">
        <v>3.19507734060751e-5</v>
      </c>
      <c r="D790" s="17">
        <f t="shared" si="0"/>
        <v>0</v>
      </c>
      <c r="E790" s="18">
        <f t="shared" si="1"/>
        <v>0</v>
      </c>
      <c r="G790" s="16" t="s">
        <v>1127</v>
      </c>
      <c r="H790" s="16">
        <v>183</v>
      </c>
      <c r="I790" s="19">
        <v>1.04943131145195e-5</v>
      </c>
    </row>
    <row r="791" ht="22.5" customHeight="1" spans="1:9">
      <c r="A791" s="16" t="s">
        <v>914</v>
      </c>
      <c r="B791" s="16">
        <v>0</v>
      </c>
      <c r="C791" s="19">
        <v>3.08306294302361e-5</v>
      </c>
      <c r="D791" s="17">
        <f t="shared" si="0"/>
        <v>0</v>
      </c>
      <c r="E791" s="18">
        <f t="shared" si="1"/>
        <v>0</v>
      </c>
      <c r="G791" s="16" t="s">
        <v>1153</v>
      </c>
      <c r="H791" s="16">
        <v>181</v>
      </c>
      <c r="I791" s="19">
        <v>1.03796211679127e-5</v>
      </c>
    </row>
    <row r="792" ht="22.5" customHeight="1" spans="1:9">
      <c r="A792" s="16" t="s">
        <v>916</v>
      </c>
      <c r="B792" s="16">
        <v>0</v>
      </c>
      <c r="C792" s="19">
        <v>3.03505677263051e-5</v>
      </c>
      <c r="D792" s="17">
        <f t="shared" si="0"/>
        <v>0</v>
      </c>
      <c r="E792" s="18">
        <f t="shared" si="1"/>
        <v>0</v>
      </c>
      <c r="G792" s="16" t="s">
        <v>1158</v>
      </c>
      <c r="H792" s="16">
        <v>181</v>
      </c>
      <c r="I792" s="19">
        <v>1.03796211679127e-5</v>
      </c>
    </row>
    <row r="793" ht="22.5" customHeight="1" spans="1:9">
      <c r="A793" s="16" t="s">
        <v>919</v>
      </c>
      <c r="B793" s="16">
        <v>0</v>
      </c>
      <c r="C793" s="19">
        <v>2.99238462116997e-5</v>
      </c>
      <c r="D793" s="17">
        <f t="shared" si="0"/>
        <v>0</v>
      </c>
      <c r="E793" s="18">
        <f t="shared" si="1"/>
        <v>0</v>
      </c>
      <c r="G793" s="16" t="s">
        <v>1129</v>
      </c>
      <c r="H793" s="16">
        <v>181</v>
      </c>
      <c r="I793" s="19">
        <v>1.03796211679127e-5</v>
      </c>
    </row>
    <row r="794" ht="22.5" customHeight="1" spans="1:9">
      <c r="A794" s="16" t="s">
        <v>923</v>
      </c>
      <c r="B794" s="16">
        <v>0</v>
      </c>
      <c r="C794" s="19">
        <v>2.93904443184431e-5</v>
      </c>
      <c r="D794" s="17">
        <f t="shared" si="0"/>
        <v>0</v>
      </c>
      <c r="E794" s="18">
        <f t="shared" si="1"/>
        <v>0</v>
      </c>
      <c r="G794" s="16" t="s">
        <v>1160</v>
      </c>
      <c r="H794" s="16">
        <v>180</v>
      </c>
      <c r="I794" s="19">
        <v>1.03222751946093e-5</v>
      </c>
    </row>
    <row r="795" ht="22.5" customHeight="1" spans="1:9">
      <c r="A795" s="16" t="s">
        <v>930</v>
      </c>
      <c r="B795" s="16">
        <v>0</v>
      </c>
      <c r="C795" s="19">
        <v>2.91237433718147e-5</v>
      </c>
      <c r="D795" s="17">
        <f t="shared" si="0"/>
        <v>0</v>
      </c>
      <c r="E795" s="18">
        <f t="shared" si="1"/>
        <v>0</v>
      </c>
      <c r="G795" s="16" t="s">
        <v>1156</v>
      </c>
      <c r="H795" s="16">
        <v>177</v>
      </c>
      <c r="I795" s="19">
        <v>1.01502372746991e-5</v>
      </c>
    </row>
    <row r="796" ht="22.5" customHeight="1" spans="1:9">
      <c r="A796" s="16" t="s">
        <v>931</v>
      </c>
      <c r="B796" s="16">
        <v>0</v>
      </c>
      <c r="C796" s="19">
        <v>2.90170629931634e-5</v>
      </c>
      <c r="D796" s="17">
        <f t="shared" si="0"/>
        <v>0</v>
      </c>
      <c r="E796" s="18">
        <f t="shared" si="1"/>
        <v>0</v>
      </c>
      <c r="G796" s="16" t="s">
        <v>1164</v>
      </c>
      <c r="H796" s="16">
        <v>175</v>
      </c>
      <c r="I796" s="19">
        <v>1.00355453280924e-5</v>
      </c>
    </row>
    <row r="797" ht="22.5" customHeight="1" spans="1:9">
      <c r="A797" s="16" t="s">
        <v>933</v>
      </c>
      <c r="B797" s="16">
        <v>0</v>
      </c>
      <c r="C797" s="19">
        <v>2.89637228038377e-5</v>
      </c>
      <c r="D797" s="17">
        <f t="shared" si="0"/>
        <v>0</v>
      </c>
      <c r="E797" s="18">
        <f t="shared" si="1"/>
        <v>0</v>
      </c>
      <c r="G797" s="16" t="s">
        <v>1155</v>
      </c>
      <c r="H797" s="16">
        <v>174</v>
      </c>
      <c r="I797" s="19">
        <v>9.97819935478899e-6</v>
      </c>
    </row>
    <row r="798" ht="22.5" customHeight="1" spans="1:9">
      <c r="A798" s="16" t="s">
        <v>934</v>
      </c>
      <c r="B798" s="16">
        <v>0</v>
      </c>
      <c r="C798" s="19">
        <v>2.83236405319297e-5</v>
      </c>
      <c r="D798" s="17">
        <f t="shared" si="0"/>
        <v>0</v>
      </c>
      <c r="E798" s="18">
        <f t="shared" si="1"/>
        <v>0</v>
      </c>
      <c r="G798" s="16" t="s">
        <v>798</v>
      </c>
      <c r="H798" s="16">
        <v>173</v>
      </c>
      <c r="I798" s="19">
        <v>9.9208533814856e-6</v>
      </c>
    </row>
    <row r="799" ht="22.5" customHeight="1" spans="1:9">
      <c r="A799" s="16" t="s">
        <v>937</v>
      </c>
      <c r="B799" s="16">
        <v>0</v>
      </c>
      <c r="C799" s="19">
        <v>2.6830115230811e-5</v>
      </c>
      <c r="D799" s="17">
        <f t="shared" si="0"/>
        <v>0</v>
      </c>
      <c r="E799" s="18">
        <f t="shared" si="1"/>
        <v>0</v>
      </c>
      <c r="G799" s="16" t="s">
        <v>1166</v>
      </c>
      <c r="H799" s="16">
        <v>172</v>
      </c>
      <c r="I799" s="19">
        <v>9.86350740818221e-6</v>
      </c>
    </row>
    <row r="800" ht="22.5" customHeight="1" spans="1:9">
      <c r="A800" s="16" t="s">
        <v>939</v>
      </c>
      <c r="B800" s="16">
        <v>0</v>
      </c>
      <c r="C800" s="19">
        <v>2.67234348521597e-5</v>
      </c>
      <c r="D800" s="17">
        <f t="shared" si="0"/>
        <v>0</v>
      </c>
      <c r="E800" s="18">
        <f t="shared" si="1"/>
        <v>0</v>
      </c>
      <c r="G800" s="16" t="s">
        <v>1165</v>
      </c>
      <c r="H800" s="16">
        <v>172</v>
      </c>
      <c r="I800" s="19">
        <v>9.86350740818221e-6</v>
      </c>
    </row>
    <row r="801" ht="22.5" customHeight="1" spans="1:9">
      <c r="A801" s="16" t="s">
        <v>946</v>
      </c>
      <c r="B801" s="16">
        <v>0</v>
      </c>
      <c r="C801" s="19">
        <v>2.6030012390926e-5</v>
      </c>
      <c r="D801" s="17">
        <f t="shared" si="0"/>
        <v>0</v>
      </c>
      <c r="E801" s="18">
        <f t="shared" si="1"/>
        <v>0</v>
      </c>
      <c r="G801" s="16" t="s">
        <v>1131</v>
      </c>
      <c r="H801" s="16">
        <v>171</v>
      </c>
      <c r="I801" s="19">
        <v>9.80616143487883e-6</v>
      </c>
    </row>
    <row r="802" ht="22.5" customHeight="1" spans="1:9">
      <c r="A802" s="16" t="s">
        <v>948</v>
      </c>
      <c r="B802" s="16">
        <v>0</v>
      </c>
      <c r="C802" s="19">
        <v>2.5229909551041e-5</v>
      </c>
      <c r="D802" s="17">
        <f t="shared" si="0"/>
        <v>0</v>
      </c>
      <c r="E802" s="18">
        <f t="shared" si="1"/>
        <v>0</v>
      </c>
      <c r="G802" s="16" t="s">
        <v>1167</v>
      </c>
      <c r="H802" s="16">
        <v>170</v>
      </c>
      <c r="I802" s="19">
        <v>9.74881546157545e-6</v>
      </c>
    </row>
    <row r="803" ht="22.5" customHeight="1" spans="1:9">
      <c r="A803" s="16" t="s">
        <v>958</v>
      </c>
      <c r="B803" s="16">
        <v>0</v>
      </c>
      <c r="C803" s="19">
        <v>2.44831469004816e-5</v>
      </c>
      <c r="D803" s="17">
        <f t="shared" si="0"/>
        <v>0</v>
      </c>
      <c r="E803" s="18">
        <f t="shared" si="1"/>
        <v>0</v>
      </c>
      <c r="G803" s="16" t="s">
        <v>1169</v>
      </c>
      <c r="H803" s="16">
        <v>169</v>
      </c>
      <c r="I803" s="19">
        <v>9.69146948827206e-6</v>
      </c>
    </row>
    <row r="804" ht="22.5" customHeight="1" spans="1:9">
      <c r="A804" s="16" t="s">
        <v>961</v>
      </c>
      <c r="B804" s="16">
        <v>0</v>
      </c>
      <c r="C804" s="19">
        <v>2.43764665218303e-5</v>
      </c>
      <c r="D804" s="17">
        <f t="shared" si="0"/>
        <v>0</v>
      </c>
      <c r="E804" s="18">
        <f t="shared" si="1"/>
        <v>0</v>
      </c>
      <c r="G804" s="16" t="s">
        <v>1034</v>
      </c>
      <c r="H804" s="16">
        <v>169</v>
      </c>
      <c r="I804" s="19">
        <v>9.69146948827206e-6</v>
      </c>
    </row>
    <row r="805" ht="22.5" customHeight="1" spans="1:9">
      <c r="A805" s="16" t="s">
        <v>965</v>
      </c>
      <c r="B805" s="16">
        <v>0</v>
      </c>
      <c r="C805" s="19">
        <v>2.40564253858763e-5</v>
      </c>
      <c r="D805" s="17">
        <f t="shared" si="0"/>
        <v>0</v>
      </c>
      <c r="E805" s="18">
        <f t="shared" si="1"/>
        <v>0</v>
      </c>
      <c r="G805" s="16" t="s">
        <v>1171</v>
      </c>
      <c r="H805" s="16">
        <v>167</v>
      </c>
      <c r="I805" s="19">
        <v>9.57677754166529e-6</v>
      </c>
    </row>
    <row r="806" ht="22.5" customHeight="1" spans="1:9">
      <c r="A806" s="16" t="s">
        <v>969</v>
      </c>
      <c r="B806" s="16">
        <v>0</v>
      </c>
      <c r="C806" s="19">
        <v>2.38430646285736e-5</v>
      </c>
      <c r="D806" s="17">
        <f t="shared" si="0"/>
        <v>0</v>
      </c>
      <c r="E806" s="18">
        <f t="shared" si="1"/>
        <v>0</v>
      </c>
      <c r="G806" s="16" t="s">
        <v>1176</v>
      </c>
      <c r="H806" s="16">
        <v>162</v>
      </c>
      <c r="I806" s="19">
        <v>9.29004767514837e-6</v>
      </c>
    </row>
    <row r="807" ht="22.5" customHeight="1" spans="1:9">
      <c r="A807" s="16" t="s">
        <v>970</v>
      </c>
      <c r="B807" s="16">
        <v>0</v>
      </c>
      <c r="C807" s="19">
        <v>2.38430646285736e-5</v>
      </c>
      <c r="D807" s="17">
        <f t="shared" si="0"/>
        <v>0</v>
      </c>
      <c r="E807" s="18">
        <f t="shared" si="1"/>
        <v>0</v>
      </c>
      <c r="G807" s="16" t="s">
        <v>1177</v>
      </c>
      <c r="H807" s="16">
        <v>161</v>
      </c>
      <c r="I807" s="19">
        <v>9.23270170184498e-6</v>
      </c>
    </row>
    <row r="808" ht="22.5" customHeight="1" spans="1:9">
      <c r="A808" s="16" t="s">
        <v>974</v>
      </c>
      <c r="B808" s="16">
        <v>0</v>
      </c>
      <c r="C808" s="19">
        <v>2.36297038712709e-5</v>
      </c>
      <c r="D808" s="17">
        <f t="shared" si="0"/>
        <v>0</v>
      </c>
      <c r="E808" s="18">
        <f t="shared" si="1"/>
        <v>0</v>
      </c>
      <c r="G808" s="16" t="s">
        <v>1174</v>
      </c>
      <c r="H808" s="16">
        <v>161</v>
      </c>
      <c r="I808" s="19">
        <v>9.23270170184498e-6</v>
      </c>
    </row>
    <row r="809" ht="22.5" customHeight="1" spans="1:9">
      <c r="A809" s="16" t="s">
        <v>977</v>
      </c>
      <c r="B809" s="16">
        <v>0</v>
      </c>
      <c r="C809" s="19">
        <v>2.31496421673399e-5</v>
      </c>
      <c r="D809" s="17">
        <f t="shared" si="0"/>
        <v>0</v>
      </c>
      <c r="E809" s="18">
        <f t="shared" si="1"/>
        <v>0</v>
      </c>
      <c r="G809" s="16" t="s">
        <v>1172</v>
      </c>
      <c r="H809" s="16">
        <v>160</v>
      </c>
      <c r="I809" s="19">
        <v>9.1753557285416e-6</v>
      </c>
    </row>
    <row r="810" ht="22.5" customHeight="1" spans="1:9">
      <c r="A810" s="16" t="s">
        <v>979</v>
      </c>
      <c r="B810" s="16">
        <v>0</v>
      </c>
      <c r="C810" s="19">
        <v>2.30429617886886e-5</v>
      </c>
      <c r="D810" s="17">
        <f t="shared" si="0"/>
        <v>0</v>
      </c>
      <c r="E810" s="18">
        <f t="shared" si="1"/>
        <v>0</v>
      </c>
      <c r="G810" s="16" t="s">
        <v>1179</v>
      </c>
      <c r="H810" s="16">
        <v>160</v>
      </c>
      <c r="I810" s="19">
        <v>9.1753557285416e-6</v>
      </c>
    </row>
    <row r="811" ht="22.5" customHeight="1" spans="1:9">
      <c r="A811" s="16" t="s">
        <v>980</v>
      </c>
      <c r="B811" s="16">
        <v>0</v>
      </c>
      <c r="C811" s="19">
        <v>2.28829412207116e-5</v>
      </c>
      <c r="D811" s="17">
        <f t="shared" si="0"/>
        <v>0</v>
      </c>
      <c r="E811" s="18">
        <f t="shared" si="1"/>
        <v>0</v>
      </c>
      <c r="G811" s="16" t="s">
        <v>1133</v>
      </c>
      <c r="H811" s="16">
        <v>159</v>
      </c>
      <c r="I811" s="19">
        <v>9.11800975523821e-6</v>
      </c>
    </row>
    <row r="812" ht="22.5" customHeight="1" spans="1:9">
      <c r="A812" s="16" t="s">
        <v>982</v>
      </c>
      <c r="B812" s="16">
        <v>0</v>
      </c>
      <c r="C812" s="19">
        <v>2.28829412207116e-5</v>
      </c>
      <c r="D812" s="17">
        <f t="shared" si="0"/>
        <v>0</v>
      </c>
      <c r="E812" s="18">
        <f t="shared" si="1"/>
        <v>0</v>
      </c>
      <c r="G812" s="16" t="s">
        <v>1170</v>
      </c>
      <c r="H812" s="16">
        <v>156</v>
      </c>
      <c r="I812" s="19">
        <v>8.94597183532806e-6</v>
      </c>
    </row>
    <row r="813" ht="22.5" customHeight="1" spans="1:9">
      <c r="A813" s="16" t="s">
        <v>984</v>
      </c>
      <c r="B813" s="16">
        <v>0</v>
      </c>
      <c r="C813" s="19">
        <v>2.26695804634089e-5</v>
      </c>
      <c r="D813" s="17">
        <f t="shared" si="0"/>
        <v>0</v>
      </c>
      <c r="E813" s="18">
        <f t="shared" si="1"/>
        <v>0</v>
      </c>
      <c r="G813" s="16" t="s">
        <v>1180</v>
      </c>
      <c r="H813" s="16">
        <v>156</v>
      </c>
      <c r="I813" s="19">
        <v>8.94597183532806e-6</v>
      </c>
    </row>
    <row r="814" ht="22.5" customHeight="1" spans="1:9">
      <c r="A814" s="16" t="s">
        <v>985</v>
      </c>
      <c r="B814" s="16">
        <v>0</v>
      </c>
      <c r="C814" s="19">
        <v>2.26162402740832e-5</v>
      </c>
      <c r="D814" s="17">
        <f t="shared" si="0"/>
        <v>0</v>
      </c>
      <c r="E814" s="18">
        <f t="shared" si="1"/>
        <v>0</v>
      </c>
      <c r="G814" s="16" t="s">
        <v>1184</v>
      </c>
      <c r="H814" s="16">
        <v>155</v>
      </c>
      <c r="I814" s="19">
        <v>8.88862586202467e-6</v>
      </c>
    </row>
    <row r="815" ht="22.5" customHeight="1" spans="1:9">
      <c r="A815" s="16" t="s">
        <v>987</v>
      </c>
      <c r="B815" s="16">
        <v>0</v>
      </c>
      <c r="C815" s="19">
        <v>2.25629000847576e-5</v>
      </c>
      <c r="D815" s="17">
        <f t="shared" si="0"/>
        <v>0</v>
      </c>
      <c r="E815" s="18">
        <f t="shared" si="1"/>
        <v>0</v>
      </c>
      <c r="G815" s="16" t="s">
        <v>1185</v>
      </c>
      <c r="H815" s="16">
        <v>154</v>
      </c>
      <c r="I815" s="19">
        <v>8.83127988872129e-6</v>
      </c>
    </row>
    <row r="816" ht="22.5" customHeight="1" spans="1:9">
      <c r="A816" s="16" t="s">
        <v>988</v>
      </c>
      <c r="B816" s="16">
        <v>0</v>
      </c>
      <c r="C816" s="19">
        <v>2.24562197061062e-5</v>
      </c>
      <c r="D816" s="17">
        <f t="shared" si="0"/>
        <v>0</v>
      </c>
      <c r="E816" s="18">
        <f t="shared" si="1"/>
        <v>0</v>
      </c>
      <c r="G816" s="16" t="s">
        <v>1188</v>
      </c>
      <c r="H816" s="16">
        <v>151</v>
      </c>
      <c r="I816" s="19">
        <v>8.65924196881113e-6</v>
      </c>
    </row>
    <row r="817" ht="22.5" customHeight="1" spans="1:9">
      <c r="A817" s="16" t="s">
        <v>990</v>
      </c>
      <c r="B817" s="16">
        <v>0</v>
      </c>
      <c r="C817" s="19">
        <v>2.22961991381292e-5</v>
      </c>
      <c r="D817" s="17">
        <f t="shared" si="0"/>
        <v>0</v>
      </c>
      <c r="E817" s="18">
        <f t="shared" si="1"/>
        <v>0</v>
      </c>
      <c r="G817" s="16" t="s">
        <v>1190</v>
      </c>
      <c r="H817" s="16">
        <v>149</v>
      </c>
      <c r="I817" s="19">
        <v>8.54455002220436e-6</v>
      </c>
    </row>
    <row r="818" ht="22.5" customHeight="1" spans="1:9">
      <c r="A818" s="16" t="s">
        <v>994</v>
      </c>
      <c r="B818" s="16">
        <v>0</v>
      </c>
      <c r="C818" s="19">
        <v>2.16561168662212e-5</v>
      </c>
      <c r="D818" s="17">
        <f t="shared" si="0"/>
        <v>0</v>
      </c>
      <c r="E818" s="18">
        <f t="shared" si="1"/>
        <v>0</v>
      </c>
      <c r="G818" s="16" t="s">
        <v>1191</v>
      </c>
      <c r="H818" s="16">
        <v>147</v>
      </c>
      <c r="I818" s="19">
        <v>8.42985807559759e-6</v>
      </c>
    </row>
    <row r="819" ht="22.5" customHeight="1" spans="1:9">
      <c r="A819" s="16" t="s">
        <v>998</v>
      </c>
      <c r="B819" s="16">
        <v>0</v>
      </c>
      <c r="C819" s="19">
        <v>2.03759523224052e-5</v>
      </c>
      <c r="D819" s="17">
        <f t="shared" si="0"/>
        <v>0</v>
      </c>
      <c r="E819" s="18">
        <f t="shared" si="1"/>
        <v>0</v>
      </c>
      <c r="G819" s="16" t="s">
        <v>1189</v>
      </c>
      <c r="H819" s="16">
        <v>146</v>
      </c>
      <c r="I819" s="19">
        <v>8.37251210229421e-6</v>
      </c>
    </row>
    <row r="820" ht="22.5" customHeight="1" spans="1:9">
      <c r="A820" s="16" t="s">
        <v>1001</v>
      </c>
      <c r="B820" s="16">
        <v>0</v>
      </c>
      <c r="C820" s="19">
        <v>2.03226121330795e-5</v>
      </c>
      <c r="D820" s="17">
        <f t="shared" si="0"/>
        <v>0</v>
      </c>
      <c r="E820" s="18">
        <f t="shared" si="1"/>
        <v>0</v>
      </c>
      <c r="G820" s="16" t="s">
        <v>1162</v>
      </c>
      <c r="H820" s="16">
        <v>145</v>
      </c>
      <c r="I820" s="19">
        <v>8.31516612899082e-6</v>
      </c>
    </row>
    <row r="821" ht="22.5" customHeight="1" spans="1:9">
      <c r="A821" s="16" t="s">
        <v>1003</v>
      </c>
      <c r="B821" s="16">
        <v>0</v>
      </c>
      <c r="C821" s="19">
        <v>2.01092513757768e-5</v>
      </c>
      <c r="D821" s="17">
        <f t="shared" si="0"/>
        <v>0</v>
      </c>
      <c r="E821" s="18">
        <f t="shared" si="1"/>
        <v>0</v>
      </c>
      <c r="G821" s="16" t="s">
        <v>935</v>
      </c>
      <c r="H821" s="16">
        <v>145</v>
      </c>
      <c r="I821" s="19">
        <v>8.31516612899082e-6</v>
      </c>
    </row>
    <row r="822" ht="22.5" customHeight="1" spans="1:9">
      <c r="A822" s="16" t="s">
        <v>1006</v>
      </c>
      <c r="B822" s="16">
        <v>0</v>
      </c>
      <c r="C822" s="19">
        <v>1.97892102398228e-5</v>
      </c>
      <c r="D822" s="17">
        <f t="shared" si="0"/>
        <v>0</v>
      </c>
      <c r="E822" s="18">
        <f t="shared" si="1"/>
        <v>0</v>
      </c>
      <c r="G822" s="16" t="s">
        <v>1192</v>
      </c>
      <c r="H822" s="16">
        <v>142</v>
      </c>
      <c r="I822" s="19">
        <v>8.14312820908067e-6</v>
      </c>
    </row>
    <row r="823" ht="22.5" customHeight="1" spans="1:9">
      <c r="A823" s="16" t="s">
        <v>1011</v>
      </c>
      <c r="B823" s="16">
        <v>0</v>
      </c>
      <c r="C823" s="19">
        <v>1.92558083465661e-5</v>
      </c>
      <c r="D823" s="17">
        <f t="shared" si="0"/>
        <v>0</v>
      </c>
      <c r="E823" s="18">
        <f t="shared" si="1"/>
        <v>0</v>
      </c>
      <c r="G823" s="16" t="s">
        <v>1195</v>
      </c>
      <c r="H823" s="16">
        <v>142</v>
      </c>
      <c r="I823" s="19">
        <v>8.14312820908067e-6</v>
      </c>
    </row>
    <row r="824" ht="22.5" customHeight="1" spans="1:9">
      <c r="A824" s="16" t="s">
        <v>1016</v>
      </c>
      <c r="B824" s="16">
        <v>0</v>
      </c>
      <c r="C824" s="19">
        <v>1.92024681572405e-5</v>
      </c>
      <c r="D824" s="17">
        <f t="shared" si="0"/>
        <v>0</v>
      </c>
      <c r="E824" s="18">
        <f t="shared" si="1"/>
        <v>0</v>
      </c>
      <c r="G824" s="16" t="s">
        <v>1110</v>
      </c>
      <c r="H824" s="16">
        <v>140</v>
      </c>
      <c r="I824" s="19">
        <v>8.0284362624739e-6</v>
      </c>
    </row>
    <row r="825" ht="22.5" customHeight="1" spans="1:9">
      <c r="A825" s="16" t="s">
        <v>1021</v>
      </c>
      <c r="B825" s="16">
        <v>0</v>
      </c>
      <c r="C825" s="19">
        <v>1.89357672106121e-5</v>
      </c>
      <c r="D825" s="17">
        <f t="shared" si="0"/>
        <v>0</v>
      </c>
      <c r="E825" s="18">
        <f t="shared" si="1"/>
        <v>0</v>
      </c>
      <c r="G825" s="16" t="s">
        <v>1198</v>
      </c>
      <c r="H825" s="16">
        <v>139</v>
      </c>
      <c r="I825" s="19">
        <v>7.97109028917051e-6</v>
      </c>
    </row>
    <row r="826" ht="22.5" customHeight="1" spans="1:9">
      <c r="A826" s="16" t="s">
        <v>1023</v>
      </c>
      <c r="B826" s="16">
        <v>0</v>
      </c>
      <c r="C826" s="19">
        <v>1.85090456960068e-5</v>
      </c>
      <c r="D826" s="17">
        <f t="shared" si="0"/>
        <v>0</v>
      </c>
      <c r="E826" s="18">
        <f t="shared" si="1"/>
        <v>0</v>
      </c>
      <c r="G826" s="16" t="s">
        <v>1201</v>
      </c>
      <c r="H826" s="16">
        <v>137</v>
      </c>
      <c r="I826" s="19">
        <v>7.85639834256374e-6</v>
      </c>
    </row>
    <row r="827" ht="22.5" customHeight="1" spans="1:9">
      <c r="A827" s="16" t="s">
        <v>1026</v>
      </c>
      <c r="B827" s="16">
        <v>0</v>
      </c>
      <c r="C827" s="19">
        <v>1.80823241814015e-5</v>
      </c>
      <c r="D827" s="17">
        <f t="shared" si="0"/>
        <v>0</v>
      </c>
      <c r="E827" s="18">
        <f t="shared" si="1"/>
        <v>0</v>
      </c>
      <c r="G827" s="16" t="s">
        <v>1203</v>
      </c>
      <c r="H827" s="16">
        <v>136</v>
      </c>
      <c r="I827" s="19">
        <v>7.79905236926036e-6</v>
      </c>
    </row>
    <row r="828" ht="22.5" customHeight="1" spans="1:9">
      <c r="A828" s="16" t="s">
        <v>1033</v>
      </c>
      <c r="B828" s="16">
        <v>0</v>
      </c>
      <c r="C828" s="19">
        <v>1.76556026667961e-5</v>
      </c>
      <c r="D828" s="17">
        <f t="shared" si="0"/>
        <v>0</v>
      </c>
      <c r="E828" s="18">
        <f t="shared" si="1"/>
        <v>0</v>
      </c>
      <c r="G828" s="16" t="s">
        <v>1173</v>
      </c>
      <c r="H828" s="16">
        <v>136</v>
      </c>
      <c r="I828" s="19">
        <v>7.79905236926036e-6</v>
      </c>
    </row>
    <row r="829" ht="22.5" customHeight="1" spans="1:9">
      <c r="A829" s="16" t="s">
        <v>1035</v>
      </c>
      <c r="B829" s="16">
        <v>0</v>
      </c>
      <c r="C829" s="19">
        <v>1.74955820988191e-5</v>
      </c>
      <c r="D829" s="17">
        <f t="shared" si="0"/>
        <v>0</v>
      </c>
      <c r="E829" s="18">
        <f t="shared" si="1"/>
        <v>0</v>
      </c>
      <c r="G829" s="16" t="s">
        <v>1197</v>
      </c>
      <c r="H829" s="16">
        <v>134</v>
      </c>
      <c r="I829" s="19">
        <v>7.68436042265359e-6</v>
      </c>
    </row>
    <row r="830" ht="22.5" customHeight="1" spans="1:9">
      <c r="A830" s="16" t="s">
        <v>1036</v>
      </c>
      <c r="B830" s="16">
        <v>0</v>
      </c>
      <c r="C830" s="19">
        <v>1.71755409628651e-5</v>
      </c>
      <c r="D830" s="17">
        <f t="shared" si="0"/>
        <v>0</v>
      </c>
      <c r="E830" s="18">
        <f t="shared" si="1"/>
        <v>0</v>
      </c>
      <c r="G830" s="16" t="s">
        <v>1205</v>
      </c>
      <c r="H830" s="16">
        <v>134</v>
      </c>
      <c r="I830" s="19">
        <v>7.68436042265359e-6</v>
      </c>
    </row>
    <row r="831" ht="22.5" customHeight="1" spans="1:9">
      <c r="A831" s="16" t="s">
        <v>1038</v>
      </c>
      <c r="B831" s="16">
        <v>0</v>
      </c>
      <c r="C831" s="19">
        <v>1.70155203948881e-5</v>
      </c>
      <c r="D831" s="17">
        <f t="shared" si="0"/>
        <v>0</v>
      </c>
      <c r="E831" s="18">
        <f t="shared" si="1"/>
        <v>0</v>
      </c>
      <c r="G831" s="16" t="s">
        <v>1194</v>
      </c>
      <c r="H831" s="16">
        <v>130</v>
      </c>
      <c r="I831" s="19">
        <v>7.45497652944005e-6</v>
      </c>
    </row>
    <row r="832" ht="22.5" customHeight="1" spans="1:9">
      <c r="A832" s="16" t="s">
        <v>1040</v>
      </c>
      <c r="B832" s="16">
        <v>0</v>
      </c>
      <c r="C832" s="19">
        <v>1.69621802055624e-5</v>
      </c>
      <c r="D832" s="17">
        <f t="shared" si="0"/>
        <v>0</v>
      </c>
      <c r="E832" s="18">
        <f t="shared" si="1"/>
        <v>0</v>
      </c>
      <c r="G832" s="16" t="s">
        <v>1207</v>
      </c>
      <c r="H832" s="16">
        <v>129</v>
      </c>
      <c r="I832" s="19">
        <v>7.39763055613666e-6</v>
      </c>
    </row>
    <row r="833" ht="22.5" customHeight="1" spans="1:9">
      <c r="A833" s="16" t="s">
        <v>1042</v>
      </c>
      <c r="B833" s="16">
        <v>0</v>
      </c>
      <c r="C833" s="19">
        <v>1.63754381229801e-5</v>
      </c>
      <c r="D833" s="17">
        <f t="shared" si="0"/>
        <v>0</v>
      </c>
      <c r="E833" s="18">
        <f t="shared" si="1"/>
        <v>0</v>
      </c>
      <c r="G833" s="16" t="s">
        <v>1212</v>
      </c>
      <c r="H833" s="16">
        <v>126</v>
      </c>
      <c r="I833" s="19">
        <v>7.22559263622651e-6</v>
      </c>
    </row>
    <row r="834" ht="22.5" customHeight="1" spans="1:9">
      <c r="A834" s="16" t="s">
        <v>1043</v>
      </c>
      <c r="B834" s="16">
        <v>0</v>
      </c>
      <c r="C834" s="19">
        <v>1.63220979336544e-5</v>
      </c>
      <c r="D834" s="17">
        <f t="shared" si="0"/>
        <v>0</v>
      </c>
      <c r="E834" s="18">
        <f t="shared" si="1"/>
        <v>0</v>
      </c>
      <c r="G834" s="16" t="s">
        <v>1482</v>
      </c>
      <c r="H834" s="16">
        <v>126</v>
      </c>
      <c r="I834" s="19">
        <v>7.22559263622651e-6</v>
      </c>
    </row>
    <row r="835" ht="22.5" customHeight="1" spans="1:9">
      <c r="A835" s="16" t="s">
        <v>1044</v>
      </c>
      <c r="B835" s="16">
        <v>0</v>
      </c>
      <c r="C835" s="19">
        <v>1.62687577443287e-5</v>
      </c>
      <c r="D835" s="17">
        <f t="shared" si="0"/>
        <v>0</v>
      </c>
      <c r="E835" s="18">
        <f t="shared" si="1"/>
        <v>0</v>
      </c>
      <c r="G835" s="16" t="s">
        <v>1209</v>
      </c>
      <c r="H835" s="16">
        <v>125</v>
      </c>
      <c r="I835" s="19">
        <v>7.16824666292312e-6</v>
      </c>
    </row>
    <row r="836" ht="22.5" customHeight="1" spans="1:9">
      <c r="A836" s="16" t="s">
        <v>1045</v>
      </c>
      <c r="B836" s="16">
        <v>0</v>
      </c>
      <c r="C836" s="19">
        <v>1.62687577443287e-5</v>
      </c>
      <c r="D836" s="17">
        <f t="shared" si="0"/>
        <v>0</v>
      </c>
      <c r="E836" s="18">
        <f t="shared" si="1"/>
        <v>0</v>
      </c>
      <c r="G836" s="16" t="s">
        <v>1199</v>
      </c>
      <c r="H836" s="16">
        <v>123</v>
      </c>
      <c r="I836" s="19">
        <v>7.05355471631635e-6</v>
      </c>
    </row>
    <row r="837" ht="22.5" customHeight="1" spans="1:9">
      <c r="A837" s="16" t="s">
        <v>1046</v>
      </c>
      <c r="B837" s="16">
        <v>0</v>
      </c>
      <c r="C837" s="19">
        <v>1.62154175550031e-5</v>
      </c>
      <c r="D837" s="17">
        <f t="shared" si="0"/>
        <v>0</v>
      </c>
      <c r="E837" s="18">
        <f t="shared" si="1"/>
        <v>0</v>
      </c>
      <c r="G837" s="16" t="s">
        <v>1214</v>
      </c>
      <c r="H837" s="16">
        <v>123</v>
      </c>
      <c r="I837" s="19">
        <v>7.05355471631635e-6</v>
      </c>
    </row>
    <row r="838" ht="22.5" customHeight="1" spans="1:9">
      <c r="A838" s="16" t="s">
        <v>1048</v>
      </c>
      <c r="B838" s="16">
        <v>0</v>
      </c>
      <c r="C838" s="19">
        <v>1.61620773656774e-5</v>
      </c>
      <c r="D838" s="17">
        <f t="shared" si="0"/>
        <v>0</v>
      </c>
      <c r="E838" s="18">
        <f t="shared" si="1"/>
        <v>0</v>
      </c>
      <c r="G838" s="16" t="s">
        <v>1217</v>
      </c>
      <c r="H838" s="16">
        <v>122</v>
      </c>
      <c r="I838" s="19">
        <v>6.99620874301297e-6</v>
      </c>
    </row>
    <row r="839" ht="22.5" customHeight="1" spans="1:9">
      <c r="A839" s="16" t="s">
        <v>1052</v>
      </c>
      <c r="B839" s="16">
        <v>0</v>
      </c>
      <c r="C839" s="19">
        <v>1.60020567977004e-5</v>
      </c>
      <c r="D839" s="17">
        <f t="shared" si="0"/>
        <v>0</v>
      </c>
      <c r="E839" s="18">
        <f t="shared" si="1"/>
        <v>0</v>
      </c>
      <c r="G839" s="16" t="s">
        <v>1218</v>
      </c>
      <c r="H839" s="16">
        <v>122</v>
      </c>
      <c r="I839" s="19">
        <v>6.99620874301297e-6</v>
      </c>
    </row>
    <row r="840" ht="22.5" customHeight="1" spans="1:9">
      <c r="A840" s="16" t="s">
        <v>1471</v>
      </c>
      <c r="B840" s="16">
        <v>0</v>
      </c>
      <c r="C840" s="19">
        <v>1.59487166083747e-5</v>
      </c>
      <c r="D840" s="17">
        <f t="shared" si="0"/>
        <v>0</v>
      </c>
      <c r="E840" s="18">
        <f t="shared" si="1"/>
        <v>0</v>
      </c>
      <c r="G840" s="16" t="s">
        <v>1219</v>
      </c>
      <c r="H840" s="16">
        <v>121</v>
      </c>
      <c r="I840" s="19">
        <v>6.93886276970958e-6</v>
      </c>
    </row>
    <row r="841" ht="22.5" customHeight="1" spans="1:9">
      <c r="A841" s="16" t="s">
        <v>1059</v>
      </c>
      <c r="B841" s="16">
        <v>0</v>
      </c>
      <c r="C841" s="19">
        <v>1.54686549044437e-5</v>
      </c>
      <c r="D841" s="17">
        <f t="shared" si="0"/>
        <v>0</v>
      </c>
      <c r="E841" s="18">
        <f t="shared" si="1"/>
        <v>0</v>
      </c>
      <c r="G841" s="16" t="s">
        <v>1196</v>
      </c>
      <c r="H841" s="16">
        <v>121</v>
      </c>
      <c r="I841" s="19">
        <v>6.93886276970958e-6</v>
      </c>
    </row>
    <row r="842" ht="22.5" customHeight="1" spans="1:9">
      <c r="A842" s="16" t="s">
        <v>1061</v>
      </c>
      <c r="B842" s="16">
        <v>0</v>
      </c>
      <c r="C842" s="19">
        <v>1.5255294147141e-5</v>
      </c>
      <c r="D842" s="17">
        <f t="shared" si="0"/>
        <v>0</v>
      </c>
      <c r="E842" s="18">
        <f t="shared" si="1"/>
        <v>0</v>
      </c>
      <c r="G842" s="16" t="s">
        <v>1154</v>
      </c>
      <c r="H842" s="16">
        <v>119</v>
      </c>
      <c r="I842" s="19">
        <v>6.82417082310281e-6</v>
      </c>
    </row>
    <row r="843" ht="22.5" customHeight="1" spans="1:9">
      <c r="A843" s="16" t="s">
        <v>1063</v>
      </c>
      <c r="B843" s="16">
        <v>0</v>
      </c>
      <c r="C843" s="19">
        <v>1.5255294147141e-5</v>
      </c>
      <c r="D843" s="17">
        <f t="shared" si="0"/>
        <v>0</v>
      </c>
      <c r="E843" s="18">
        <f t="shared" si="1"/>
        <v>0</v>
      </c>
      <c r="G843" s="16" t="s">
        <v>1221</v>
      </c>
      <c r="H843" s="16">
        <v>119</v>
      </c>
      <c r="I843" s="19">
        <v>6.82417082310281e-6</v>
      </c>
    </row>
    <row r="844" ht="22.5" customHeight="1" spans="1:9">
      <c r="A844" s="16" t="s">
        <v>1444</v>
      </c>
      <c r="B844" s="16">
        <v>0</v>
      </c>
      <c r="C844" s="19">
        <v>1.5095273579164e-5</v>
      </c>
      <c r="D844" s="17">
        <f t="shared" si="0"/>
        <v>0</v>
      </c>
      <c r="E844" s="18">
        <f t="shared" si="1"/>
        <v>0</v>
      </c>
      <c r="G844" s="16" t="s">
        <v>1220</v>
      </c>
      <c r="H844" s="16">
        <v>118</v>
      </c>
      <c r="I844" s="19">
        <v>6.76682484979943e-6</v>
      </c>
    </row>
    <row r="845" ht="22.5" customHeight="1" spans="1:9">
      <c r="A845" s="16" t="s">
        <v>1064</v>
      </c>
      <c r="B845" s="16">
        <v>0</v>
      </c>
      <c r="C845" s="19">
        <v>1.50419333898384e-5</v>
      </c>
      <c r="D845" s="17">
        <f t="shared" si="0"/>
        <v>0</v>
      </c>
      <c r="E845" s="18">
        <f t="shared" si="1"/>
        <v>0</v>
      </c>
      <c r="G845" s="16" t="s">
        <v>1224</v>
      </c>
      <c r="H845" s="16">
        <v>116</v>
      </c>
      <c r="I845" s="19">
        <v>6.65213290319266e-6</v>
      </c>
    </row>
    <row r="846" ht="22.5" customHeight="1" spans="1:9">
      <c r="A846" s="16" t="s">
        <v>1068</v>
      </c>
      <c r="B846" s="16">
        <v>0</v>
      </c>
      <c r="C846" s="19">
        <v>1.49885932005127e-5</v>
      </c>
      <c r="D846" s="17">
        <f t="shared" si="0"/>
        <v>0</v>
      </c>
      <c r="E846" s="18">
        <f t="shared" si="1"/>
        <v>0</v>
      </c>
      <c r="G846" s="16" t="s">
        <v>1225</v>
      </c>
      <c r="H846" s="16">
        <v>116</v>
      </c>
      <c r="I846" s="19">
        <v>6.65213290319266e-6</v>
      </c>
    </row>
    <row r="847" ht="22.5" customHeight="1" spans="1:9">
      <c r="A847" s="16" t="s">
        <v>1072</v>
      </c>
      <c r="B847" s="16">
        <v>0</v>
      </c>
      <c r="C847" s="19">
        <v>1.48285726325357e-5</v>
      </c>
      <c r="D847" s="17">
        <f t="shared" si="0"/>
        <v>0</v>
      </c>
      <c r="E847" s="18">
        <f t="shared" si="1"/>
        <v>0</v>
      </c>
      <c r="G847" s="16" t="s">
        <v>1226</v>
      </c>
      <c r="H847" s="16">
        <v>115</v>
      </c>
      <c r="I847" s="19">
        <v>6.59478692988927e-6</v>
      </c>
    </row>
    <row r="848" ht="22.5" customHeight="1" spans="1:9">
      <c r="A848" s="16" t="s">
        <v>1073</v>
      </c>
      <c r="B848" s="16">
        <v>0</v>
      </c>
      <c r="C848" s="19">
        <v>1.477523244321e-5</v>
      </c>
      <c r="D848" s="17">
        <f t="shared" si="0"/>
        <v>0</v>
      </c>
      <c r="E848" s="18">
        <f t="shared" si="1"/>
        <v>0</v>
      </c>
      <c r="G848" s="16" t="s">
        <v>1228</v>
      </c>
      <c r="H848" s="16">
        <v>115</v>
      </c>
      <c r="I848" s="19">
        <v>6.59478692988927e-6</v>
      </c>
    </row>
    <row r="849" ht="22.5" customHeight="1" spans="1:9">
      <c r="A849" s="16" t="s">
        <v>1083</v>
      </c>
      <c r="B849" s="16">
        <v>0</v>
      </c>
      <c r="C849" s="19">
        <v>1.37617688460223e-5</v>
      </c>
      <c r="D849" s="17">
        <f t="shared" si="0"/>
        <v>0</v>
      </c>
      <c r="E849" s="18">
        <f t="shared" si="1"/>
        <v>0</v>
      </c>
      <c r="G849" s="16" t="s">
        <v>1235</v>
      </c>
      <c r="H849" s="16">
        <v>113</v>
      </c>
      <c r="I849" s="19">
        <v>6.4800949832825e-6</v>
      </c>
    </row>
    <row r="850" ht="22.5" customHeight="1" spans="1:9">
      <c r="A850" s="16" t="s">
        <v>1084</v>
      </c>
      <c r="B850" s="16">
        <v>0</v>
      </c>
      <c r="C850" s="19">
        <v>1.37084286566967e-5</v>
      </c>
      <c r="D850" s="17">
        <f t="shared" si="0"/>
        <v>0</v>
      </c>
      <c r="E850" s="18">
        <f t="shared" si="1"/>
        <v>0</v>
      </c>
      <c r="G850" s="16" t="s">
        <v>1232</v>
      </c>
      <c r="H850" s="16">
        <v>112</v>
      </c>
      <c r="I850" s="19">
        <v>6.42274900997912e-6</v>
      </c>
    </row>
    <row r="851" ht="22.5" customHeight="1" spans="1:9">
      <c r="A851" s="16" t="s">
        <v>1085</v>
      </c>
      <c r="B851" s="16">
        <v>0</v>
      </c>
      <c r="C851" s="19">
        <v>1.37084286566967e-5</v>
      </c>
      <c r="D851" s="17">
        <f t="shared" si="0"/>
        <v>0</v>
      </c>
      <c r="E851" s="18">
        <f t="shared" si="1"/>
        <v>0</v>
      </c>
      <c r="G851" s="16" t="s">
        <v>1222</v>
      </c>
      <c r="H851" s="16">
        <v>112</v>
      </c>
      <c r="I851" s="19">
        <v>6.42274900997912e-6</v>
      </c>
    </row>
    <row r="852" ht="22.5" customHeight="1" spans="1:9">
      <c r="A852" s="16" t="s">
        <v>1088</v>
      </c>
      <c r="B852" s="16">
        <v>0</v>
      </c>
      <c r="C852" s="19">
        <v>1.3655088467371e-5</v>
      </c>
      <c r="D852" s="17">
        <f t="shared" si="0"/>
        <v>0</v>
      </c>
      <c r="E852" s="18">
        <f t="shared" si="1"/>
        <v>0</v>
      </c>
      <c r="G852" s="16" t="s">
        <v>1238</v>
      </c>
      <c r="H852" s="16">
        <v>111</v>
      </c>
      <c r="I852" s="19">
        <v>6.36540303667573e-6</v>
      </c>
    </row>
    <row r="853" ht="22.5" customHeight="1" spans="1:9">
      <c r="A853" s="16" t="s">
        <v>1093</v>
      </c>
      <c r="B853" s="16">
        <v>0</v>
      </c>
      <c r="C853" s="19">
        <v>1.33883875207427e-5</v>
      </c>
      <c r="D853" s="17">
        <f t="shared" si="0"/>
        <v>0</v>
      </c>
      <c r="E853" s="18">
        <f t="shared" si="1"/>
        <v>0</v>
      </c>
      <c r="G853" s="16" t="s">
        <v>1240</v>
      </c>
      <c r="H853" s="16">
        <v>111</v>
      </c>
      <c r="I853" s="19">
        <v>6.36540303667573e-6</v>
      </c>
    </row>
    <row r="854" ht="22.5" customHeight="1" spans="1:9">
      <c r="A854" s="16" t="s">
        <v>1094</v>
      </c>
      <c r="B854" s="16">
        <v>0</v>
      </c>
      <c r="C854" s="19">
        <v>1.3335047331417e-5</v>
      </c>
      <c r="D854" s="17">
        <f t="shared" si="0"/>
        <v>0</v>
      </c>
      <c r="E854" s="18">
        <f t="shared" si="1"/>
        <v>0</v>
      </c>
      <c r="G854" s="16" t="s">
        <v>1237</v>
      </c>
      <c r="H854" s="16">
        <v>110</v>
      </c>
      <c r="I854" s="19">
        <v>6.30805706337235e-6</v>
      </c>
    </row>
    <row r="855" ht="22.5" customHeight="1" spans="1:9">
      <c r="A855" s="16" t="s">
        <v>1096</v>
      </c>
      <c r="B855" s="16">
        <v>0</v>
      </c>
      <c r="C855" s="19">
        <v>1.30683463847887e-5</v>
      </c>
      <c r="D855" s="17">
        <f t="shared" si="0"/>
        <v>0</v>
      </c>
      <c r="E855" s="18">
        <f t="shared" si="1"/>
        <v>0</v>
      </c>
      <c r="G855" s="16" t="s">
        <v>1230</v>
      </c>
      <c r="H855" s="16">
        <v>109</v>
      </c>
      <c r="I855" s="19">
        <v>6.25071109006896e-6</v>
      </c>
    </row>
    <row r="856" ht="22.5" customHeight="1" spans="1:9">
      <c r="A856" s="16" t="s">
        <v>1099</v>
      </c>
      <c r="B856" s="16">
        <v>0</v>
      </c>
      <c r="C856" s="19">
        <v>1.3015006195463e-5</v>
      </c>
      <c r="D856" s="17">
        <f t="shared" si="0"/>
        <v>0</v>
      </c>
      <c r="E856" s="18">
        <f t="shared" si="1"/>
        <v>0</v>
      </c>
      <c r="G856" s="16" t="s">
        <v>1223</v>
      </c>
      <c r="H856" s="16">
        <v>107</v>
      </c>
      <c r="I856" s="19">
        <v>6.13601914346219e-6</v>
      </c>
    </row>
    <row r="857" ht="22.5" customHeight="1" spans="1:9">
      <c r="A857" s="16" t="s">
        <v>1102</v>
      </c>
      <c r="B857" s="16">
        <v>0</v>
      </c>
      <c r="C857" s="19">
        <v>1.25882846808576e-5</v>
      </c>
      <c r="D857" s="17">
        <f t="shared" si="0"/>
        <v>0</v>
      </c>
      <c r="E857" s="18">
        <f t="shared" si="1"/>
        <v>0</v>
      </c>
      <c r="G857" s="16" t="s">
        <v>1211</v>
      </c>
      <c r="H857" s="16">
        <v>107</v>
      </c>
      <c r="I857" s="19">
        <v>6.13601914346219e-6</v>
      </c>
    </row>
    <row r="858" ht="22.5" customHeight="1" spans="1:9">
      <c r="A858" s="16" t="s">
        <v>1103</v>
      </c>
      <c r="B858" s="16">
        <v>0</v>
      </c>
      <c r="C858" s="19">
        <v>1.2534944491532e-5</v>
      </c>
      <c r="D858" s="17">
        <f t="shared" si="0"/>
        <v>0</v>
      </c>
      <c r="E858" s="18">
        <f t="shared" si="1"/>
        <v>0</v>
      </c>
      <c r="G858" s="16" t="s">
        <v>1019</v>
      </c>
      <c r="H858" s="16">
        <v>104</v>
      </c>
      <c r="I858" s="19">
        <v>5.96398122355204e-6</v>
      </c>
    </row>
    <row r="859" ht="22.5" customHeight="1" spans="1:9">
      <c r="A859" s="16" t="s">
        <v>1105</v>
      </c>
      <c r="B859" s="16">
        <v>0</v>
      </c>
      <c r="C859" s="19">
        <v>1.24816043022063e-5</v>
      </c>
      <c r="D859" s="17">
        <f t="shared" si="0"/>
        <v>0</v>
      </c>
      <c r="E859" s="18">
        <f t="shared" si="1"/>
        <v>0</v>
      </c>
      <c r="G859" s="16" t="s">
        <v>1246</v>
      </c>
      <c r="H859" s="16">
        <v>102</v>
      </c>
      <c r="I859" s="19">
        <v>5.84928927694527e-6</v>
      </c>
    </row>
    <row r="860" ht="22.5" customHeight="1" spans="1:9">
      <c r="A860" s="16" t="s">
        <v>1108</v>
      </c>
      <c r="B860" s="16">
        <v>0</v>
      </c>
      <c r="C860" s="19">
        <v>1.24282641128806e-5</v>
      </c>
      <c r="D860" s="17">
        <f t="shared" si="0"/>
        <v>0</v>
      </c>
      <c r="E860" s="18">
        <f t="shared" si="1"/>
        <v>0</v>
      </c>
      <c r="G860" s="16" t="s">
        <v>1241</v>
      </c>
      <c r="H860" s="16">
        <v>102</v>
      </c>
      <c r="I860" s="19">
        <v>5.84928927694527e-6</v>
      </c>
    </row>
    <row r="861" ht="22.5" customHeight="1" spans="1:9">
      <c r="A861" s="16" t="s">
        <v>1109</v>
      </c>
      <c r="B861" s="16">
        <v>0</v>
      </c>
      <c r="C861" s="19">
        <v>1.24282641128806e-5</v>
      </c>
      <c r="D861" s="17">
        <f t="shared" si="0"/>
        <v>0</v>
      </c>
      <c r="E861" s="18">
        <f t="shared" si="1"/>
        <v>0</v>
      </c>
      <c r="G861" s="16" t="s">
        <v>1242</v>
      </c>
      <c r="H861" s="16">
        <v>101</v>
      </c>
      <c r="I861" s="19">
        <v>5.79194330364188e-6</v>
      </c>
    </row>
    <row r="862" ht="22.5" customHeight="1" spans="1:9">
      <c r="A862" s="16" t="s">
        <v>1113</v>
      </c>
      <c r="B862" s="16">
        <v>0</v>
      </c>
      <c r="C862" s="19">
        <v>1.21082229769266e-5</v>
      </c>
      <c r="D862" s="17">
        <f t="shared" si="0"/>
        <v>0</v>
      </c>
      <c r="E862" s="18">
        <f t="shared" si="1"/>
        <v>0</v>
      </c>
      <c r="G862" s="16" t="s">
        <v>1249</v>
      </c>
      <c r="H862" s="16">
        <v>100</v>
      </c>
      <c r="I862" s="19">
        <v>5.7345973303385e-6</v>
      </c>
    </row>
    <row r="863" ht="22.5" customHeight="1" spans="1:9">
      <c r="A863" s="16" t="s">
        <v>1458</v>
      </c>
      <c r="B863" s="16">
        <v>0</v>
      </c>
      <c r="C863" s="19">
        <v>1.20015425982753e-5</v>
      </c>
      <c r="D863" s="17">
        <f t="shared" si="0"/>
        <v>0</v>
      </c>
      <c r="E863" s="18">
        <f t="shared" si="1"/>
        <v>0</v>
      </c>
      <c r="G863" s="16" t="s">
        <v>1250</v>
      </c>
      <c r="H863" s="16">
        <v>98</v>
      </c>
      <c r="I863" s="19">
        <v>5.61990538373173e-6</v>
      </c>
    </row>
    <row r="864" ht="22.5" customHeight="1" spans="1:9">
      <c r="A864" s="16" t="s">
        <v>1115</v>
      </c>
      <c r="B864" s="16">
        <v>0</v>
      </c>
      <c r="C864" s="19">
        <v>1.19482024089496e-5</v>
      </c>
      <c r="D864" s="17">
        <f t="shared" si="0"/>
        <v>0</v>
      </c>
      <c r="E864" s="18">
        <f t="shared" si="1"/>
        <v>0</v>
      </c>
      <c r="G864" s="16" t="s">
        <v>1204</v>
      </c>
      <c r="H864" s="16">
        <v>97</v>
      </c>
      <c r="I864" s="19">
        <v>5.56255941042834e-6</v>
      </c>
    </row>
    <row r="865" ht="22.5" customHeight="1" spans="1:9">
      <c r="A865" s="16" t="s">
        <v>1116</v>
      </c>
      <c r="B865" s="16">
        <v>0</v>
      </c>
      <c r="C865" s="19">
        <v>1.1894862219624e-5</v>
      </c>
      <c r="D865" s="17">
        <f t="shared" si="0"/>
        <v>0</v>
      </c>
      <c r="E865" s="18">
        <f t="shared" si="1"/>
        <v>0</v>
      </c>
      <c r="G865" s="16" t="s">
        <v>1216</v>
      </c>
      <c r="H865" s="16">
        <v>97</v>
      </c>
      <c r="I865" s="19">
        <v>5.56255941042834e-6</v>
      </c>
    </row>
    <row r="866" ht="22.5" customHeight="1" spans="1:9">
      <c r="A866" s="16" t="s">
        <v>1117</v>
      </c>
      <c r="B866" s="16">
        <v>0</v>
      </c>
      <c r="C866" s="19">
        <v>1.1734841651647e-5</v>
      </c>
      <c r="D866" s="17">
        <f t="shared" si="0"/>
        <v>0</v>
      </c>
      <c r="E866" s="18">
        <f t="shared" si="1"/>
        <v>0</v>
      </c>
      <c r="G866" s="16" t="s">
        <v>1253</v>
      </c>
      <c r="H866" s="16">
        <v>97</v>
      </c>
      <c r="I866" s="19">
        <v>5.56255941042834e-6</v>
      </c>
    </row>
    <row r="867" ht="22.5" customHeight="1" spans="1:9">
      <c r="A867" s="16" t="s">
        <v>1118</v>
      </c>
      <c r="B867" s="16">
        <v>0</v>
      </c>
      <c r="C867" s="19">
        <v>1.1734841651647e-5</v>
      </c>
      <c r="D867" s="17">
        <f t="shared" si="0"/>
        <v>0</v>
      </c>
      <c r="E867" s="18">
        <f t="shared" si="1"/>
        <v>0</v>
      </c>
      <c r="G867" s="16" t="s">
        <v>1163</v>
      </c>
      <c r="H867" s="16">
        <v>96</v>
      </c>
      <c r="I867" s="19">
        <v>5.50521343712496e-6</v>
      </c>
    </row>
    <row r="868" ht="22.5" customHeight="1" spans="1:9">
      <c r="A868" s="16" t="s">
        <v>1121</v>
      </c>
      <c r="B868" s="16">
        <v>0</v>
      </c>
      <c r="C868" s="19">
        <v>1.16815014623213e-5</v>
      </c>
      <c r="D868" s="17">
        <f t="shared" si="0"/>
        <v>0</v>
      </c>
      <c r="E868" s="18">
        <f t="shared" si="1"/>
        <v>0</v>
      </c>
      <c r="G868" s="16" t="s">
        <v>1254</v>
      </c>
      <c r="H868" s="16">
        <v>94</v>
      </c>
      <c r="I868" s="19">
        <v>5.39052149051819e-6</v>
      </c>
    </row>
    <row r="869" ht="22.5" customHeight="1" spans="1:9">
      <c r="A869" s="16" t="s">
        <v>1123</v>
      </c>
      <c r="B869" s="16">
        <v>0</v>
      </c>
      <c r="C869" s="19">
        <v>1.16815014623213e-5</v>
      </c>
      <c r="D869" s="17">
        <f t="shared" si="0"/>
        <v>0</v>
      </c>
      <c r="E869" s="18">
        <f t="shared" si="1"/>
        <v>0</v>
      </c>
      <c r="G869" s="16" t="s">
        <v>1255</v>
      </c>
      <c r="H869" s="16">
        <v>94</v>
      </c>
      <c r="I869" s="19">
        <v>5.39052149051819e-6</v>
      </c>
    </row>
    <row r="870" ht="22.5" customHeight="1" spans="1:9">
      <c r="A870" s="16" t="s">
        <v>1125</v>
      </c>
      <c r="B870" s="16">
        <v>0</v>
      </c>
      <c r="C870" s="19">
        <v>1.13614603263673e-5</v>
      </c>
      <c r="D870" s="17">
        <f t="shared" si="0"/>
        <v>0</v>
      </c>
      <c r="E870" s="18">
        <f t="shared" si="1"/>
        <v>0</v>
      </c>
      <c r="G870" s="16" t="s">
        <v>1256</v>
      </c>
      <c r="H870" s="16">
        <v>91</v>
      </c>
      <c r="I870" s="19">
        <v>5.21848357060803e-6</v>
      </c>
    </row>
    <row r="871" ht="22.5" customHeight="1" spans="1:9">
      <c r="A871" s="16" t="s">
        <v>1126</v>
      </c>
      <c r="B871" s="16">
        <v>0</v>
      </c>
      <c r="C871" s="19">
        <v>1.13614603263673e-5</v>
      </c>
      <c r="D871" s="17">
        <f t="shared" si="0"/>
        <v>0</v>
      </c>
      <c r="E871" s="18">
        <f t="shared" si="1"/>
        <v>0</v>
      </c>
      <c r="G871" s="16" t="s">
        <v>1463</v>
      </c>
      <c r="H871" s="16">
        <v>91</v>
      </c>
      <c r="I871" s="19">
        <v>5.21848357060803e-6</v>
      </c>
    </row>
    <row r="872" ht="22.5" customHeight="1" spans="1:9">
      <c r="A872" s="16" t="s">
        <v>1130</v>
      </c>
      <c r="B872" s="16">
        <v>0</v>
      </c>
      <c r="C872" s="19">
        <v>1.11480995690646e-5</v>
      </c>
      <c r="D872" s="17">
        <f t="shared" si="0"/>
        <v>0</v>
      </c>
      <c r="E872" s="18">
        <f t="shared" si="1"/>
        <v>0</v>
      </c>
      <c r="G872" s="16" t="s">
        <v>1247</v>
      </c>
      <c r="H872" s="16">
        <v>89</v>
      </c>
      <c r="I872" s="19">
        <v>5.10379162400126e-6</v>
      </c>
    </row>
    <row r="873" ht="22.5" customHeight="1" spans="1:9">
      <c r="A873" s="16" t="s">
        <v>1134</v>
      </c>
      <c r="B873" s="16">
        <v>0</v>
      </c>
      <c r="C873" s="19">
        <v>1.08280584331106e-5</v>
      </c>
      <c r="D873" s="17">
        <f t="shared" si="0"/>
        <v>0</v>
      </c>
      <c r="E873" s="18">
        <f t="shared" si="1"/>
        <v>0</v>
      </c>
      <c r="G873" s="16" t="s">
        <v>1266</v>
      </c>
      <c r="H873" s="16">
        <v>86</v>
      </c>
      <c r="I873" s="19">
        <v>4.93175370409111e-6</v>
      </c>
    </row>
    <row r="874" ht="22.5" customHeight="1" spans="1:9">
      <c r="A874" s="16" t="s">
        <v>1136</v>
      </c>
      <c r="B874" s="16">
        <v>0</v>
      </c>
      <c r="C874" s="19">
        <v>1.05613574864823e-5</v>
      </c>
      <c r="D874" s="17">
        <f t="shared" si="0"/>
        <v>0</v>
      </c>
      <c r="E874" s="18">
        <f t="shared" si="1"/>
        <v>0</v>
      </c>
      <c r="G874" s="16" t="s">
        <v>1257</v>
      </c>
      <c r="H874" s="16">
        <v>86</v>
      </c>
      <c r="I874" s="19">
        <v>4.93175370409111e-6</v>
      </c>
    </row>
    <row r="875" ht="22.5" customHeight="1" spans="1:9">
      <c r="A875" s="16" t="s">
        <v>1137</v>
      </c>
      <c r="B875" s="16">
        <v>0</v>
      </c>
      <c r="C875" s="19">
        <v>1.05080172971566e-5</v>
      </c>
      <c r="D875" s="17">
        <f t="shared" si="0"/>
        <v>0</v>
      </c>
      <c r="E875" s="18">
        <f t="shared" si="1"/>
        <v>0</v>
      </c>
      <c r="G875" s="16" t="s">
        <v>1261</v>
      </c>
      <c r="H875" s="16">
        <v>85</v>
      </c>
      <c r="I875" s="19">
        <v>4.87440773078772e-6</v>
      </c>
    </row>
    <row r="876" ht="22.5" customHeight="1" spans="1:9">
      <c r="A876" s="16" t="s">
        <v>1141</v>
      </c>
      <c r="B876" s="16">
        <v>0</v>
      </c>
      <c r="C876" s="19">
        <v>1.04013369185053e-5</v>
      </c>
      <c r="D876" s="17">
        <f t="shared" si="0"/>
        <v>0</v>
      </c>
      <c r="E876" s="18">
        <f t="shared" si="1"/>
        <v>0</v>
      </c>
      <c r="G876" s="16" t="s">
        <v>1252</v>
      </c>
      <c r="H876" s="16">
        <v>85</v>
      </c>
      <c r="I876" s="19">
        <v>4.87440773078772e-6</v>
      </c>
    </row>
    <row r="877" ht="22.5" customHeight="1" spans="1:9">
      <c r="A877" s="16" t="s">
        <v>1146</v>
      </c>
      <c r="B877" s="16">
        <v>0</v>
      </c>
      <c r="C877" s="19">
        <v>1.02946565398539e-5</v>
      </c>
      <c r="D877" s="17">
        <f t="shared" si="0"/>
        <v>0</v>
      </c>
      <c r="E877" s="18">
        <f t="shared" si="1"/>
        <v>0</v>
      </c>
      <c r="G877" s="16" t="s">
        <v>1267</v>
      </c>
      <c r="H877" s="16">
        <v>83</v>
      </c>
      <c r="I877" s="19">
        <v>4.75971578418095e-6</v>
      </c>
    </row>
    <row r="878" ht="22.5" customHeight="1" spans="1:9">
      <c r="A878" s="16" t="s">
        <v>1149</v>
      </c>
      <c r="B878" s="16">
        <v>0</v>
      </c>
      <c r="C878" s="19">
        <v>1.02946565398539e-5</v>
      </c>
      <c r="D878" s="17">
        <f t="shared" si="0"/>
        <v>0</v>
      </c>
      <c r="E878" s="18">
        <f t="shared" si="1"/>
        <v>0</v>
      </c>
      <c r="G878" s="16" t="s">
        <v>1268</v>
      </c>
      <c r="H878" s="16">
        <v>83</v>
      </c>
      <c r="I878" s="19">
        <v>4.75971578418095e-6</v>
      </c>
    </row>
    <row r="879" ht="22.5" customHeight="1" spans="1:9">
      <c r="A879" s="16" t="s">
        <v>1151</v>
      </c>
      <c r="B879" s="16">
        <v>0</v>
      </c>
      <c r="C879" s="19">
        <v>1.01346359718769e-5</v>
      </c>
      <c r="D879" s="17">
        <f t="shared" si="0"/>
        <v>0</v>
      </c>
      <c r="E879" s="18">
        <f t="shared" si="1"/>
        <v>0</v>
      </c>
      <c r="G879" s="16" t="s">
        <v>1269</v>
      </c>
      <c r="H879" s="16">
        <v>83</v>
      </c>
      <c r="I879" s="19">
        <v>4.75971578418095e-6</v>
      </c>
    </row>
    <row r="880" ht="22.5" customHeight="1" spans="1:9">
      <c r="A880" s="16" t="s">
        <v>1152</v>
      </c>
      <c r="B880" s="16">
        <v>0</v>
      </c>
      <c r="C880" s="19">
        <v>9.97461540389991e-6</v>
      </c>
      <c r="D880" s="17">
        <f t="shared" si="0"/>
        <v>0</v>
      </c>
      <c r="E880" s="18">
        <f t="shared" si="1"/>
        <v>0</v>
      </c>
      <c r="G880" s="16" t="s">
        <v>1272</v>
      </c>
      <c r="H880" s="16">
        <v>81</v>
      </c>
      <c r="I880" s="19">
        <v>4.64502383757418e-6</v>
      </c>
    </row>
    <row r="881" ht="22.5" customHeight="1" spans="1:9">
      <c r="A881" s="16" t="s">
        <v>1158</v>
      </c>
      <c r="B881" s="16">
        <v>0</v>
      </c>
      <c r="C881" s="19">
        <v>9.65457426794591e-6</v>
      </c>
      <c r="D881" s="17">
        <f t="shared" si="0"/>
        <v>0</v>
      </c>
      <c r="E881" s="18">
        <f t="shared" si="1"/>
        <v>0</v>
      </c>
      <c r="G881" s="16" t="s">
        <v>1270</v>
      </c>
      <c r="H881" s="16">
        <v>81</v>
      </c>
      <c r="I881" s="19">
        <v>4.64502383757418e-6</v>
      </c>
    </row>
    <row r="882" ht="22.5" customHeight="1" spans="1:9">
      <c r="A882" s="16" t="s">
        <v>1160</v>
      </c>
      <c r="B882" s="16">
        <v>0</v>
      </c>
      <c r="C882" s="19">
        <v>9.60123407862024e-6</v>
      </c>
      <c r="D882" s="17">
        <f t="shared" si="0"/>
        <v>0</v>
      </c>
      <c r="E882" s="18">
        <f t="shared" si="1"/>
        <v>0</v>
      </c>
      <c r="G882" s="16" t="s">
        <v>1275</v>
      </c>
      <c r="H882" s="16">
        <v>80</v>
      </c>
      <c r="I882" s="19">
        <v>4.5876778642708e-6</v>
      </c>
    </row>
    <row r="883" ht="22.5" customHeight="1" spans="1:9">
      <c r="A883" s="16" t="s">
        <v>1166</v>
      </c>
      <c r="B883" s="16">
        <v>0</v>
      </c>
      <c r="C883" s="19">
        <v>9.1745125640149e-6</v>
      </c>
      <c r="D883" s="17">
        <f t="shared" si="0"/>
        <v>0</v>
      </c>
      <c r="E883" s="18">
        <f t="shared" si="1"/>
        <v>0</v>
      </c>
      <c r="G883" s="16" t="s">
        <v>1278</v>
      </c>
      <c r="H883" s="16">
        <v>77</v>
      </c>
      <c r="I883" s="19">
        <v>4.41563994436064e-6</v>
      </c>
    </row>
    <row r="884" ht="22.5" customHeight="1" spans="1:9">
      <c r="A884" s="16" t="s">
        <v>1167</v>
      </c>
      <c r="B884" s="16">
        <v>0</v>
      </c>
      <c r="C884" s="19">
        <v>9.06783218536356e-6</v>
      </c>
      <c r="D884" s="17">
        <f t="shared" si="0"/>
        <v>0</v>
      </c>
      <c r="E884" s="18">
        <f t="shared" si="1"/>
        <v>0</v>
      </c>
      <c r="G884" s="16" t="s">
        <v>1281</v>
      </c>
      <c r="H884" s="16">
        <v>76</v>
      </c>
      <c r="I884" s="19">
        <v>4.35829397105726e-6</v>
      </c>
    </row>
    <row r="885" ht="22.5" customHeight="1" spans="1:9">
      <c r="A885" s="16" t="s">
        <v>1169</v>
      </c>
      <c r="B885" s="16">
        <v>0</v>
      </c>
      <c r="C885" s="19">
        <v>9.01449199603789e-6</v>
      </c>
      <c r="D885" s="17">
        <f t="shared" si="0"/>
        <v>0</v>
      </c>
      <c r="E885" s="18">
        <f t="shared" si="1"/>
        <v>0</v>
      </c>
      <c r="G885" s="16" t="s">
        <v>1282</v>
      </c>
      <c r="H885" s="16">
        <v>76</v>
      </c>
      <c r="I885" s="19">
        <v>4.35829397105726e-6</v>
      </c>
    </row>
    <row r="886" ht="22.5" customHeight="1" spans="1:9">
      <c r="A886" s="16" t="s">
        <v>1171</v>
      </c>
      <c r="B886" s="16">
        <v>0</v>
      </c>
      <c r="C886" s="19">
        <v>8.90781161738656e-6</v>
      </c>
      <c r="D886" s="17">
        <f t="shared" si="0"/>
        <v>0</v>
      </c>
      <c r="E886" s="18">
        <f t="shared" si="1"/>
        <v>0</v>
      </c>
      <c r="G886" s="16" t="s">
        <v>1264</v>
      </c>
      <c r="H886" s="16">
        <v>75</v>
      </c>
      <c r="I886" s="19">
        <v>4.30094799775387e-6</v>
      </c>
    </row>
    <row r="887" ht="22.5" customHeight="1" spans="1:9">
      <c r="A887" s="16" t="s">
        <v>1176</v>
      </c>
      <c r="B887" s="16">
        <v>0</v>
      </c>
      <c r="C887" s="19">
        <v>8.64111067075821e-6</v>
      </c>
      <c r="D887" s="17">
        <f t="shared" si="0"/>
        <v>0</v>
      </c>
      <c r="E887" s="18">
        <f t="shared" si="1"/>
        <v>0</v>
      </c>
      <c r="G887" s="16" t="s">
        <v>1466</v>
      </c>
      <c r="H887" s="16">
        <v>73</v>
      </c>
      <c r="I887" s="19">
        <v>4.1862560511471e-6</v>
      </c>
    </row>
    <row r="888" ht="22.5" customHeight="1" spans="1:9">
      <c r="A888" s="16" t="s">
        <v>1177</v>
      </c>
      <c r="B888" s="16">
        <v>0</v>
      </c>
      <c r="C888" s="19">
        <v>8.58777048143255e-6</v>
      </c>
      <c r="D888" s="17">
        <f t="shared" si="0"/>
        <v>0</v>
      </c>
      <c r="E888" s="18">
        <f t="shared" si="1"/>
        <v>0</v>
      </c>
      <c r="G888" s="16" t="s">
        <v>1263</v>
      </c>
      <c r="H888" s="16">
        <v>73</v>
      </c>
      <c r="I888" s="19">
        <v>4.1862560511471e-6</v>
      </c>
    </row>
    <row r="889" ht="22.5" customHeight="1" spans="1:9">
      <c r="A889" s="16" t="s">
        <v>1179</v>
      </c>
      <c r="B889" s="16">
        <v>0</v>
      </c>
      <c r="C889" s="19">
        <v>8.53443029210688e-6</v>
      </c>
      <c r="D889" s="17">
        <f t="shared" si="0"/>
        <v>0</v>
      </c>
      <c r="E889" s="18">
        <f t="shared" si="1"/>
        <v>0</v>
      </c>
      <c r="G889" s="16" t="s">
        <v>1193</v>
      </c>
      <c r="H889" s="16">
        <v>73</v>
      </c>
      <c r="I889" s="19">
        <v>4.1862560511471e-6</v>
      </c>
    </row>
    <row r="890" ht="22.5" customHeight="1" spans="1:9">
      <c r="A890" s="16" t="s">
        <v>1180</v>
      </c>
      <c r="B890" s="16">
        <v>0</v>
      </c>
      <c r="C890" s="19">
        <v>8.32106953480421e-6</v>
      </c>
      <c r="D890" s="17">
        <f t="shared" si="0"/>
        <v>0</v>
      </c>
      <c r="E890" s="18">
        <f t="shared" si="1"/>
        <v>0</v>
      </c>
      <c r="G890" s="16" t="s">
        <v>1284</v>
      </c>
      <c r="H890" s="16">
        <v>72</v>
      </c>
      <c r="I890" s="19">
        <v>4.12891007784372e-6</v>
      </c>
    </row>
    <row r="891" ht="22.5" customHeight="1" spans="1:9">
      <c r="A891" s="16" t="s">
        <v>1184</v>
      </c>
      <c r="B891" s="16">
        <v>0</v>
      </c>
      <c r="C891" s="19">
        <v>8.26772934547854e-6</v>
      </c>
      <c r="D891" s="17">
        <f t="shared" si="0"/>
        <v>0</v>
      </c>
      <c r="E891" s="18">
        <f t="shared" si="1"/>
        <v>0</v>
      </c>
      <c r="G891" s="16" t="s">
        <v>1285</v>
      </c>
      <c r="H891" s="16">
        <v>72</v>
      </c>
      <c r="I891" s="19">
        <v>4.12891007784372e-6</v>
      </c>
    </row>
    <row r="892" ht="22.5" customHeight="1" spans="1:9">
      <c r="A892" s="16" t="s">
        <v>1185</v>
      </c>
      <c r="B892" s="16">
        <v>0</v>
      </c>
      <c r="C892" s="19">
        <v>8.21438915615287e-6</v>
      </c>
      <c r="D892" s="17">
        <f t="shared" si="0"/>
        <v>0</v>
      </c>
      <c r="E892" s="18">
        <f t="shared" si="1"/>
        <v>0</v>
      </c>
      <c r="G892" s="16" t="s">
        <v>1287</v>
      </c>
      <c r="H892" s="16">
        <v>72</v>
      </c>
      <c r="I892" s="19">
        <v>4.12891007784372e-6</v>
      </c>
    </row>
    <row r="893" ht="22.5" customHeight="1" spans="1:9">
      <c r="A893" s="16" t="s">
        <v>1188</v>
      </c>
      <c r="B893" s="16">
        <v>0</v>
      </c>
      <c r="C893" s="19">
        <v>8.05436858817587e-6</v>
      </c>
      <c r="D893" s="17">
        <f t="shared" si="0"/>
        <v>0</v>
      </c>
      <c r="E893" s="18">
        <f t="shared" si="1"/>
        <v>0</v>
      </c>
      <c r="G893" s="16" t="s">
        <v>1293</v>
      </c>
      <c r="H893" s="16">
        <v>70</v>
      </c>
      <c r="I893" s="19">
        <v>4.01421813123695e-6</v>
      </c>
    </row>
    <row r="894" ht="22.5" customHeight="1" spans="1:9">
      <c r="A894" s="16" t="s">
        <v>1190</v>
      </c>
      <c r="B894" s="16">
        <v>0</v>
      </c>
      <c r="C894" s="19">
        <v>7.94768820952453e-6</v>
      </c>
      <c r="D894" s="17">
        <f t="shared" si="0"/>
        <v>0</v>
      </c>
      <c r="E894" s="18">
        <f t="shared" si="1"/>
        <v>0</v>
      </c>
      <c r="G894" s="16" t="s">
        <v>1274</v>
      </c>
      <c r="H894" s="16">
        <v>69</v>
      </c>
      <c r="I894" s="19">
        <v>3.95687215793356e-6</v>
      </c>
    </row>
    <row r="895" ht="22.5" customHeight="1" spans="1:9">
      <c r="A895" s="16" t="s">
        <v>1191</v>
      </c>
      <c r="B895" s="16">
        <v>0</v>
      </c>
      <c r="C895" s="19">
        <v>7.84100783087319e-6</v>
      </c>
      <c r="D895" s="17">
        <f t="shared" si="0"/>
        <v>0</v>
      </c>
      <c r="E895" s="18">
        <f t="shared" si="1"/>
        <v>0</v>
      </c>
      <c r="G895" s="16" t="s">
        <v>1294</v>
      </c>
      <c r="H895" s="16">
        <v>68</v>
      </c>
      <c r="I895" s="19">
        <v>3.89952618463018e-6</v>
      </c>
    </row>
    <row r="896" ht="22.5" customHeight="1" spans="1:9">
      <c r="A896" s="16" t="s">
        <v>1195</v>
      </c>
      <c r="B896" s="16">
        <v>0</v>
      </c>
      <c r="C896" s="19">
        <v>7.57430688424485e-6</v>
      </c>
      <c r="D896" s="17">
        <f t="shared" si="0"/>
        <v>0</v>
      </c>
      <c r="E896" s="18">
        <f t="shared" si="1"/>
        <v>0</v>
      </c>
      <c r="G896" s="16" t="s">
        <v>1295</v>
      </c>
      <c r="H896" s="16">
        <v>68</v>
      </c>
      <c r="I896" s="19">
        <v>3.89952618463018e-6</v>
      </c>
    </row>
    <row r="897" ht="22.5" customHeight="1" spans="1:9">
      <c r="A897" s="16" t="s">
        <v>1198</v>
      </c>
      <c r="B897" s="16">
        <v>0</v>
      </c>
      <c r="C897" s="19">
        <v>7.41428631626785e-6</v>
      </c>
      <c r="D897" s="17">
        <f t="shared" si="0"/>
        <v>0</v>
      </c>
      <c r="E897" s="18">
        <f t="shared" si="1"/>
        <v>0</v>
      </c>
      <c r="G897" s="16" t="s">
        <v>1296</v>
      </c>
      <c r="H897" s="16">
        <v>66</v>
      </c>
      <c r="I897" s="19">
        <v>3.78483423802341e-6</v>
      </c>
    </row>
    <row r="898" ht="22.5" customHeight="1" spans="1:9">
      <c r="A898" s="16" t="s">
        <v>1203</v>
      </c>
      <c r="B898" s="16">
        <v>0</v>
      </c>
      <c r="C898" s="19">
        <v>7.25426574829085e-6</v>
      </c>
      <c r="D898" s="17">
        <f t="shared" si="0"/>
        <v>0</v>
      </c>
      <c r="E898" s="18">
        <f t="shared" si="1"/>
        <v>0</v>
      </c>
      <c r="G898" s="16" t="s">
        <v>1298</v>
      </c>
      <c r="H898" s="16">
        <v>66</v>
      </c>
      <c r="I898" s="19">
        <v>3.78483423802341e-6</v>
      </c>
    </row>
    <row r="899" ht="22.5" customHeight="1" spans="1:9">
      <c r="A899" s="16" t="s">
        <v>1205</v>
      </c>
      <c r="B899" s="16">
        <v>0</v>
      </c>
      <c r="C899" s="19">
        <v>7.14758536963951e-6</v>
      </c>
      <c r="D899" s="17">
        <f t="shared" si="0"/>
        <v>0</v>
      </c>
      <c r="E899" s="18">
        <f t="shared" si="1"/>
        <v>0</v>
      </c>
      <c r="G899" s="16" t="s">
        <v>1244</v>
      </c>
      <c r="H899" s="16">
        <v>66</v>
      </c>
      <c r="I899" s="19">
        <v>3.78483423802341e-6</v>
      </c>
    </row>
    <row r="900" ht="22.5" customHeight="1" spans="1:9">
      <c r="A900" s="16" t="s">
        <v>1207</v>
      </c>
      <c r="B900" s="16">
        <v>0</v>
      </c>
      <c r="C900" s="19">
        <v>6.88088442301117e-6</v>
      </c>
      <c r="D900" s="17">
        <f t="shared" si="0"/>
        <v>0</v>
      </c>
      <c r="E900" s="18">
        <f t="shared" si="1"/>
        <v>0</v>
      </c>
      <c r="G900" s="16" t="s">
        <v>1300</v>
      </c>
      <c r="H900" s="16">
        <v>65</v>
      </c>
      <c r="I900" s="19">
        <v>3.72748826472002e-6</v>
      </c>
    </row>
    <row r="901" ht="22.5" customHeight="1" spans="1:9">
      <c r="A901" s="16" t="s">
        <v>1212</v>
      </c>
      <c r="B901" s="16">
        <v>0</v>
      </c>
      <c r="C901" s="19">
        <v>6.72086385503417e-6</v>
      </c>
      <c r="D901" s="17">
        <f t="shared" si="0"/>
        <v>0</v>
      </c>
      <c r="E901" s="18">
        <f t="shared" si="1"/>
        <v>0</v>
      </c>
      <c r="G901" s="16" t="s">
        <v>1301</v>
      </c>
      <c r="H901" s="16">
        <v>65</v>
      </c>
      <c r="I901" s="19">
        <v>3.72748826472002e-6</v>
      </c>
    </row>
    <row r="902" ht="22.5" customHeight="1" spans="1:9">
      <c r="A902" s="16" t="s">
        <v>1482</v>
      </c>
      <c r="B902" s="16">
        <v>0</v>
      </c>
      <c r="C902" s="19">
        <v>6.72086385503417e-6</v>
      </c>
      <c r="D902" s="17">
        <f t="shared" si="0"/>
        <v>0</v>
      </c>
      <c r="E902" s="18">
        <f t="shared" si="1"/>
        <v>0</v>
      </c>
      <c r="G902" s="16" t="s">
        <v>1302</v>
      </c>
      <c r="H902" s="16">
        <v>64</v>
      </c>
      <c r="I902" s="19">
        <v>3.67014229141664e-6</v>
      </c>
    </row>
    <row r="903" ht="22.5" customHeight="1" spans="1:9">
      <c r="A903" s="16" t="s">
        <v>1214</v>
      </c>
      <c r="B903" s="16">
        <v>0</v>
      </c>
      <c r="C903" s="19">
        <v>6.56084328705716e-6</v>
      </c>
      <c r="D903" s="17">
        <f t="shared" si="0"/>
        <v>0</v>
      </c>
      <c r="E903" s="18">
        <f t="shared" si="1"/>
        <v>0</v>
      </c>
      <c r="G903" s="16" t="s">
        <v>1303</v>
      </c>
      <c r="H903" s="16">
        <v>63</v>
      </c>
      <c r="I903" s="19">
        <v>3.61279631811325e-6</v>
      </c>
    </row>
    <row r="904" ht="22.5" customHeight="1" spans="1:9">
      <c r="A904" s="16" t="s">
        <v>1217</v>
      </c>
      <c r="B904" s="16">
        <v>0</v>
      </c>
      <c r="C904" s="19">
        <v>6.50750309773149e-6</v>
      </c>
      <c r="D904" s="17">
        <f t="shared" si="0"/>
        <v>0</v>
      </c>
      <c r="E904" s="18">
        <f t="shared" si="1"/>
        <v>0</v>
      </c>
      <c r="G904" s="16" t="s">
        <v>1306</v>
      </c>
      <c r="H904" s="16">
        <v>62</v>
      </c>
      <c r="I904" s="19">
        <v>3.55545034480987e-6</v>
      </c>
    </row>
    <row r="905" ht="22.5" customHeight="1" spans="1:9">
      <c r="A905" s="16" t="s">
        <v>1218</v>
      </c>
      <c r="B905" s="16">
        <v>0</v>
      </c>
      <c r="C905" s="19">
        <v>6.50750309773149e-6</v>
      </c>
      <c r="D905" s="17">
        <f t="shared" si="0"/>
        <v>0</v>
      </c>
      <c r="E905" s="18">
        <f t="shared" si="1"/>
        <v>0</v>
      </c>
      <c r="G905" s="16" t="s">
        <v>1206</v>
      </c>
      <c r="H905" s="16">
        <v>61</v>
      </c>
      <c r="I905" s="19">
        <v>3.49810437150648e-6</v>
      </c>
    </row>
    <row r="906" ht="22.5" customHeight="1" spans="1:9">
      <c r="A906" s="16" t="s">
        <v>1219</v>
      </c>
      <c r="B906" s="16">
        <v>0</v>
      </c>
      <c r="C906" s="19">
        <v>6.45416290840583e-6</v>
      </c>
      <c r="D906" s="17">
        <f t="shared" si="0"/>
        <v>0</v>
      </c>
      <c r="E906" s="18">
        <f t="shared" si="1"/>
        <v>0</v>
      </c>
      <c r="G906" s="16" t="s">
        <v>1304</v>
      </c>
      <c r="H906" s="16">
        <v>61</v>
      </c>
      <c r="I906" s="19">
        <v>3.49810437150648e-6</v>
      </c>
    </row>
    <row r="907" ht="22.5" customHeight="1" spans="1:9">
      <c r="A907" s="16" t="s">
        <v>1221</v>
      </c>
      <c r="B907" s="16">
        <v>0</v>
      </c>
      <c r="C907" s="19">
        <v>6.34748252975449e-6</v>
      </c>
      <c r="D907" s="17">
        <f t="shared" si="0"/>
        <v>0</v>
      </c>
      <c r="E907" s="18">
        <f t="shared" si="1"/>
        <v>0</v>
      </c>
      <c r="G907" s="16" t="s">
        <v>1277</v>
      </c>
      <c r="H907" s="16">
        <v>61</v>
      </c>
      <c r="I907" s="19">
        <v>3.49810437150648e-6</v>
      </c>
    </row>
    <row r="908" ht="22.5" customHeight="1" spans="1:9">
      <c r="A908" s="16" t="s">
        <v>1224</v>
      </c>
      <c r="B908" s="16">
        <v>0</v>
      </c>
      <c r="C908" s="19">
        <v>6.18746196177749e-6</v>
      </c>
      <c r="D908" s="17">
        <f t="shared" si="0"/>
        <v>0</v>
      </c>
      <c r="E908" s="18">
        <f t="shared" si="1"/>
        <v>0</v>
      </c>
      <c r="G908" s="16" t="s">
        <v>1289</v>
      </c>
      <c r="H908" s="16">
        <v>61</v>
      </c>
      <c r="I908" s="19">
        <v>3.49810437150648e-6</v>
      </c>
    </row>
    <row r="909" ht="22.5" customHeight="1" spans="1:9">
      <c r="A909" s="16" t="s">
        <v>1225</v>
      </c>
      <c r="B909" s="16">
        <v>0</v>
      </c>
      <c r="C909" s="19">
        <v>6.18746196177749e-6</v>
      </c>
      <c r="D909" s="17">
        <f t="shared" si="0"/>
        <v>0</v>
      </c>
      <c r="E909" s="18">
        <f t="shared" si="1"/>
        <v>0</v>
      </c>
      <c r="G909" s="16" t="s">
        <v>1056</v>
      </c>
      <c r="H909" s="16">
        <v>60</v>
      </c>
      <c r="I909" s="19">
        <v>3.4407583982031e-6</v>
      </c>
    </row>
    <row r="910" ht="22.5" customHeight="1" spans="1:9">
      <c r="A910" s="16" t="s">
        <v>1226</v>
      </c>
      <c r="B910" s="16">
        <v>0</v>
      </c>
      <c r="C910" s="19">
        <v>6.13412177245182e-6</v>
      </c>
      <c r="D910" s="17">
        <f t="shared" si="0"/>
        <v>0</v>
      </c>
      <c r="E910" s="18">
        <f t="shared" si="1"/>
        <v>0</v>
      </c>
      <c r="G910" s="16" t="s">
        <v>1309</v>
      </c>
      <c r="H910" s="16">
        <v>60</v>
      </c>
      <c r="I910" s="19">
        <v>3.4407583982031e-6</v>
      </c>
    </row>
    <row r="911" ht="22.5" customHeight="1" spans="1:9">
      <c r="A911" s="16" t="s">
        <v>1228</v>
      </c>
      <c r="B911" s="16">
        <v>0</v>
      </c>
      <c r="C911" s="19">
        <v>6.13412177245182e-6</v>
      </c>
      <c r="D911" s="17">
        <f t="shared" si="0"/>
        <v>0</v>
      </c>
      <c r="E911" s="18">
        <f t="shared" si="1"/>
        <v>0</v>
      </c>
      <c r="G911" s="16" t="s">
        <v>1311</v>
      </c>
      <c r="H911" s="16">
        <v>59</v>
      </c>
      <c r="I911" s="19">
        <v>3.38341242489971e-6</v>
      </c>
    </row>
    <row r="912" ht="22.5" customHeight="1" spans="1:9">
      <c r="A912" s="16" t="s">
        <v>1235</v>
      </c>
      <c r="B912" s="16">
        <v>0</v>
      </c>
      <c r="C912" s="19">
        <v>6.02744139380048e-6</v>
      </c>
      <c r="D912" s="17">
        <f t="shared" si="0"/>
        <v>0</v>
      </c>
      <c r="E912" s="18">
        <f t="shared" si="1"/>
        <v>0</v>
      </c>
      <c r="G912" s="16" t="s">
        <v>1314</v>
      </c>
      <c r="H912" s="16">
        <v>57</v>
      </c>
      <c r="I912" s="19">
        <v>3.26872047829294e-6</v>
      </c>
    </row>
    <row r="913" ht="22.5" customHeight="1" spans="1:9">
      <c r="A913" s="16" t="s">
        <v>1238</v>
      </c>
      <c r="B913" s="16">
        <v>0</v>
      </c>
      <c r="C913" s="19">
        <v>5.92076101514915e-6</v>
      </c>
      <c r="D913" s="17">
        <f t="shared" si="0"/>
        <v>0</v>
      </c>
      <c r="E913" s="18">
        <f t="shared" si="1"/>
        <v>0</v>
      </c>
      <c r="G913" s="16" t="s">
        <v>1310</v>
      </c>
      <c r="H913" s="16">
        <v>57</v>
      </c>
      <c r="I913" s="19">
        <v>3.26872047829294e-6</v>
      </c>
    </row>
    <row r="914" ht="22.5" customHeight="1" spans="1:9">
      <c r="A914" s="16" t="s">
        <v>1240</v>
      </c>
      <c r="B914" s="16">
        <v>0</v>
      </c>
      <c r="C914" s="19">
        <v>5.92076101514915e-6</v>
      </c>
      <c r="D914" s="17">
        <f t="shared" si="0"/>
        <v>0</v>
      </c>
      <c r="E914" s="18">
        <f t="shared" si="1"/>
        <v>0</v>
      </c>
      <c r="G914" s="16" t="s">
        <v>1316</v>
      </c>
      <c r="H914" s="16">
        <v>57</v>
      </c>
      <c r="I914" s="19">
        <v>3.26872047829294e-6</v>
      </c>
    </row>
    <row r="915" ht="22.5" customHeight="1" spans="1:9">
      <c r="A915" s="16" t="s">
        <v>1019</v>
      </c>
      <c r="B915" s="16">
        <v>0</v>
      </c>
      <c r="C915" s="19">
        <v>5.54737968986947e-6</v>
      </c>
      <c r="D915" s="17">
        <f t="shared" si="0"/>
        <v>0</v>
      </c>
      <c r="E915" s="18">
        <f t="shared" si="1"/>
        <v>0</v>
      </c>
      <c r="G915" s="16" t="s">
        <v>1317</v>
      </c>
      <c r="H915" s="16">
        <v>57</v>
      </c>
      <c r="I915" s="19">
        <v>3.26872047829294e-6</v>
      </c>
    </row>
    <row r="916" ht="22.5" customHeight="1" spans="1:9">
      <c r="A916" s="16" t="s">
        <v>1246</v>
      </c>
      <c r="B916" s="16">
        <v>0</v>
      </c>
      <c r="C916" s="19">
        <v>5.44069931121814e-6</v>
      </c>
      <c r="D916" s="17">
        <f t="shared" si="0"/>
        <v>0</v>
      </c>
      <c r="E916" s="18">
        <f t="shared" si="1"/>
        <v>0</v>
      </c>
      <c r="G916" s="16" t="s">
        <v>1215</v>
      </c>
      <c r="H916" s="16">
        <v>57</v>
      </c>
      <c r="I916" s="19">
        <v>3.26872047829294e-6</v>
      </c>
    </row>
    <row r="917" ht="22.5" customHeight="1" spans="1:9">
      <c r="A917" s="16" t="s">
        <v>1249</v>
      </c>
      <c r="B917" s="16">
        <v>0</v>
      </c>
      <c r="C917" s="19">
        <v>5.3340189325668e-6</v>
      </c>
      <c r="D917" s="17">
        <f t="shared" si="0"/>
        <v>0</v>
      </c>
      <c r="E917" s="18">
        <f t="shared" si="1"/>
        <v>0</v>
      </c>
      <c r="G917" s="16" t="s">
        <v>1319</v>
      </c>
      <c r="H917" s="16">
        <v>56</v>
      </c>
      <c r="I917" s="19">
        <v>3.21137450498956e-6</v>
      </c>
    </row>
    <row r="918" ht="22.5" customHeight="1" spans="1:9">
      <c r="A918" s="16" t="s">
        <v>1250</v>
      </c>
      <c r="B918" s="16">
        <v>0</v>
      </c>
      <c r="C918" s="19">
        <v>5.22733855391546e-6</v>
      </c>
      <c r="D918" s="17">
        <f t="shared" si="0"/>
        <v>0</v>
      </c>
      <c r="E918" s="18">
        <f t="shared" si="1"/>
        <v>0</v>
      </c>
      <c r="G918" s="16" t="s">
        <v>1321</v>
      </c>
      <c r="H918" s="16">
        <v>56</v>
      </c>
      <c r="I918" s="19">
        <v>3.21137450498956e-6</v>
      </c>
    </row>
    <row r="919" ht="22.5" customHeight="1" spans="1:9">
      <c r="A919" s="16" t="s">
        <v>1253</v>
      </c>
      <c r="B919" s="16">
        <v>0</v>
      </c>
      <c r="C919" s="19">
        <v>5.1739983645898e-6</v>
      </c>
      <c r="D919" s="17">
        <f t="shared" si="0"/>
        <v>0</v>
      </c>
      <c r="E919" s="18">
        <f t="shared" si="1"/>
        <v>0</v>
      </c>
      <c r="G919" s="16" t="s">
        <v>1322</v>
      </c>
      <c r="H919" s="16">
        <v>55</v>
      </c>
      <c r="I919" s="19">
        <v>3.15402853168617e-6</v>
      </c>
    </row>
    <row r="920" ht="22.5" customHeight="1" spans="1:9">
      <c r="A920" s="16" t="s">
        <v>1254</v>
      </c>
      <c r="B920" s="16">
        <v>0</v>
      </c>
      <c r="C920" s="19">
        <v>5.01397779661279e-6</v>
      </c>
      <c r="D920" s="17">
        <f t="shared" si="0"/>
        <v>0</v>
      </c>
      <c r="E920" s="18">
        <f t="shared" si="1"/>
        <v>0</v>
      </c>
      <c r="G920" s="16" t="s">
        <v>1324</v>
      </c>
      <c r="H920" s="16">
        <v>54</v>
      </c>
      <c r="I920" s="19">
        <v>3.09668255838279e-6</v>
      </c>
    </row>
    <row r="921" ht="22.5" customHeight="1" spans="1:9">
      <c r="A921" s="16" t="s">
        <v>1255</v>
      </c>
      <c r="B921" s="16">
        <v>0</v>
      </c>
      <c r="C921" s="19">
        <v>5.01397779661279e-6</v>
      </c>
      <c r="D921" s="17">
        <f t="shared" si="0"/>
        <v>0</v>
      </c>
      <c r="E921" s="18">
        <f t="shared" si="1"/>
        <v>0</v>
      </c>
      <c r="G921" s="16" t="s">
        <v>1327</v>
      </c>
      <c r="H921" s="16">
        <v>53</v>
      </c>
      <c r="I921" s="19">
        <v>3.0393365850794e-6</v>
      </c>
    </row>
    <row r="922" ht="22.5" customHeight="1" spans="1:9">
      <c r="A922" s="16" t="s">
        <v>1256</v>
      </c>
      <c r="B922" s="16">
        <v>0</v>
      </c>
      <c r="C922" s="19">
        <v>4.85395722863579e-6</v>
      </c>
      <c r="D922" s="17">
        <f t="shared" si="0"/>
        <v>0</v>
      </c>
      <c r="E922" s="18">
        <f t="shared" si="1"/>
        <v>0</v>
      </c>
      <c r="G922" s="16" t="s">
        <v>1323</v>
      </c>
      <c r="H922" s="16">
        <v>53</v>
      </c>
      <c r="I922" s="19">
        <v>3.0393365850794e-6</v>
      </c>
    </row>
    <row r="923" ht="22.5" customHeight="1" spans="1:9">
      <c r="A923" s="16" t="s">
        <v>1463</v>
      </c>
      <c r="B923" s="16">
        <v>0</v>
      </c>
      <c r="C923" s="19">
        <v>4.85395722863579e-6</v>
      </c>
      <c r="D923" s="17">
        <f t="shared" si="0"/>
        <v>0</v>
      </c>
      <c r="E923" s="18">
        <f t="shared" si="1"/>
        <v>0</v>
      </c>
      <c r="G923" s="16" t="s">
        <v>1243</v>
      </c>
      <c r="H923" s="16">
        <v>53</v>
      </c>
      <c r="I923" s="19">
        <v>3.0393365850794e-6</v>
      </c>
    </row>
    <row r="924" ht="22.5" customHeight="1" spans="1:9">
      <c r="A924" s="16" t="s">
        <v>1266</v>
      </c>
      <c r="B924" s="16">
        <v>0</v>
      </c>
      <c r="C924" s="19">
        <v>4.58725628200745e-6</v>
      </c>
      <c r="D924" s="17">
        <f t="shared" si="0"/>
        <v>0</v>
      </c>
      <c r="E924" s="18">
        <f t="shared" si="1"/>
        <v>0</v>
      </c>
      <c r="G924" s="16" t="s">
        <v>1332</v>
      </c>
      <c r="H924" s="16">
        <v>51</v>
      </c>
      <c r="I924" s="19">
        <v>2.92464463847263e-6</v>
      </c>
    </row>
    <row r="925" ht="22.5" customHeight="1" spans="1:9">
      <c r="A925" s="16" t="s">
        <v>1267</v>
      </c>
      <c r="B925" s="16">
        <v>0</v>
      </c>
      <c r="C925" s="19">
        <v>4.42723571403044e-6</v>
      </c>
      <c r="D925" s="17">
        <f t="shared" si="0"/>
        <v>0</v>
      </c>
      <c r="E925" s="18">
        <f t="shared" si="1"/>
        <v>0</v>
      </c>
      <c r="G925" s="16" t="s">
        <v>1325</v>
      </c>
      <c r="H925" s="16">
        <v>50</v>
      </c>
      <c r="I925" s="19">
        <v>2.86729866516925e-6</v>
      </c>
    </row>
    <row r="926" ht="22.5" customHeight="1" spans="1:9">
      <c r="A926" s="16" t="s">
        <v>1268</v>
      </c>
      <c r="B926" s="16">
        <v>0</v>
      </c>
      <c r="C926" s="19">
        <v>4.42723571403044e-6</v>
      </c>
      <c r="D926" s="17">
        <f t="shared" si="0"/>
        <v>0</v>
      </c>
      <c r="E926" s="18">
        <f t="shared" si="1"/>
        <v>0</v>
      </c>
      <c r="G926" s="16" t="s">
        <v>1329</v>
      </c>
      <c r="H926" s="16">
        <v>50</v>
      </c>
      <c r="I926" s="19">
        <v>2.86729866516925e-6</v>
      </c>
    </row>
    <row r="927" ht="22.5" customHeight="1" spans="1:9">
      <c r="A927" s="16" t="s">
        <v>1269</v>
      </c>
      <c r="B927" s="16">
        <v>0</v>
      </c>
      <c r="C927" s="19">
        <v>4.42723571403044e-6</v>
      </c>
      <c r="D927" s="17">
        <f t="shared" si="0"/>
        <v>0</v>
      </c>
      <c r="E927" s="18">
        <f t="shared" si="1"/>
        <v>0</v>
      </c>
      <c r="G927" s="16" t="s">
        <v>945</v>
      </c>
      <c r="H927" s="16">
        <v>50</v>
      </c>
      <c r="I927" s="19">
        <v>2.86729866516925e-6</v>
      </c>
    </row>
    <row r="928" ht="22.5" customHeight="1" spans="1:9">
      <c r="A928" s="16" t="s">
        <v>1272</v>
      </c>
      <c r="B928" s="16">
        <v>0</v>
      </c>
      <c r="C928" s="19">
        <v>4.32055533537911e-6</v>
      </c>
      <c r="D928" s="17">
        <f t="shared" si="0"/>
        <v>0</v>
      </c>
      <c r="E928" s="18">
        <f t="shared" si="1"/>
        <v>0</v>
      </c>
      <c r="G928" s="16" t="s">
        <v>1334</v>
      </c>
      <c r="H928" s="16">
        <v>50</v>
      </c>
      <c r="I928" s="19">
        <v>2.86729866516925e-6</v>
      </c>
    </row>
    <row r="929" ht="22.5" customHeight="1" spans="1:9">
      <c r="A929" s="16" t="s">
        <v>1275</v>
      </c>
      <c r="B929" s="16">
        <v>0</v>
      </c>
      <c r="C929" s="19">
        <v>4.26721514605344e-6</v>
      </c>
      <c r="D929" s="17">
        <f t="shared" si="0"/>
        <v>0</v>
      </c>
      <c r="E929" s="18">
        <f t="shared" si="1"/>
        <v>0</v>
      </c>
      <c r="G929" s="16" t="s">
        <v>1333</v>
      </c>
      <c r="H929" s="16">
        <v>49</v>
      </c>
      <c r="I929" s="19">
        <v>2.80995269186586e-6</v>
      </c>
    </row>
    <row r="930" ht="22.5" customHeight="1" spans="1:9">
      <c r="A930" s="16" t="s">
        <v>1278</v>
      </c>
      <c r="B930" s="16">
        <v>0</v>
      </c>
      <c r="C930" s="19">
        <v>4.10719457807644e-6</v>
      </c>
      <c r="D930" s="17">
        <f t="shared" si="0"/>
        <v>0</v>
      </c>
      <c r="E930" s="18">
        <f t="shared" si="1"/>
        <v>0</v>
      </c>
      <c r="G930" s="16" t="s">
        <v>1331</v>
      </c>
      <c r="H930" s="16">
        <v>49</v>
      </c>
      <c r="I930" s="19">
        <v>2.80995269186586e-6</v>
      </c>
    </row>
    <row r="931" ht="22.5" customHeight="1" spans="1:9">
      <c r="A931" s="16" t="s">
        <v>1281</v>
      </c>
      <c r="B931" s="16">
        <v>0</v>
      </c>
      <c r="C931" s="19">
        <v>4.05385438875077e-6</v>
      </c>
      <c r="D931" s="17">
        <f t="shared" si="0"/>
        <v>0</v>
      </c>
      <c r="E931" s="18">
        <f t="shared" si="1"/>
        <v>0</v>
      </c>
      <c r="G931" s="16" t="s">
        <v>1336</v>
      </c>
      <c r="H931" s="16">
        <v>48</v>
      </c>
      <c r="I931" s="19">
        <v>2.75260671856248e-6</v>
      </c>
    </row>
    <row r="932" ht="22.5" customHeight="1" spans="1:9">
      <c r="A932" s="16" t="s">
        <v>1282</v>
      </c>
      <c r="B932" s="16">
        <v>0</v>
      </c>
      <c r="C932" s="19">
        <v>4.05385438875077e-6</v>
      </c>
      <c r="D932" s="17">
        <f t="shared" si="0"/>
        <v>0</v>
      </c>
      <c r="E932" s="18">
        <f t="shared" si="1"/>
        <v>0</v>
      </c>
      <c r="G932" s="16" t="s">
        <v>1335</v>
      </c>
      <c r="H932" s="16">
        <v>47</v>
      </c>
      <c r="I932" s="19">
        <v>2.69526074525909e-6</v>
      </c>
    </row>
    <row r="933" ht="22.5" customHeight="1" spans="1:9">
      <c r="A933" s="16" t="s">
        <v>1466</v>
      </c>
      <c r="B933" s="16">
        <v>0</v>
      </c>
      <c r="C933" s="19">
        <v>3.89383382077376e-6</v>
      </c>
      <c r="D933" s="17">
        <f t="shared" si="0"/>
        <v>0</v>
      </c>
      <c r="E933" s="18">
        <f t="shared" si="1"/>
        <v>0</v>
      </c>
      <c r="G933" s="16" t="s">
        <v>1341</v>
      </c>
      <c r="H933" s="16">
        <v>46</v>
      </c>
      <c r="I933" s="19">
        <v>2.63791477195571e-6</v>
      </c>
    </row>
    <row r="934" ht="22.5" customHeight="1" spans="1:9">
      <c r="A934" s="16" t="s">
        <v>1284</v>
      </c>
      <c r="B934" s="16">
        <v>0</v>
      </c>
      <c r="C934" s="19">
        <v>3.8404936314481e-6</v>
      </c>
      <c r="D934" s="17">
        <f t="shared" si="0"/>
        <v>0</v>
      </c>
      <c r="E934" s="18">
        <f t="shared" si="1"/>
        <v>0</v>
      </c>
      <c r="G934" s="16" t="s">
        <v>1330</v>
      </c>
      <c r="H934" s="16">
        <v>46</v>
      </c>
      <c r="I934" s="19">
        <v>2.63791477195571e-6</v>
      </c>
    </row>
    <row r="935" ht="22.5" customHeight="1" spans="1:9">
      <c r="A935" s="16" t="s">
        <v>1285</v>
      </c>
      <c r="B935" s="16">
        <v>0</v>
      </c>
      <c r="C935" s="19">
        <v>3.8404936314481e-6</v>
      </c>
      <c r="D935" s="17">
        <f t="shared" si="0"/>
        <v>0</v>
      </c>
      <c r="E935" s="18">
        <f t="shared" si="1"/>
        <v>0</v>
      </c>
      <c r="G935" s="16" t="s">
        <v>1318</v>
      </c>
      <c r="H935" s="16">
        <v>46</v>
      </c>
      <c r="I935" s="19">
        <v>2.63791477195571e-6</v>
      </c>
    </row>
    <row r="936" ht="22.5" customHeight="1" spans="1:9">
      <c r="A936" s="16" t="s">
        <v>1287</v>
      </c>
      <c r="B936" s="16">
        <v>0</v>
      </c>
      <c r="C936" s="19">
        <v>3.8404936314481e-6</v>
      </c>
      <c r="D936" s="17">
        <f t="shared" si="0"/>
        <v>0</v>
      </c>
      <c r="E936" s="18">
        <f t="shared" si="1"/>
        <v>0</v>
      </c>
      <c r="G936" s="16" t="s">
        <v>1346</v>
      </c>
      <c r="H936" s="16">
        <v>45</v>
      </c>
      <c r="I936" s="19">
        <v>2.58056879865232e-6</v>
      </c>
    </row>
    <row r="937" ht="22.5" customHeight="1" spans="1:9">
      <c r="A937" s="16" t="s">
        <v>1294</v>
      </c>
      <c r="B937" s="16">
        <v>0</v>
      </c>
      <c r="C937" s="19">
        <v>3.62713287414542e-6</v>
      </c>
      <c r="D937" s="17">
        <f t="shared" si="0"/>
        <v>0</v>
      </c>
      <c r="E937" s="18">
        <f t="shared" si="1"/>
        <v>0</v>
      </c>
      <c r="G937" s="16" t="s">
        <v>1344</v>
      </c>
      <c r="H937" s="16">
        <v>44</v>
      </c>
      <c r="I937" s="19">
        <v>2.52322282534894e-6</v>
      </c>
    </row>
    <row r="938" ht="22.5" customHeight="1" spans="1:9">
      <c r="A938" s="16" t="s">
        <v>1295</v>
      </c>
      <c r="B938" s="16">
        <v>0</v>
      </c>
      <c r="C938" s="19">
        <v>3.62713287414542e-6</v>
      </c>
      <c r="D938" s="17">
        <f t="shared" si="0"/>
        <v>0</v>
      </c>
      <c r="E938" s="18">
        <f t="shared" si="1"/>
        <v>0</v>
      </c>
      <c r="G938" s="16" t="s">
        <v>1111</v>
      </c>
      <c r="H938" s="16">
        <v>44</v>
      </c>
      <c r="I938" s="19">
        <v>2.52322282534894e-6</v>
      </c>
    </row>
    <row r="939" ht="22.5" customHeight="1" spans="1:9">
      <c r="A939" s="16" t="s">
        <v>1296</v>
      </c>
      <c r="B939" s="16">
        <v>0</v>
      </c>
      <c r="C939" s="19">
        <v>3.52045249549409e-6</v>
      </c>
      <c r="D939" s="17">
        <f t="shared" si="0"/>
        <v>0</v>
      </c>
      <c r="E939" s="18">
        <f t="shared" si="1"/>
        <v>0</v>
      </c>
      <c r="G939" s="16" t="s">
        <v>1339</v>
      </c>
      <c r="H939" s="16">
        <v>44</v>
      </c>
      <c r="I939" s="19">
        <v>2.52322282534894e-6</v>
      </c>
    </row>
    <row r="940" ht="22.5" customHeight="1" spans="1:9">
      <c r="A940" s="16" t="s">
        <v>1298</v>
      </c>
      <c r="B940" s="16">
        <v>0</v>
      </c>
      <c r="C940" s="19">
        <v>3.52045249549409e-6</v>
      </c>
      <c r="D940" s="17">
        <f t="shared" si="0"/>
        <v>0</v>
      </c>
      <c r="E940" s="18">
        <f t="shared" si="1"/>
        <v>0</v>
      </c>
      <c r="G940" s="16" t="s">
        <v>1337</v>
      </c>
      <c r="H940" s="16">
        <v>44</v>
      </c>
      <c r="I940" s="19">
        <v>2.52322282534894e-6</v>
      </c>
    </row>
    <row r="941" ht="22.5" customHeight="1" spans="1:9">
      <c r="A941" s="16" t="s">
        <v>1300</v>
      </c>
      <c r="B941" s="16">
        <v>0</v>
      </c>
      <c r="C941" s="19">
        <v>3.46711230616842e-6</v>
      </c>
      <c r="D941" s="17">
        <f t="shared" si="0"/>
        <v>0</v>
      </c>
      <c r="E941" s="18">
        <f t="shared" si="1"/>
        <v>0</v>
      </c>
      <c r="G941" s="16" t="s">
        <v>1347</v>
      </c>
      <c r="H941" s="16">
        <v>43</v>
      </c>
      <c r="I941" s="19">
        <v>2.46587685204555e-6</v>
      </c>
    </row>
    <row r="942" ht="22.5" customHeight="1" spans="1:9">
      <c r="A942" s="16" t="s">
        <v>1301</v>
      </c>
      <c r="B942" s="16">
        <v>0</v>
      </c>
      <c r="C942" s="19">
        <v>3.46711230616842e-6</v>
      </c>
      <c r="D942" s="17">
        <f t="shared" si="0"/>
        <v>0</v>
      </c>
      <c r="E942" s="18">
        <f t="shared" si="1"/>
        <v>0</v>
      </c>
      <c r="G942" s="16" t="s">
        <v>1348</v>
      </c>
      <c r="H942" s="16">
        <v>43</v>
      </c>
      <c r="I942" s="19">
        <v>2.46587685204555e-6</v>
      </c>
    </row>
    <row r="943" ht="22.5" customHeight="1" spans="1:9">
      <c r="A943" s="16" t="s">
        <v>1302</v>
      </c>
      <c r="B943" s="16">
        <v>0</v>
      </c>
      <c r="C943" s="19">
        <v>3.41377211684275e-6</v>
      </c>
      <c r="D943" s="17">
        <f t="shared" si="0"/>
        <v>0</v>
      </c>
      <c r="E943" s="18">
        <f t="shared" si="1"/>
        <v>0</v>
      </c>
      <c r="G943" s="16" t="s">
        <v>1338</v>
      </c>
      <c r="H943" s="16">
        <v>42</v>
      </c>
      <c r="I943" s="19">
        <v>2.40853087874217e-6</v>
      </c>
    </row>
    <row r="944" ht="22.5" customHeight="1" spans="1:9">
      <c r="A944" s="16" t="s">
        <v>1303</v>
      </c>
      <c r="B944" s="16">
        <v>0</v>
      </c>
      <c r="C944" s="19">
        <v>3.36043192751708e-6</v>
      </c>
      <c r="D944" s="17">
        <f t="shared" si="0"/>
        <v>0</v>
      </c>
      <c r="E944" s="18">
        <f t="shared" si="1"/>
        <v>0</v>
      </c>
      <c r="G944" s="16" t="s">
        <v>1352</v>
      </c>
      <c r="H944" s="16">
        <v>40</v>
      </c>
      <c r="I944" s="19">
        <v>2.2938389321354e-6</v>
      </c>
    </row>
    <row r="945" ht="22.5" customHeight="1" spans="1:9">
      <c r="A945" s="16" t="s">
        <v>1306</v>
      </c>
      <c r="B945" s="16">
        <v>0</v>
      </c>
      <c r="C945" s="19">
        <v>3.30709173819142e-6</v>
      </c>
      <c r="D945" s="17">
        <f t="shared" si="0"/>
        <v>0</v>
      </c>
      <c r="E945" s="18">
        <f t="shared" si="1"/>
        <v>0</v>
      </c>
      <c r="G945" s="16" t="s">
        <v>1354</v>
      </c>
      <c r="H945" s="16">
        <v>40</v>
      </c>
      <c r="I945" s="19">
        <v>2.2938389321354e-6</v>
      </c>
    </row>
    <row r="946" ht="22.5" customHeight="1" spans="1:9">
      <c r="A946" s="16" t="s">
        <v>1309</v>
      </c>
      <c r="B946" s="16">
        <v>0</v>
      </c>
      <c r="C946" s="19">
        <v>3.20041135954008e-6</v>
      </c>
      <c r="D946" s="17">
        <f t="shared" si="0"/>
        <v>0</v>
      </c>
      <c r="E946" s="18">
        <f t="shared" si="1"/>
        <v>0</v>
      </c>
      <c r="G946" s="16" t="s">
        <v>1355</v>
      </c>
      <c r="H946" s="16">
        <v>39</v>
      </c>
      <c r="I946" s="19">
        <v>2.23649295883201e-6</v>
      </c>
    </row>
    <row r="947" ht="22.5" customHeight="1" spans="1:9">
      <c r="A947" s="16" t="s">
        <v>1311</v>
      </c>
      <c r="B947" s="16">
        <v>0</v>
      </c>
      <c r="C947" s="19">
        <v>3.14707117021441e-6</v>
      </c>
      <c r="D947" s="17">
        <f t="shared" si="0"/>
        <v>0</v>
      </c>
      <c r="E947" s="18">
        <f t="shared" si="1"/>
        <v>0</v>
      </c>
      <c r="G947" s="16" t="s">
        <v>1351</v>
      </c>
      <c r="H947" s="16">
        <v>39</v>
      </c>
      <c r="I947" s="19">
        <v>2.23649295883201e-6</v>
      </c>
    </row>
    <row r="948" ht="22.5" customHeight="1" spans="1:9">
      <c r="A948" s="16" t="s">
        <v>1314</v>
      </c>
      <c r="B948" s="16">
        <v>0</v>
      </c>
      <c r="C948" s="19">
        <v>3.04039079156308e-6</v>
      </c>
      <c r="D948" s="17">
        <f t="shared" si="0"/>
        <v>0</v>
      </c>
      <c r="E948" s="18">
        <f t="shared" si="1"/>
        <v>0</v>
      </c>
      <c r="G948" s="16" t="s">
        <v>1349</v>
      </c>
      <c r="H948" s="16">
        <v>38</v>
      </c>
      <c r="I948" s="19">
        <v>2.17914698552863e-6</v>
      </c>
    </row>
    <row r="949" ht="22.5" customHeight="1" spans="1:9">
      <c r="A949" s="16" t="s">
        <v>1316</v>
      </c>
      <c r="B949" s="16">
        <v>0</v>
      </c>
      <c r="C949" s="19">
        <v>3.04039079156308e-6</v>
      </c>
      <c r="D949" s="17">
        <f t="shared" si="0"/>
        <v>0</v>
      </c>
      <c r="E949" s="18">
        <f t="shared" si="1"/>
        <v>0</v>
      </c>
      <c r="G949" s="16" t="s">
        <v>1356</v>
      </c>
      <c r="H949" s="16">
        <v>37</v>
      </c>
      <c r="I949" s="19">
        <v>2.12180101222524e-6</v>
      </c>
    </row>
    <row r="950" ht="22.5" customHeight="1" spans="1:9">
      <c r="A950" s="16" t="s">
        <v>1317</v>
      </c>
      <c r="B950" s="16">
        <v>0</v>
      </c>
      <c r="C950" s="19">
        <v>3.04039079156308e-6</v>
      </c>
      <c r="D950" s="17">
        <f t="shared" si="0"/>
        <v>0</v>
      </c>
      <c r="E950" s="18">
        <f t="shared" si="1"/>
        <v>0</v>
      </c>
      <c r="G950" s="16" t="s">
        <v>1359</v>
      </c>
      <c r="H950" s="16">
        <v>37</v>
      </c>
      <c r="I950" s="19">
        <v>2.12180101222524e-6</v>
      </c>
    </row>
    <row r="951" ht="22.5" customHeight="1" spans="1:9">
      <c r="A951" s="16" t="s">
        <v>1319</v>
      </c>
      <c r="B951" s="16">
        <v>0</v>
      </c>
      <c r="C951" s="19">
        <v>2.98705060223741e-6</v>
      </c>
      <c r="D951" s="17">
        <f t="shared" si="0"/>
        <v>0</v>
      </c>
      <c r="E951" s="18">
        <f t="shared" si="1"/>
        <v>0</v>
      </c>
      <c r="G951" s="16" t="s">
        <v>1362</v>
      </c>
      <c r="H951" s="16">
        <v>36</v>
      </c>
      <c r="I951" s="19">
        <v>2.06445503892186e-6</v>
      </c>
    </row>
    <row r="952" ht="22.5" customHeight="1" spans="1:9">
      <c r="A952" s="16" t="s">
        <v>1321</v>
      </c>
      <c r="B952" s="16">
        <v>0</v>
      </c>
      <c r="C952" s="19">
        <v>2.98705060223741e-6</v>
      </c>
      <c r="D952" s="17">
        <f t="shared" si="0"/>
        <v>0</v>
      </c>
      <c r="E952" s="18">
        <f t="shared" si="1"/>
        <v>0</v>
      </c>
      <c r="G952" s="16" t="s">
        <v>1358</v>
      </c>
      <c r="H952" s="16">
        <v>36</v>
      </c>
      <c r="I952" s="19">
        <v>2.06445503892186e-6</v>
      </c>
    </row>
    <row r="953" ht="22.5" customHeight="1" spans="1:9">
      <c r="A953" s="16" t="s">
        <v>1322</v>
      </c>
      <c r="B953" s="16">
        <v>0</v>
      </c>
      <c r="C953" s="19">
        <v>2.93371041291174e-6</v>
      </c>
      <c r="D953" s="17">
        <f t="shared" si="0"/>
        <v>0</v>
      </c>
      <c r="E953" s="18">
        <f t="shared" si="1"/>
        <v>0</v>
      </c>
      <c r="G953" s="16" t="s">
        <v>1363</v>
      </c>
      <c r="H953" s="16">
        <v>36</v>
      </c>
      <c r="I953" s="19">
        <v>2.06445503892186e-6</v>
      </c>
    </row>
    <row r="954" ht="22.5" customHeight="1" spans="1:9">
      <c r="A954" s="16" t="s">
        <v>1324</v>
      </c>
      <c r="B954" s="16">
        <v>0</v>
      </c>
      <c r="C954" s="19">
        <v>2.88037022358607e-6</v>
      </c>
      <c r="D954" s="17">
        <f t="shared" si="0"/>
        <v>0</v>
      </c>
      <c r="E954" s="18">
        <f t="shared" si="1"/>
        <v>0</v>
      </c>
      <c r="G954" s="16" t="s">
        <v>1364</v>
      </c>
      <c r="H954" s="16">
        <v>35</v>
      </c>
      <c r="I954" s="19">
        <v>2.00710906561847e-6</v>
      </c>
    </row>
    <row r="955" ht="22.5" customHeight="1" spans="1:9">
      <c r="A955" s="16" t="s">
        <v>1327</v>
      </c>
      <c r="B955" s="16">
        <v>0</v>
      </c>
      <c r="C955" s="19">
        <v>2.8270300342604e-6</v>
      </c>
      <c r="D955" s="17">
        <f t="shared" si="0"/>
        <v>0</v>
      </c>
      <c r="E955" s="18">
        <f t="shared" si="1"/>
        <v>0</v>
      </c>
      <c r="G955" s="16" t="s">
        <v>1365</v>
      </c>
      <c r="H955" s="16">
        <v>34</v>
      </c>
      <c r="I955" s="19">
        <v>1.94976309231509e-6</v>
      </c>
    </row>
    <row r="956" ht="22.5" customHeight="1" spans="1:9">
      <c r="A956" s="16" t="s">
        <v>1332</v>
      </c>
      <c r="B956" s="16">
        <v>0</v>
      </c>
      <c r="C956" s="19">
        <v>2.72034965560907e-6</v>
      </c>
      <c r="D956" s="17">
        <f t="shared" si="0"/>
        <v>0</v>
      </c>
      <c r="E956" s="18">
        <f t="shared" si="1"/>
        <v>0</v>
      </c>
      <c r="G956" s="16" t="s">
        <v>1367</v>
      </c>
      <c r="H956" s="16">
        <v>34</v>
      </c>
      <c r="I956" s="19">
        <v>1.94976309231509e-6</v>
      </c>
    </row>
    <row r="957" ht="22.5" customHeight="1" spans="1:9">
      <c r="A957" s="16" t="s">
        <v>1334</v>
      </c>
      <c r="B957" s="16">
        <v>0</v>
      </c>
      <c r="C957" s="19">
        <v>2.6670094662834e-6</v>
      </c>
      <c r="D957" s="17">
        <f t="shared" si="0"/>
        <v>0</v>
      </c>
      <c r="E957" s="18">
        <f t="shared" si="1"/>
        <v>0</v>
      </c>
      <c r="G957" s="16" t="s">
        <v>1368</v>
      </c>
      <c r="H957" s="16">
        <v>34</v>
      </c>
      <c r="I957" s="19">
        <v>1.94976309231509e-6</v>
      </c>
    </row>
    <row r="958" ht="22.5" customHeight="1" spans="1:9">
      <c r="A958" s="16" t="s">
        <v>1336</v>
      </c>
      <c r="B958" s="16">
        <v>0</v>
      </c>
      <c r="C958" s="19">
        <v>2.56032908763206e-6</v>
      </c>
      <c r="D958" s="17">
        <f t="shared" si="0"/>
        <v>0</v>
      </c>
      <c r="E958" s="18">
        <f t="shared" si="1"/>
        <v>0</v>
      </c>
      <c r="G958" s="16" t="s">
        <v>1369</v>
      </c>
      <c r="H958" s="16">
        <v>33</v>
      </c>
      <c r="I958" s="19">
        <v>1.8924171190117e-6</v>
      </c>
    </row>
    <row r="959" ht="22.5" customHeight="1" spans="1:9">
      <c r="A959" s="16" t="s">
        <v>1341</v>
      </c>
      <c r="B959" s="16">
        <v>0</v>
      </c>
      <c r="C959" s="19">
        <v>2.45364870898073e-6</v>
      </c>
      <c r="D959" s="17">
        <f t="shared" si="0"/>
        <v>0</v>
      </c>
      <c r="E959" s="18">
        <f t="shared" si="1"/>
        <v>0</v>
      </c>
      <c r="G959" s="16" t="s">
        <v>1370</v>
      </c>
      <c r="H959" s="16">
        <v>33</v>
      </c>
      <c r="I959" s="19">
        <v>1.8924171190117e-6</v>
      </c>
    </row>
    <row r="960" ht="22.5" customHeight="1" spans="1:9">
      <c r="A960" s="16" t="s">
        <v>1346</v>
      </c>
      <c r="B960" s="16">
        <v>0</v>
      </c>
      <c r="C960" s="19">
        <v>2.40030851965506e-6</v>
      </c>
      <c r="D960" s="17">
        <f t="shared" si="0"/>
        <v>0</v>
      </c>
      <c r="E960" s="18">
        <f t="shared" si="1"/>
        <v>0</v>
      </c>
      <c r="G960" s="16" t="s">
        <v>1308</v>
      </c>
      <c r="H960" s="16">
        <v>32</v>
      </c>
      <c r="I960" s="19">
        <v>1.83507114570832e-6</v>
      </c>
    </row>
    <row r="961" ht="22.5" customHeight="1" spans="1:9">
      <c r="A961" s="16" t="s">
        <v>1347</v>
      </c>
      <c r="B961" s="16">
        <v>0</v>
      </c>
      <c r="C961" s="19">
        <v>2.29362814100372e-6</v>
      </c>
      <c r="D961" s="17">
        <f t="shared" si="0"/>
        <v>0</v>
      </c>
      <c r="E961" s="18">
        <f t="shared" si="1"/>
        <v>0</v>
      </c>
      <c r="G961" s="16" t="s">
        <v>1371</v>
      </c>
      <c r="H961" s="16">
        <v>32</v>
      </c>
      <c r="I961" s="19">
        <v>1.83507114570832e-6</v>
      </c>
    </row>
    <row r="962" ht="22.5" customHeight="1" spans="1:9">
      <c r="A962" s="16" t="s">
        <v>1348</v>
      </c>
      <c r="B962" s="16">
        <v>0</v>
      </c>
      <c r="C962" s="19">
        <v>2.29362814100372e-6</v>
      </c>
      <c r="D962" s="17">
        <f t="shared" si="0"/>
        <v>0</v>
      </c>
      <c r="E962" s="18">
        <f t="shared" si="1"/>
        <v>0</v>
      </c>
      <c r="G962" s="16" t="s">
        <v>1372</v>
      </c>
      <c r="H962" s="16">
        <v>32</v>
      </c>
      <c r="I962" s="19">
        <v>1.83507114570832e-6</v>
      </c>
    </row>
    <row r="963" ht="22.5" customHeight="1" spans="1:9">
      <c r="A963" s="16" t="s">
        <v>1352</v>
      </c>
      <c r="B963" s="16">
        <v>0</v>
      </c>
      <c r="C963" s="19">
        <v>2.13360757302672e-6</v>
      </c>
      <c r="D963" s="17">
        <f t="shared" si="0"/>
        <v>0</v>
      </c>
      <c r="E963" s="18">
        <f t="shared" si="1"/>
        <v>0</v>
      </c>
      <c r="G963" s="16" t="s">
        <v>1343</v>
      </c>
      <c r="H963" s="16">
        <v>32</v>
      </c>
      <c r="I963" s="19">
        <v>1.83507114570832e-6</v>
      </c>
    </row>
    <row r="964" ht="22.5" customHeight="1" spans="1:9">
      <c r="A964" s="16" t="s">
        <v>1354</v>
      </c>
      <c r="B964" s="16">
        <v>0</v>
      </c>
      <c r="C964" s="19">
        <v>2.13360757302672e-6</v>
      </c>
      <c r="D964" s="17">
        <f t="shared" si="0"/>
        <v>0</v>
      </c>
      <c r="E964" s="18">
        <f t="shared" si="1"/>
        <v>0</v>
      </c>
      <c r="G964" s="16" t="s">
        <v>1374</v>
      </c>
      <c r="H964" s="16">
        <v>29</v>
      </c>
      <c r="I964" s="19">
        <v>1.66303322579816e-6</v>
      </c>
    </row>
    <row r="965" ht="22.5" customHeight="1" spans="1:9">
      <c r="A965" s="16" t="s">
        <v>1355</v>
      </c>
      <c r="B965" s="16">
        <v>0</v>
      </c>
      <c r="C965" s="19">
        <v>2.08026738370105e-6</v>
      </c>
      <c r="D965" s="17">
        <f t="shared" si="0"/>
        <v>0</v>
      </c>
      <c r="E965" s="18">
        <f t="shared" si="1"/>
        <v>0</v>
      </c>
      <c r="G965" s="16" t="s">
        <v>1373</v>
      </c>
      <c r="H965" s="16">
        <v>28</v>
      </c>
      <c r="I965" s="19">
        <v>1.60568725249478e-6</v>
      </c>
    </row>
    <row r="966" ht="22.5" customHeight="1" spans="1:9">
      <c r="A966" s="16" t="s">
        <v>1359</v>
      </c>
      <c r="B966" s="16">
        <v>0</v>
      </c>
      <c r="C966" s="19">
        <v>1.97358700504972e-6</v>
      </c>
      <c r="D966" s="17">
        <f t="shared" si="0"/>
        <v>0</v>
      </c>
      <c r="E966" s="18">
        <f t="shared" si="1"/>
        <v>0</v>
      </c>
      <c r="G966" s="16" t="s">
        <v>1376</v>
      </c>
      <c r="H966" s="16">
        <v>28</v>
      </c>
      <c r="I966" s="19">
        <v>1.60568725249478e-6</v>
      </c>
    </row>
    <row r="967" ht="22.5" customHeight="1" spans="1:9">
      <c r="A967" s="16" t="s">
        <v>1362</v>
      </c>
      <c r="B967" s="16">
        <v>0</v>
      </c>
      <c r="C967" s="19">
        <v>1.92024681572405e-6</v>
      </c>
      <c r="D967" s="17">
        <f t="shared" si="0"/>
        <v>0</v>
      </c>
      <c r="E967" s="18">
        <f t="shared" si="1"/>
        <v>0</v>
      </c>
      <c r="G967" s="16" t="s">
        <v>1380</v>
      </c>
      <c r="H967" s="16">
        <v>27</v>
      </c>
      <c r="I967" s="19">
        <v>1.54834127919139e-6</v>
      </c>
    </row>
    <row r="968" ht="22.5" customHeight="1" spans="1:9">
      <c r="A968" s="16" t="s">
        <v>1363</v>
      </c>
      <c r="B968" s="16">
        <v>0</v>
      </c>
      <c r="C968" s="19">
        <v>1.92024681572405e-6</v>
      </c>
      <c r="D968" s="17">
        <f t="shared" si="0"/>
        <v>0</v>
      </c>
      <c r="E968" s="18">
        <f t="shared" si="1"/>
        <v>0</v>
      </c>
      <c r="G968" s="16" t="s">
        <v>1381</v>
      </c>
      <c r="H968" s="16">
        <v>27</v>
      </c>
      <c r="I968" s="19">
        <v>1.54834127919139e-6</v>
      </c>
    </row>
    <row r="969" ht="22.5" customHeight="1" spans="1:9">
      <c r="A969" s="16" t="s">
        <v>1364</v>
      </c>
      <c r="B969" s="16">
        <v>0</v>
      </c>
      <c r="C969" s="19">
        <v>1.86690662639838e-6</v>
      </c>
      <c r="D969" s="17">
        <f t="shared" si="0"/>
        <v>0</v>
      </c>
      <c r="E969" s="18">
        <f t="shared" si="1"/>
        <v>0</v>
      </c>
      <c r="G969" s="16" t="s">
        <v>1375</v>
      </c>
      <c r="H969" s="16">
        <v>27</v>
      </c>
      <c r="I969" s="19">
        <v>1.54834127919139e-6</v>
      </c>
    </row>
    <row r="970" ht="22.5" customHeight="1" spans="1:9">
      <c r="A970" s="16" t="s">
        <v>1365</v>
      </c>
      <c r="B970" s="16">
        <v>0</v>
      </c>
      <c r="C970" s="19">
        <v>1.81356643707271e-6</v>
      </c>
      <c r="D970" s="17">
        <f t="shared" si="0"/>
        <v>0</v>
      </c>
      <c r="E970" s="18">
        <f t="shared" si="1"/>
        <v>0</v>
      </c>
      <c r="G970" s="16" t="s">
        <v>1382</v>
      </c>
      <c r="H970" s="16">
        <v>26</v>
      </c>
      <c r="I970" s="19">
        <v>1.49099530588801e-6</v>
      </c>
    </row>
    <row r="971" ht="22.5" customHeight="1" spans="1:9">
      <c r="A971" s="16" t="s">
        <v>1367</v>
      </c>
      <c r="B971" s="16">
        <v>0</v>
      </c>
      <c r="C971" s="19">
        <v>1.81356643707271e-6</v>
      </c>
      <c r="D971" s="17">
        <f t="shared" si="0"/>
        <v>0</v>
      </c>
      <c r="E971" s="18">
        <f t="shared" si="1"/>
        <v>0</v>
      </c>
      <c r="G971" s="16" t="s">
        <v>1383</v>
      </c>
      <c r="H971" s="16">
        <v>26</v>
      </c>
      <c r="I971" s="19">
        <v>1.49099530588801e-6</v>
      </c>
    </row>
    <row r="972" ht="22.5" customHeight="1" spans="1:9">
      <c r="A972" s="16" t="s">
        <v>1368</v>
      </c>
      <c r="B972" s="16">
        <v>0</v>
      </c>
      <c r="C972" s="19">
        <v>1.81356643707271e-6</v>
      </c>
      <c r="D972" s="17">
        <f t="shared" si="0"/>
        <v>0</v>
      </c>
      <c r="E972" s="18">
        <f t="shared" si="1"/>
        <v>0</v>
      </c>
      <c r="G972" s="16" t="s">
        <v>1384</v>
      </c>
      <c r="H972" s="16">
        <v>26</v>
      </c>
      <c r="I972" s="19">
        <v>1.49099530588801e-6</v>
      </c>
    </row>
    <row r="973" ht="22.5" customHeight="1" spans="1:9">
      <c r="A973" s="16" t="s">
        <v>1369</v>
      </c>
      <c r="B973" s="16">
        <v>0</v>
      </c>
      <c r="C973" s="19">
        <v>1.76022624774704e-6</v>
      </c>
      <c r="D973" s="17">
        <f t="shared" si="0"/>
        <v>0</v>
      </c>
      <c r="E973" s="18">
        <f t="shared" si="1"/>
        <v>0</v>
      </c>
      <c r="G973" s="16" t="s">
        <v>1447</v>
      </c>
      <c r="H973" s="16">
        <v>25</v>
      </c>
      <c r="I973" s="19">
        <v>1.43364933258462e-6</v>
      </c>
    </row>
    <row r="974" ht="22.5" customHeight="1" spans="1:9">
      <c r="A974" s="16" t="s">
        <v>1370</v>
      </c>
      <c r="B974" s="16">
        <v>0</v>
      </c>
      <c r="C974" s="19">
        <v>1.76022624774704e-6</v>
      </c>
      <c r="D974" s="17">
        <f t="shared" si="0"/>
        <v>0</v>
      </c>
      <c r="E974" s="18">
        <f t="shared" si="1"/>
        <v>0</v>
      </c>
      <c r="G974" s="16" t="s">
        <v>1385</v>
      </c>
      <c r="H974" s="16">
        <v>25</v>
      </c>
      <c r="I974" s="19">
        <v>1.43364933258462e-6</v>
      </c>
    </row>
    <row r="975" ht="22.5" customHeight="1" spans="1:9">
      <c r="A975" s="16" t="s">
        <v>1371</v>
      </c>
      <c r="B975" s="16">
        <v>0</v>
      </c>
      <c r="C975" s="19">
        <v>1.70688605842138e-6</v>
      </c>
      <c r="D975" s="17">
        <f t="shared" si="0"/>
        <v>0</v>
      </c>
      <c r="E975" s="18">
        <f t="shared" si="1"/>
        <v>0</v>
      </c>
      <c r="G975" s="16" t="s">
        <v>1468</v>
      </c>
      <c r="H975" s="16">
        <v>25</v>
      </c>
      <c r="I975" s="19">
        <v>1.43364933258462e-6</v>
      </c>
    </row>
    <row r="976" ht="22.5" customHeight="1" spans="1:9">
      <c r="A976" s="16" t="s">
        <v>1372</v>
      </c>
      <c r="B976" s="16">
        <v>0</v>
      </c>
      <c r="C976" s="19">
        <v>1.70688605842138e-6</v>
      </c>
      <c r="D976" s="17">
        <f t="shared" si="0"/>
        <v>0</v>
      </c>
      <c r="E976" s="18">
        <f t="shared" si="1"/>
        <v>0</v>
      </c>
      <c r="G976" s="16" t="s">
        <v>1386</v>
      </c>
      <c r="H976" s="16">
        <v>25</v>
      </c>
      <c r="I976" s="19">
        <v>1.43364933258462e-6</v>
      </c>
    </row>
    <row r="977" ht="22.5" customHeight="1" spans="1:9">
      <c r="A977" s="16" t="s">
        <v>1374</v>
      </c>
      <c r="B977" s="16">
        <v>0</v>
      </c>
      <c r="C977" s="19">
        <v>1.54686549044437e-6</v>
      </c>
      <c r="D977" s="17">
        <f t="shared" si="0"/>
        <v>0</v>
      </c>
      <c r="E977" s="18">
        <f t="shared" si="1"/>
        <v>0</v>
      </c>
      <c r="G977" s="16" t="s">
        <v>1379</v>
      </c>
      <c r="H977" s="16">
        <v>24</v>
      </c>
      <c r="I977" s="19">
        <v>1.37630335928124e-6</v>
      </c>
    </row>
    <row r="978" ht="22.5" customHeight="1" spans="1:9">
      <c r="A978" s="16" t="s">
        <v>1376</v>
      </c>
      <c r="B978" s="16">
        <v>0</v>
      </c>
      <c r="C978" s="19">
        <v>1.4935253011187e-6</v>
      </c>
      <c r="D978" s="17">
        <f t="shared" si="0"/>
        <v>0</v>
      </c>
      <c r="E978" s="18">
        <f t="shared" si="1"/>
        <v>0</v>
      </c>
      <c r="G978" s="16" t="s">
        <v>1312</v>
      </c>
      <c r="H978" s="16">
        <v>24</v>
      </c>
      <c r="I978" s="19">
        <v>1.37630335928124e-6</v>
      </c>
    </row>
    <row r="979" ht="22.5" customHeight="1" spans="1:9">
      <c r="A979" s="16" t="s">
        <v>1380</v>
      </c>
      <c r="B979" s="16">
        <v>0</v>
      </c>
      <c r="C979" s="19">
        <v>1.44018511179304e-6</v>
      </c>
      <c r="D979" s="17">
        <f t="shared" si="0"/>
        <v>0</v>
      </c>
      <c r="E979" s="18">
        <f t="shared" si="1"/>
        <v>0</v>
      </c>
      <c r="G979" s="16" t="s">
        <v>1388</v>
      </c>
      <c r="H979" s="16">
        <v>24</v>
      </c>
      <c r="I979" s="19">
        <v>1.37630335928124e-6</v>
      </c>
    </row>
    <row r="980" ht="22.5" customHeight="1" spans="1:9">
      <c r="A980" s="16" t="s">
        <v>1381</v>
      </c>
      <c r="B980" s="16">
        <v>0</v>
      </c>
      <c r="C980" s="19">
        <v>1.44018511179304e-6</v>
      </c>
      <c r="D980" s="17">
        <f t="shared" si="0"/>
        <v>0</v>
      </c>
      <c r="E980" s="18">
        <f t="shared" si="1"/>
        <v>0</v>
      </c>
      <c r="G980" s="16" t="s">
        <v>1390</v>
      </c>
      <c r="H980" s="16">
        <v>23</v>
      </c>
      <c r="I980" s="19">
        <v>1.31895738597785e-6</v>
      </c>
    </row>
    <row r="981" ht="22.5" customHeight="1" spans="1:9">
      <c r="A981" s="16" t="s">
        <v>1382</v>
      </c>
      <c r="B981" s="16">
        <v>0</v>
      </c>
      <c r="C981" s="19">
        <v>1.38684492246737e-6</v>
      </c>
      <c r="D981" s="17">
        <f t="shared" si="0"/>
        <v>0</v>
      </c>
      <c r="E981" s="18">
        <f t="shared" si="1"/>
        <v>0</v>
      </c>
      <c r="G981" s="16" t="s">
        <v>1391</v>
      </c>
      <c r="H981" s="16">
        <v>23</v>
      </c>
      <c r="I981" s="19">
        <v>1.31895738597785e-6</v>
      </c>
    </row>
    <row r="982" ht="22.5" customHeight="1" spans="1:9">
      <c r="A982" s="16" t="s">
        <v>1383</v>
      </c>
      <c r="B982" s="16">
        <v>0</v>
      </c>
      <c r="C982" s="19">
        <v>1.38684492246737e-6</v>
      </c>
      <c r="D982" s="17">
        <f t="shared" si="0"/>
        <v>0</v>
      </c>
      <c r="E982" s="18">
        <f t="shared" si="1"/>
        <v>0</v>
      </c>
      <c r="G982" s="16" t="s">
        <v>1389</v>
      </c>
      <c r="H982" s="16">
        <v>22</v>
      </c>
      <c r="I982" s="19">
        <v>1.26161141267447e-6</v>
      </c>
    </row>
    <row r="983" ht="22.5" customHeight="1" spans="1:9">
      <c r="A983" s="16" t="s">
        <v>1384</v>
      </c>
      <c r="B983" s="16">
        <v>0</v>
      </c>
      <c r="C983" s="19">
        <v>1.38684492246737e-6</v>
      </c>
      <c r="D983" s="17">
        <f t="shared" si="0"/>
        <v>0</v>
      </c>
      <c r="E983" s="18">
        <f t="shared" si="1"/>
        <v>0</v>
      </c>
      <c r="G983" s="16" t="s">
        <v>1393</v>
      </c>
      <c r="H983" s="16">
        <v>21</v>
      </c>
      <c r="I983" s="19">
        <v>1.20426543937108e-6</v>
      </c>
    </row>
    <row r="984" ht="22.5" customHeight="1" spans="1:9">
      <c r="A984" s="16" t="s">
        <v>1447</v>
      </c>
      <c r="B984" s="16">
        <v>0</v>
      </c>
      <c r="C984" s="19">
        <v>1.3335047331417e-6</v>
      </c>
      <c r="D984" s="17">
        <f t="shared" si="0"/>
        <v>0</v>
      </c>
      <c r="E984" s="18">
        <f t="shared" si="1"/>
        <v>0</v>
      </c>
      <c r="G984" s="16" t="s">
        <v>1395</v>
      </c>
      <c r="H984" s="16">
        <v>21</v>
      </c>
      <c r="I984" s="19">
        <v>1.20426543937108e-6</v>
      </c>
    </row>
    <row r="985" ht="22.5" customHeight="1" spans="1:9">
      <c r="A985" s="16" t="s">
        <v>1385</v>
      </c>
      <c r="B985" s="16">
        <v>0</v>
      </c>
      <c r="C985" s="19">
        <v>1.3335047331417e-6</v>
      </c>
      <c r="D985" s="17">
        <f t="shared" si="0"/>
        <v>0</v>
      </c>
      <c r="E985" s="18">
        <f t="shared" si="1"/>
        <v>0</v>
      </c>
      <c r="G985" s="16" t="s">
        <v>1396</v>
      </c>
      <c r="H985" s="16">
        <v>21</v>
      </c>
      <c r="I985" s="19">
        <v>1.20426543937108e-6</v>
      </c>
    </row>
    <row r="986" ht="22.5" customHeight="1" spans="1:9">
      <c r="A986" s="16" t="s">
        <v>1468</v>
      </c>
      <c r="B986" s="16">
        <v>0</v>
      </c>
      <c r="C986" s="19">
        <v>1.3335047331417e-6</v>
      </c>
      <c r="D986" s="17">
        <f t="shared" si="0"/>
        <v>0</v>
      </c>
      <c r="E986" s="18">
        <f t="shared" si="1"/>
        <v>0</v>
      </c>
      <c r="G986" s="16" t="s">
        <v>1397</v>
      </c>
      <c r="H986" s="16">
        <v>21</v>
      </c>
      <c r="I986" s="19">
        <v>1.20426543937108e-6</v>
      </c>
    </row>
    <row r="987" ht="22.5" customHeight="1" spans="1:9">
      <c r="A987" s="16" t="s">
        <v>1386</v>
      </c>
      <c r="B987" s="16">
        <v>0</v>
      </c>
      <c r="C987" s="19">
        <v>1.3335047331417e-6</v>
      </c>
      <c r="D987" s="17">
        <f t="shared" si="0"/>
        <v>0</v>
      </c>
      <c r="E987" s="18">
        <f t="shared" si="1"/>
        <v>0</v>
      </c>
      <c r="G987" s="16" t="s">
        <v>1399</v>
      </c>
      <c r="H987" s="16">
        <v>20</v>
      </c>
      <c r="I987" s="19">
        <v>1.1469194660677e-6</v>
      </c>
    </row>
    <row r="988" ht="22.5" customHeight="1" spans="1:9">
      <c r="A988" s="16" t="s">
        <v>1388</v>
      </c>
      <c r="B988" s="16">
        <v>0</v>
      </c>
      <c r="C988" s="19">
        <v>1.28016454381603e-6</v>
      </c>
      <c r="D988" s="17">
        <f t="shared" si="0"/>
        <v>0</v>
      </c>
      <c r="E988" s="18">
        <f t="shared" si="1"/>
        <v>0</v>
      </c>
      <c r="G988" s="16" t="s">
        <v>1400</v>
      </c>
      <c r="H988" s="16">
        <v>20</v>
      </c>
      <c r="I988" s="19">
        <v>1.1469194660677e-6</v>
      </c>
    </row>
    <row r="989" ht="22.5" customHeight="1" spans="1:9">
      <c r="A989" s="16" t="s">
        <v>1390</v>
      </c>
      <c r="B989" s="16">
        <v>0</v>
      </c>
      <c r="C989" s="19">
        <v>1.22682435449036e-6</v>
      </c>
      <c r="D989" s="17">
        <f t="shared" si="0"/>
        <v>0</v>
      </c>
      <c r="E989" s="18">
        <f t="shared" si="1"/>
        <v>0</v>
      </c>
      <c r="G989" s="16" t="s">
        <v>1387</v>
      </c>
      <c r="H989" s="16">
        <v>20</v>
      </c>
      <c r="I989" s="19">
        <v>1.1469194660677e-6</v>
      </c>
    </row>
    <row r="990" ht="22.5" customHeight="1" spans="1:9">
      <c r="A990" s="16" t="s">
        <v>1391</v>
      </c>
      <c r="B990" s="16">
        <v>0</v>
      </c>
      <c r="C990" s="19">
        <v>1.22682435449036e-6</v>
      </c>
      <c r="D990" s="17">
        <f t="shared" si="0"/>
        <v>0</v>
      </c>
      <c r="E990" s="18">
        <f t="shared" si="1"/>
        <v>0</v>
      </c>
      <c r="G990" s="16" t="s">
        <v>1392</v>
      </c>
      <c r="H990" s="16">
        <v>20</v>
      </c>
      <c r="I990" s="19">
        <v>1.1469194660677e-6</v>
      </c>
    </row>
    <row r="991" ht="22.5" customHeight="1" spans="1:9">
      <c r="A991" s="16" t="s">
        <v>1393</v>
      </c>
      <c r="B991" s="16">
        <v>0</v>
      </c>
      <c r="C991" s="19">
        <v>1.12014397583903e-6</v>
      </c>
      <c r="D991" s="17">
        <f t="shared" si="0"/>
        <v>0</v>
      </c>
      <c r="E991" s="18">
        <f t="shared" si="1"/>
        <v>0</v>
      </c>
      <c r="G991" s="16" t="s">
        <v>1377</v>
      </c>
      <c r="H991" s="16">
        <v>19</v>
      </c>
      <c r="I991" s="19">
        <v>1.08957349276431e-6</v>
      </c>
    </row>
    <row r="992" ht="22.5" customHeight="1" spans="1:9">
      <c r="A992" s="16" t="s">
        <v>1395</v>
      </c>
      <c r="B992" s="16">
        <v>0</v>
      </c>
      <c r="C992" s="19">
        <v>1.12014397583903e-6</v>
      </c>
      <c r="D992" s="17">
        <f t="shared" si="0"/>
        <v>0</v>
      </c>
      <c r="E992" s="18">
        <f t="shared" si="1"/>
        <v>0</v>
      </c>
      <c r="G992" s="16" t="s">
        <v>1403</v>
      </c>
      <c r="H992" s="16">
        <v>19</v>
      </c>
      <c r="I992" s="19">
        <v>1.08957349276431e-6</v>
      </c>
    </row>
    <row r="993" ht="22.5" customHeight="1" spans="1:9">
      <c r="A993" s="16" t="s">
        <v>1396</v>
      </c>
      <c r="B993" s="16">
        <v>0</v>
      </c>
      <c r="C993" s="19">
        <v>1.12014397583903e-6</v>
      </c>
      <c r="D993" s="17">
        <f t="shared" si="0"/>
        <v>0</v>
      </c>
      <c r="E993" s="18">
        <f t="shared" si="1"/>
        <v>0</v>
      </c>
      <c r="G993" s="16" t="s">
        <v>1360</v>
      </c>
      <c r="H993" s="16">
        <v>18</v>
      </c>
      <c r="I993" s="19">
        <v>1.03222751946093e-6</v>
      </c>
    </row>
    <row r="994" ht="22.5" customHeight="1" spans="1:9">
      <c r="A994" s="16" t="s">
        <v>1397</v>
      </c>
      <c r="B994" s="16">
        <v>0</v>
      </c>
      <c r="C994" s="19">
        <v>1.12014397583903e-6</v>
      </c>
      <c r="D994" s="17">
        <f t="shared" si="0"/>
        <v>0</v>
      </c>
      <c r="E994" s="18">
        <f t="shared" si="1"/>
        <v>0</v>
      </c>
      <c r="G994" s="16" t="s">
        <v>1404</v>
      </c>
      <c r="H994" s="16">
        <v>18</v>
      </c>
      <c r="I994" s="19">
        <v>1.03222751946093e-6</v>
      </c>
    </row>
    <row r="995" ht="22.5" customHeight="1" spans="1:9">
      <c r="A995" s="16" t="s">
        <v>1399</v>
      </c>
      <c r="B995" s="16">
        <v>0</v>
      </c>
      <c r="C995" s="19">
        <v>1.06680378651336e-6</v>
      </c>
      <c r="D995" s="17">
        <f t="shared" si="0"/>
        <v>0</v>
      </c>
      <c r="E995" s="18">
        <f t="shared" si="1"/>
        <v>0</v>
      </c>
      <c r="G995" s="16" t="s">
        <v>1406</v>
      </c>
      <c r="H995" s="16">
        <v>18</v>
      </c>
      <c r="I995" s="19">
        <v>1.03222751946093e-6</v>
      </c>
    </row>
    <row r="996" ht="22.5" customHeight="1" spans="1:9">
      <c r="A996" s="16" t="s">
        <v>1400</v>
      </c>
      <c r="B996" s="16">
        <v>0</v>
      </c>
      <c r="C996" s="19">
        <v>1.06680378651336e-6</v>
      </c>
      <c r="D996" s="17">
        <f t="shared" si="0"/>
        <v>0</v>
      </c>
      <c r="E996" s="18">
        <f t="shared" si="1"/>
        <v>0</v>
      </c>
      <c r="G996" s="16" t="s">
        <v>1407</v>
      </c>
      <c r="H996" s="16">
        <v>18</v>
      </c>
      <c r="I996" s="19">
        <v>1.03222751946093e-6</v>
      </c>
    </row>
    <row r="997" ht="22.5" customHeight="1" spans="1:9">
      <c r="A997" s="16" t="s">
        <v>1403</v>
      </c>
      <c r="B997" s="16">
        <v>0</v>
      </c>
      <c r="C997" s="19">
        <v>1.01346359718769e-6</v>
      </c>
      <c r="D997" s="17">
        <f t="shared" si="0"/>
        <v>0</v>
      </c>
      <c r="E997" s="18">
        <f t="shared" si="1"/>
        <v>0</v>
      </c>
      <c r="G997" s="16" t="s">
        <v>1408</v>
      </c>
      <c r="H997" s="16">
        <v>18</v>
      </c>
      <c r="I997" s="19">
        <v>1.03222751946093e-6</v>
      </c>
    </row>
    <row r="998" ht="22.5" customHeight="1" spans="1:9">
      <c r="A998" s="16" t="s">
        <v>1404</v>
      </c>
      <c r="B998" s="16">
        <v>0</v>
      </c>
      <c r="C998" s="19">
        <v>9.60123407862024e-7</v>
      </c>
      <c r="D998" s="17">
        <f t="shared" si="0"/>
        <v>0</v>
      </c>
      <c r="E998" s="18">
        <f t="shared" si="1"/>
        <v>0</v>
      </c>
      <c r="G998" s="16" t="s">
        <v>1409</v>
      </c>
      <c r="H998" s="16">
        <v>18</v>
      </c>
      <c r="I998" s="19">
        <v>1.03222751946093e-6</v>
      </c>
    </row>
    <row r="999" ht="22.5" customHeight="1" spans="1:9">
      <c r="A999" s="16" t="s">
        <v>1406</v>
      </c>
      <c r="B999" s="16">
        <v>0</v>
      </c>
      <c r="C999" s="19">
        <v>9.60123407862024e-7</v>
      </c>
      <c r="D999" s="17">
        <f t="shared" si="0"/>
        <v>0</v>
      </c>
      <c r="E999" s="18">
        <f t="shared" si="1"/>
        <v>0</v>
      </c>
      <c r="G999" s="16" t="s">
        <v>1410</v>
      </c>
      <c r="H999" s="16">
        <v>18</v>
      </c>
      <c r="I999" s="19">
        <v>1.03222751946093e-6</v>
      </c>
    </row>
    <row r="1000" ht="22.5" customHeight="1" spans="1:9">
      <c r="A1000" s="16" t="s">
        <v>1407</v>
      </c>
      <c r="B1000" s="16">
        <v>0</v>
      </c>
      <c r="C1000" s="19">
        <v>9.60123407862024e-7</v>
      </c>
      <c r="D1000" s="17">
        <f t="shared" si="0"/>
        <v>0</v>
      </c>
      <c r="E1000" s="18">
        <f t="shared" si="1"/>
        <v>0</v>
      </c>
      <c r="G1000" s="16" t="s">
        <v>1412</v>
      </c>
      <c r="H1000" s="16">
        <v>17</v>
      </c>
      <c r="I1000" s="19">
        <v>9.74881546157544e-7</v>
      </c>
    </row>
    <row r="1001" ht="22.5" customHeight="1" spans="1:9">
      <c r="A1001" s="16" t="s">
        <v>1408</v>
      </c>
      <c r="B1001" s="16">
        <v>0</v>
      </c>
      <c r="C1001" s="19">
        <v>9.60123407862024e-7</v>
      </c>
      <c r="D1001" s="17">
        <f t="shared" si="0"/>
        <v>0</v>
      </c>
      <c r="E1001" s="18">
        <f t="shared" si="1"/>
        <v>0</v>
      </c>
      <c r="G1001" s="16" t="s">
        <v>1413</v>
      </c>
      <c r="H1001" s="16">
        <v>16</v>
      </c>
      <c r="I1001" s="19">
        <v>9.1753557285416e-7</v>
      </c>
    </row>
    <row r="1002" ht="22.5" customHeight="1" spans="1:9">
      <c r="A1002" s="16" t="s">
        <v>1409</v>
      </c>
      <c r="B1002" s="16">
        <v>0</v>
      </c>
      <c r="C1002" s="19">
        <v>9.60123407862024e-7</v>
      </c>
      <c r="D1002" s="17">
        <f t="shared" si="0"/>
        <v>0</v>
      </c>
      <c r="E1002" s="18">
        <f t="shared" si="1"/>
        <v>0</v>
      </c>
      <c r="G1002" s="16" t="s">
        <v>1414</v>
      </c>
      <c r="H1002" s="16">
        <v>16</v>
      </c>
      <c r="I1002" s="19">
        <v>9.1753557285416e-7</v>
      </c>
    </row>
    <row r="1003" ht="22.5" customHeight="1" spans="1:9">
      <c r="A1003" s="16" t="s">
        <v>1410</v>
      </c>
      <c r="B1003" s="16">
        <v>0</v>
      </c>
      <c r="C1003" s="19">
        <v>9.60123407862024e-7</v>
      </c>
      <c r="D1003" s="17">
        <f t="shared" si="0"/>
        <v>0</v>
      </c>
      <c r="E1003" s="18">
        <f t="shared" si="1"/>
        <v>0</v>
      </c>
      <c r="G1003" s="16" t="s">
        <v>1415</v>
      </c>
      <c r="H1003" s="16">
        <v>16</v>
      </c>
      <c r="I1003" s="19">
        <v>9.1753557285416e-7</v>
      </c>
    </row>
    <row r="1004" ht="22.5" customHeight="1" spans="1:9">
      <c r="A1004" s="16" t="s">
        <v>1412</v>
      </c>
      <c r="B1004" s="16">
        <v>0</v>
      </c>
      <c r="C1004" s="19">
        <v>9.06783218536356e-7</v>
      </c>
      <c r="D1004" s="17">
        <f t="shared" si="0"/>
        <v>0</v>
      </c>
      <c r="E1004" s="18">
        <f t="shared" si="1"/>
        <v>0</v>
      </c>
      <c r="G1004" s="16" t="s">
        <v>1279</v>
      </c>
      <c r="H1004" s="16">
        <v>16</v>
      </c>
      <c r="I1004" s="19">
        <v>9.1753557285416e-7</v>
      </c>
    </row>
    <row r="1005" ht="22.5" customHeight="1" spans="1:9">
      <c r="A1005" s="16" t="s">
        <v>1413</v>
      </c>
      <c r="B1005" s="16">
        <v>0</v>
      </c>
      <c r="C1005" s="19">
        <v>8.53443029210688e-7</v>
      </c>
      <c r="D1005" s="17">
        <f t="shared" si="0"/>
        <v>0</v>
      </c>
      <c r="E1005" s="18">
        <f t="shared" si="1"/>
        <v>0</v>
      </c>
      <c r="G1005" s="16" t="s">
        <v>1416</v>
      </c>
      <c r="H1005" s="16">
        <v>16</v>
      </c>
      <c r="I1005" s="19">
        <v>9.1753557285416e-7</v>
      </c>
    </row>
    <row r="1006" ht="22.5" customHeight="1" spans="1:9">
      <c r="A1006" s="16" t="s">
        <v>1414</v>
      </c>
      <c r="B1006" s="16">
        <v>0</v>
      </c>
      <c r="C1006" s="19">
        <v>8.53443029210688e-7</v>
      </c>
      <c r="D1006" s="17">
        <f t="shared" si="0"/>
        <v>0</v>
      </c>
      <c r="E1006" s="18">
        <f t="shared" si="1"/>
        <v>0</v>
      </c>
      <c r="G1006" s="16" t="s">
        <v>1417</v>
      </c>
      <c r="H1006" s="16">
        <v>14</v>
      </c>
      <c r="I1006" s="19">
        <v>8.0284362624739e-7</v>
      </c>
    </row>
    <row r="1007" ht="22.5" customHeight="1" spans="1:9">
      <c r="A1007" s="16" t="s">
        <v>1415</v>
      </c>
      <c r="B1007" s="16">
        <v>0</v>
      </c>
      <c r="C1007" s="19">
        <v>8.53443029210688e-7</v>
      </c>
      <c r="D1007" s="17">
        <f t="shared" si="0"/>
        <v>0</v>
      </c>
      <c r="E1007" s="18">
        <f t="shared" si="1"/>
        <v>0</v>
      </c>
      <c r="G1007" s="16" t="s">
        <v>1418</v>
      </c>
      <c r="H1007" s="16">
        <v>14</v>
      </c>
      <c r="I1007" s="19">
        <v>8.0284362624739e-7</v>
      </c>
    </row>
    <row r="1008" ht="22.5" customHeight="1" spans="1:9">
      <c r="A1008" s="16" t="s">
        <v>1416</v>
      </c>
      <c r="B1008" s="16">
        <v>0</v>
      </c>
      <c r="C1008" s="19">
        <v>8.53443029210688e-7</v>
      </c>
      <c r="D1008" s="17">
        <f t="shared" si="0"/>
        <v>0</v>
      </c>
      <c r="E1008" s="18">
        <f t="shared" si="1"/>
        <v>0</v>
      </c>
      <c r="G1008" s="16" t="s">
        <v>1420</v>
      </c>
      <c r="H1008" s="16">
        <v>12</v>
      </c>
      <c r="I1008" s="19">
        <v>6.8815167964062e-7</v>
      </c>
    </row>
    <row r="1009" ht="22.5" customHeight="1" spans="1:9">
      <c r="A1009" s="16" t="s">
        <v>1417</v>
      </c>
      <c r="B1009" s="16">
        <v>0</v>
      </c>
      <c r="C1009" s="19">
        <v>7.46762650559352e-7</v>
      </c>
      <c r="D1009" s="17">
        <f t="shared" si="0"/>
        <v>0</v>
      </c>
      <c r="E1009" s="18">
        <f t="shared" si="1"/>
        <v>0</v>
      </c>
      <c r="G1009" s="16" t="s">
        <v>1422</v>
      </c>
      <c r="H1009" s="16">
        <v>12</v>
      </c>
      <c r="I1009" s="19">
        <v>6.8815167964062e-7</v>
      </c>
    </row>
    <row r="1010" ht="22.5" customHeight="1" spans="1:9">
      <c r="A1010" s="16" t="s">
        <v>1418</v>
      </c>
      <c r="B1010" s="16">
        <v>0</v>
      </c>
      <c r="C1010" s="19">
        <v>7.46762650559352e-7</v>
      </c>
      <c r="D1010" s="17">
        <f t="shared" si="0"/>
        <v>0</v>
      </c>
      <c r="E1010" s="18">
        <f t="shared" si="1"/>
        <v>0</v>
      </c>
      <c r="G1010" s="16" t="s">
        <v>1423</v>
      </c>
      <c r="H1010" s="16">
        <v>12</v>
      </c>
      <c r="I1010" s="19">
        <v>6.8815167964062e-7</v>
      </c>
    </row>
    <row r="1011" ht="22.5" customHeight="1" spans="1:9">
      <c r="A1011" s="16" t="s">
        <v>1420</v>
      </c>
      <c r="B1011" s="16">
        <v>0</v>
      </c>
      <c r="C1011" s="19">
        <v>6.40082271908016e-7</v>
      </c>
      <c r="D1011" s="17">
        <f t="shared" si="0"/>
        <v>0</v>
      </c>
      <c r="E1011" s="18">
        <f t="shared" si="1"/>
        <v>0</v>
      </c>
      <c r="G1011" s="16" t="s">
        <v>1424</v>
      </c>
      <c r="H1011" s="16">
        <v>11</v>
      </c>
      <c r="I1011" s="19">
        <v>6.30805706337235e-7</v>
      </c>
    </row>
    <row r="1012" ht="22.5" customHeight="1" spans="1:9">
      <c r="A1012" s="16" t="s">
        <v>1422</v>
      </c>
      <c r="B1012" s="16">
        <v>0</v>
      </c>
      <c r="C1012" s="19">
        <v>6.40082271908016e-7</v>
      </c>
      <c r="D1012" s="17">
        <f t="shared" si="0"/>
        <v>0</v>
      </c>
      <c r="E1012" s="18">
        <f t="shared" si="1"/>
        <v>0</v>
      </c>
      <c r="G1012" s="16" t="s">
        <v>1425</v>
      </c>
      <c r="H1012" s="16">
        <v>10</v>
      </c>
      <c r="I1012" s="19">
        <v>5.7345973303385e-7</v>
      </c>
    </row>
    <row r="1013" ht="22.5" customHeight="1" spans="1:9">
      <c r="A1013" s="16" t="s">
        <v>1423</v>
      </c>
      <c r="B1013" s="16">
        <v>0</v>
      </c>
      <c r="C1013" s="19">
        <v>6.40082271908016e-7</v>
      </c>
      <c r="D1013" s="17">
        <f t="shared" si="0"/>
        <v>0</v>
      </c>
      <c r="E1013" s="18">
        <f t="shared" si="1"/>
        <v>0</v>
      </c>
      <c r="G1013" s="16" t="s">
        <v>1427</v>
      </c>
      <c r="H1013" s="16">
        <v>6</v>
      </c>
      <c r="I1013" s="19">
        <v>3.4407583982031e-7</v>
      </c>
    </row>
    <row r="1014" ht="22.5" customHeight="1" spans="1:9">
      <c r="A1014" s="16" t="s">
        <v>1424</v>
      </c>
      <c r="B1014" s="16">
        <v>0</v>
      </c>
      <c r="C1014" s="19">
        <v>5.86742082582348e-7</v>
      </c>
      <c r="D1014" s="17">
        <f t="shared" si="0"/>
        <v>0</v>
      </c>
      <c r="E1014" s="18">
        <f t="shared" si="1"/>
        <v>0</v>
      </c>
      <c r="G1014" s="16" t="s">
        <v>1429</v>
      </c>
      <c r="H1014" s="16">
        <v>5</v>
      </c>
      <c r="I1014" s="19">
        <v>2.86729866516925e-7</v>
      </c>
    </row>
    <row r="1015" ht="22.5" customHeight="1" spans="1:9">
      <c r="A1015" s="16" t="s">
        <v>1425</v>
      </c>
      <c r="B1015" s="16">
        <v>0</v>
      </c>
      <c r="C1015" s="19">
        <v>5.3340189325668e-7</v>
      </c>
      <c r="D1015" s="17">
        <f t="shared" si="0"/>
        <v>0</v>
      </c>
      <c r="E1015" s="18">
        <f t="shared" si="1"/>
        <v>0</v>
      </c>
      <c r="G1015" s="16" t="s">
        <v>1430</v>
      </c>
      <c r="H1015" s="16">
        <v>5</v>
      </c>
      <c r="I1015" s="19">
        <v>2.86729866516925e-7</v>
      </c>
    </row>
    <row r="1016" ht="22.5" customHeight="1" spans="1:9">
      <c r="A1016" s="16" t="s">
        <v>1427</v>
      </c>
      <c r="B1016" s="16">
        <v>0</v>
      </c>
      <c r="C1016" s="19">
        <v>3.20041135954008e-7</v>
      </c>
      <c r="D1016" s="17">
        <f t="shared" si="0"/>
        <v>0</v>
      </c>
      <c r="E1016" s="18">
        <f t="shared" si="1"/>
        <v>0</v>
      </c>
      <c r="G1016" s="16" t="s">
        <v>1431</v>
      </c>
      <c r="H1016" s="16">
        <v>3</v>
      </c>
      <c r="I1016" s="19">
        <v>1.72037919910155e-7</v>
      </c>
    </row>
    <row r="1017" ht="22.5" customHeight="1" spans="1:9">
      <c r="A1017" s="16" t="s">
        <v>1429</v>
      </c>
      <c r="B1017" s="16">
        <v>0</v>
      </c>
      <c r="C1017" s="19">
        <v>2.6670094662834e-7</v>
      </c>
      <c r="D1017" s="17">
        <f t="shared" si="0"/>
        <v>0</v>
      </c>
      <c r="E1017" s="18">
        <f t="shared" si="1"/>
        <v>0</v>
      </c>
      <c r="G1017" s="16" t="s">
        <v>1432</v>
      </c>
      <c r="H1017" s="16">
        <v>3</v>
      </c>
      <c r="I1017" s="19">
        <v>1.72037919910155e-7</v>
      </c>
    </row>
    <row r="1018" ht="22.5" customHeight="1" spans="1:9">
      <c r="A1018" s="16" t="s">
        <v>1430</v>
      </c>
      <c r="B1018" s="16">
        <v>0</v>
      </c>
      <c r="C1018" s="19">
        <v>2.6670094662834e-7</v>
      </c>
      <c r="D1018" s="17">
        <f t="shared" si="0"/>
        <v>0</v>
      </c>
      <c r="E1018" s="18">
        <f t="shared" si="1"/>
        <v>0</v>
      </c>
      <c r="G1018" s="16" t="s">
        <v>1433</v>
      </c>
      <c r="H1018" s="16">
        <v>2</v>
      </c>
      <c r="I1018" s="19">
        <v>1.1469194660677e-7</v>
      </c>
    </row>
    <row r="1019" ht="22.5" customHeight="1" spans="1:9">
      <c r="A1019" s="16" t="s">
        <v>1431</v>
      </c>
      <c r="B1019" s="16">
        <v>0</v>
      </c>
      <c r="C1019" s="19">
        <v>1.60020567977004e-7</v>
      </c>
      <c r="D1019" s="17">
        <f t="shared" si="0"/>
        <v>0</v>
      </c>
      <c r="E1019" s="18">
        <f t="shared" si="1"/>
        <v>0</v>
      </c>
      <c r="G1019" s="16" t="s">
        <v>1435</v>
      </c>
      <c r="H1019" s="16">
        <v>2</v>
      </c>
      <c r="I1019" s="19">
        <v>1.1469194660677e-7</v>
      </c>
    </row>
    <row r="1020" ht="22.5" customHeight="1" spans="1:9">
      <c r="A1020" s="16" t="s">
        <v>1432</v>
      </c>
      <c r="B1020" s="16">
        <v>0</v>
      </c>
      <c r="C1020" s="19">
        <v>1.60020567977004e-7</v>
      </c>
      <c r="D1020" s="17">
        <f t="shared" si="0"/>
        <v>0</v>
      </c>
      <c r="E1020" s="18">
        <f t="shared" si="1"/>
        <v>0</v>
      </c>
      <c r="G1020" s="16" t="s">
        <v>1436</v>
      </c>
      <c r="H1020" s="16">
        <v>0</v>
      </c>
      <c r="I1020" s="19">
        <v>0</v>
      </c>
    </row>
    <row r="1021" ht="22.5" customHeight="1" spans="1:9">
      <c r="A1021" s="16" t="s">
        <v>1433</v>
      </c>
      <c r="B1021" s="16">
        <v>0</v>
      </c>
      <c r="C1021" s="19">
        <v>1.06680378651336e-7</v>
      </c>
      <c r="D1021" s="17">
        <f t="shared" si="0"/>
        <v>0</v>
      </c>
      <c r="E1021" s="18">
        <f t="shared" si="1"/>
        <v>0</v>
      </c>
      <c r="G1021" s="16" t="s">
        <v>1438</v>
      </c>
      <c r="H1021" s="16">
        <v>0</v>
      </c>
      <c r="I1021" s="19">
        <v>0</v>
      </c>
    </row>
    <row r="1022" ht="22.5" customHeight="1" spans="1:9">
      <c r="A1022" s="16" t="s">
        <v>1435</v>
      </c>
      <c r="B1022" s="16">
        <v>0</v>
      </c>
      <c r="C1022" s="19">
        <v>1.06680378651336e-7</v>
      </c>
      <c r="D1022" s="17">
        <f t="shared" si="0"/>
        <v>0</v>
      </c>
      <c r="E1022" s="18">
        <f t="shared" si="1"/>
        <v>0</v>
      </c>
      <c r="G1022" s="16" t="s">
        <v>1606</v>
      </c>
      <c r="H1022" s="16">
        <v>0</v>
      </c>
      <c r="I1022" s="19">
        <v>0</v>
      </c>
    </row>
    <row r="1023" ht="22.5" customHeight="1" spans="1:9">
      <c r="A1023" s="16" t="s">
        <v>1436</v>
      </c>
      <c r="B1023" s="16">
        <v>0</v>
      </c>
      <c r="C1023" s="19">
        <v>0</v>
      </c>
      <c r="D1023" s="17">
        <f t="shared" si="0"/>
        <v>0</v>
      </c>
      <c r="E1023" s="18">
        <f t="shared" si="1"/>
        <v>0</v>
      </c>
      <c r="G1023" s="16" t="s">
        <v>1446</v>
      </c>
      <c r="H1023" s="16">
        <v>0</v>
      </c>
      <c r="I1023" s="19">
        <v>0</v>
      </c>
    </row>
    <row r="1024" ht="22.5" customHeight="1" spans="1:9">
      <c r="A1024" s="16" t="s">
        <v>1438</v>
      </c>
      <c r="B1024" s="16">
        <v>0</v>
      </c>
      <c r="C1024" s="19">
        <v>0</v>
      </c>
      <c r="D1024" s="17">
        <f t="shared" si="0"/>
        <v>0</v>
      </c>
      <c r="E1024" s="18">
        <f t="shared" si="1"/>
        <v>0</v>
      </c>
      <c r="G1024" s="16" t="s">
        <v>1450</v>
      </c>
      <c r="H1024" s="16">
        <v>0</v>
      </c>
      <c r="I1024" s="19">
        <v>0</v>
      </c>
    </row>
    <row r="1025" ht="22.5" customHeight="1" spans="1:9">
      <c r="A1025" s="16" t="s">
        <v>1606</v>
      </c>
      <c r="B1025" s="16">
        <v>0</v>
      </c>
      <c r="C1025" s="19">
        <v>0</v>
      </c>
      <c r="D1025" s="17">
        <f t="shared" si="0"/>
        <v>0</v>
      </c>
      <c r="E1025" s="18">
        <f t="shared" si="1"/>
        <v>0</v>
      </c>
      <c r="G1025" s="16" t="s">
        <v>1457</v>
      </c>
      <c r="H1025" s="16">
        <v>0</v>
      </c>
      <c r="I1025" s="19">
        <v>0</v>
      </c>
    </row>
    <row r="1026" ht="22.5" customHeight="1" spans="1:9">
      <c r="A1026" s="16" t="s">
        <v>1446</v>
      </c>
      <c r="B1026" s="16">
        <v>0</v>
      </c>
      <c r="C1026" s="19">
        <v>0</v>
      </c>
      <c r="D1026" s="17">
        <f t="shared" si="0"/>
        <v>0</v>
      </c>
      <c r="E1026" s="18">
        <f t="shared" si="1"/>
        <v>0</v>
      </c>
      <c r="G1026" s="16" t="s">
        <v>1479</v>
      </c>
      <c r="H1026" s="16">
        <v>0</v>
      </c>
      <c r="I1026" s="19">
        <v>0</v>
      </c>
    </row>
    <row r="1027" ht="22.5" customHeight="1" spans="1:9">
      <c r="A1027" s="16" t="s">
        <v>1450</v>
      </c>
      <c r="B1027" s="16">
        <v>0</v>
      </c>
      <c r="C1027" s="19">
        <v>0</v>
      </c>
      <c r="D1027" s="17">
        <f t="shared" si="0"/>
        <v>0</v>
      </c>
      <c r="E1027" s="18">
        <f t="shared" si="1"/>
        <v>0</v>
      </c>
      <c r="G1027" s="16" t="s">
        <v>1485</v>
      </c>
      <c r="H1027" s="16">
        <v>0</v>
      </c>
      <c r="I1027" s="19">
        <v>0</v>
      </c>
    </row>
    <row r="1028" ht="22.5" customHeight="1" spans="1:9">
      <c r="A1028" s="16" t="s">
        <v>1457</v>
      </c>
      <c r="B1028" s="16">
        <v>0</v>
      </c>
      <c r="C1028" s="19">
        <v>0</v>
      </c>
      <c r="D1028" s="17">
        <f t="shared" si="0"/>
        <v>0</v>
      </c>
      <c r="E1028" s="18">
        <f t="shared" si="1"/>
        <v>0</v>
      </c>
      <c r="G1028" s="16" t="s">
        <v>1487</v>
      </c>
      <c r="H1028" s="16">
        <v>0</v>
      </c>
      <c r="I1028" s="19">
        <v>0</v>
      </c>
    </row>
    <row r="1029" ht="22.5" customHeight="1" spans="1:9">
      <c r="A1029" s="16" t="s">
        <v>1479</v>
      </c>
      <c r="B1029" s="16">
        <v>0</v>
      </c>
      <c r="C1029" s="19">
        <v>0</v>
      </c>
      <c r="D1029" s="17">
        <f t="shared" si="0"/>
        <v>0</v>
      </c>
      <c r="E1029" s="18">
        <f t="shared" si="1"/>
        <v>0</v>
      </c>
      <c r="G1029" s="16" t="s">
        <v>1489</v>
      </c>
      <c r="H1029" s="16">
        <v>0</v>
      </c>
      <c r="I1029" s="19">
        <v>0</v>
      </c>
    </row>
    <row r="1030" ht="22.5" customHeight="1" spans="1:9">
      <c r="A1030" s="16" t="s">
        <v>1485</v>
      </c>
      <c r="B1030" s="16">
        <v>0</v>
      </c>
      <c r="C1030" s="19">
        <v>0</v>
      </c>
      <c r="D1030" s="17">
        <f t="shared" si="0"/>
        <v>0</v>
      </c>
      <c r="E1030" s="18">
        <f t="shared" si="1"/>
        <v>0</v>
      </c>
      <c r="G1030" s="16" t="s">
        <v>1491</v>
      </c>
      <c r="H1030" s="16">
        <v>0</v>
      </c>
      <c r="I1030" s="19">
        <v>0</v>
      </c>
    </row>
    <row r="1031" ht="22.5" customHeight="1" spans="1:9">
      <c r="A1031" s="16" t="s">
        <v>1487</v>
      </c>
      <c r="B1031" s="16">
        <v>0</v>
      </c>
      <c r="C1031" s="19">
        <v>0</v>
      </c>
      <c r="D1031" s="17">
        <f t="shared" si="0"/>
        <v>0</v>
      </c>
      <c r="E1031" s="18">
        <f t="shared" si="1"/>
        <v>0</v>
      </c>
      <c r="G1031" s="16" t="s">
        <v>1492</v>
      </c>
      <c r="H1031" s="16">
        <v>0</v>
      </c>
      <c r="I1031" s="19">
        <v>0</v>
      </c>
    </row>
    <row r="1032" ht="22.5" customHeight="1" spans="1:9">
      <c r="A1032" s="16" t="s">
        <v>1489</v>
      </c>
      <c r="B1032" s="16">
        <v>0</v>
      </c>
      <c r="C1032" s="19">
        <v>0</v>
      </c>
      <c r="D1032" s="17">
        <f t="shared" si="0"/>
        <v>0</v>
      </c>
      <c r="E1032" s="18">
        <f t="shared" si="1"/>
        <v>0</v>
      </c>
      <c r="G1032" s="16" t="s">
        <v>1494</v>
      </c>
      <c r="H1032" s="16">
        <v>0</v>
      </c>
      <c r="I1032" s="19">
        <v>0</v>
      </c>
    </row>
    <row r="1033" ht="22.5" customHeight="1" spans="1:9">
      <c r="A1033" s="16" t="s">
        <v>1491</v>
      </c>
      <c r="B1033" s="16">
        <v>0</v>
      </c>
      <c r="C1033" s="19">
        <v>0</v>
      </c>
      <c r="D1033" s="17">
        <f t="shared" si="0"/>
        <v>0</v>
      </c>
      <c r="E1033" s="18">
        <f t="shared" si="1"/>
        <v>0</v>
      </c>
      <c r="G1033" s="16" t="s">
        <v>1496</v>
      </c>
      <c r="H1033" s="16">
        <v>0</v>
      </c>
      <c r="I1033" s="19">
        <v>0</v>
      </c>
    </row>
    <row r="1034" ht="22.5" customHeight="1" spans="1:9">
      <c r="A1034" s="16" t="s">
        <v>1492</v>
      </c>
      <c r="B1034" s="16">
        <v>0</v>
      </c>
      <c r="C1034" s="19">
        <v>0</v>
      </c>
      <c r="D1034" s="17">
        <f t="shared" si="0"/>
        <v>0</v>
      </c>
      <c r="E1034" s="18">
        <f t="shared" si="1"/>
        <v>0</v>
      </c>
      <c r="G1034" s="16" t="s">
        <v>1498</v>
      </c>
      <c r="H1034" s="16">
        <v>0</v>
      </c>
      <c r="I1034" s="19">
        <v>0</v>
      </c>
    </row>
    <row r="1035" ht="22.5" customHeight="1" spans="1:9">
      <c r="A1035" s="16" t="s">
        <v>1494</v>
      </c>
      <c r="B1035" s="16">
        <v>0</v>
      </c>
      <c r="C1035" s="19">
        <v>0</v>
      </c>
      <c r="D1035" s="17">
        <f t="shared" si="0"/>
        <v>0</v>
      </c>
      <c r="E1035" s="18">
        <f t="shared" si="1"/>
        <v>0</v>
      </c>
      <c r="G1035" s="16" t="s">
        <v>1500</v>
      </c>
      <c r="H1035" s="16">
        <v>0</v>
      </c>
      <c r="I1035" s="19">
        <v>0</v>
      </c>
    </row>
    <row r="1036" ht="22.5" customHeight="1" spans="1:9">
      <c r="A1036" s="16" t="s">
        <v>1496</v>
      </c>
      <c r="B1036" s="16">
        <v>0</v>
      </c>
      <c r="C1036" s="19">
        <v>0</v>
      </c>
      <c r="D1036" s="17">
        <f t="shared" si="0"/>
        <v>0</v>
      </c>
      <c r="E1036" s="18">
        <f t="shared" si="1"/>
        <v>0</v>
      </c>
      <c r="G1036" s="16" t="s">
        <v>1501</v>
      </c>
      <c r="H1036" s="16">
        <v>0</v>
      </c>
      <c r="I1036" s="19">
        <v>0</v>
      </c>
    </row>
    <row r="1037" ht="22.5" customHeight="1" spans="1:9">
      <c r="A1037" s="16" t="s">
        <v>1498</v>
      </c>
      <c r="B1037" s="16">
        <v>0</v>
      </c>
      <c r="C1037" s="19">
        <v>0</v>
      </c>
      <c r="D1037" s="17">
        <f t="shared" si="0"/>
        <v>0</v>
      </c>
      <c r="E1037" s="18">
        <f t="shared" si="1"/>
        <v>0</v>
      </c>
      <c r="G1037" s="16" t="s">
        <v>1503</v>
      </c>
      <c r="H1037" s="16">
        <v>0</v>
      </c>
      <c r="I1037" s="19">
        <v>0</v>
      </c>
    </row>
    <row r="1038" ht="22.5" customHeight="1" spans="1:9">
      <c r="A1038" s="16" t="s">
        <v>1500</v>
      </c>
      <c r="B1038" s="16">
        <v>0</v>
      </c>
      <c r="C1038" s="19">
        <v>0</v>
      </c>
      <c r="D1038" s="17">
        <f t="shared" si="0"/>
        <v>0</v>
      </c>
      <c r="E1038" s="18">
        <f t="shared" si="1"/>
        <v>0</v>
      </c>
      <c r="G1038" s="16" t="s">
        <v>1505</v>
      </c>
      <c r="H1038" s="16">
        <v>0</v>
      </c>
      <c r="I1038" s="19">
        <v>0</v>
      </c>
    </row>
    <row r="1039" ht="22.5" customHeight="1" spans="1:9">
      <c r="A1039" s="16" t="s">
        <v>1501</v>
      </c>
      <c r="B1039" s="16">
        <v>0</v>
      </c>
      <c r="C1039" s="19">
        <v>0</v>
      </c>
      <c r="D1039" s="17">
        <f t="shared" si="0"/>
        <v>0</v>
      </c>
      <c r="E1039" s="18">
        <f t="shared" si="1"/>
        <v>0</v>
      </c>
      <c r="G1039" s="16" t="s">
        <v>1507</v>
      </c>
      <c r="H1039" s="16">
        <v>0</v>
      </c>
      <c r="I1039" s="19">
        <v>0</v>
      </c>
    </row>
    <row r="1040" ht="22.5" customHeight="1" spans="1:9">
      <c r="A1040" s="16" t="s">
        <v>1503</v>
      </c>
      <c r="B1040" s="16">
        <v>0</v>
      </c>
      <c r="C1040" s="19">
        <v>0</v>
      </c>
      <c r="D1040" s="17">
        <f t="shared" si="0"/>
        <v>0</v>
      </c>
      <c r="E1040" s="18">
        <f t="shared" si="1"/>
        <v>0</v>
      </c>
      <c r="G1040" s="16" t="s">
        <v>1509</v>
      </c>
      <c r="H1040" s="16">
        <v>0</v>
      </c>
      <c r="I1040" s="19">
        <v>0</v>
      </c>
    </row>
    <row r="1041" ht="22.5" customHeight="1" spans="1:9">
      <c r="A1041" s="16" t="s">
        <v>1505</v>
      </c>
      <c r="B1041" s="16">
        <v>0</v>
      </c>
      <c r="C1041" s="19">
        <v>0</v>
      </c>
      <c r="D1041" s="17">
        <f t="shared" si="0"/>
        <v>0</v>
      </c>
      <c r="E1041" s="18">
        <f t="shared" si="1"/>
        <v>0</v>
      </c>
      <c r="G1041" s="16" t="s">
        <v>1511</v>
      </c>
      <c r="H1041" s="16">
        <v>0</v>
      </c>
      <c r="I1041" s="19">
        <v>0</v>
      </c>
    </row>
    <row r="1042" ht="22.5" customHeight="1" spans="1:9">
      <c r="A1042" s="16" t="s">
        <v>1507</v>
      </c>
      <c r="B1042" s="16">
        <v>0</v>
      </c>
      <c r="C1042" s="19">
        <v>0</v>
      </c>
      <c r="D1042" s="17">
        <f t="shared" si="0"/>
        <v>0</v>
      </c>
      <c r="E1042" s="18">
        <f t="shared" si="1"/>
        <v>0</v>
      </c>
      <c r="G1042" s="16" t="s">
        <v>1513</v>
      </c>
      <c r="H1042" s="16">
        <v>0</v>
      </c>
      <c r="I1042" s="19">
        <v>0</v>
      </c>
    </row>
    <row r="1043" ht="22.5" customHeight="1" spans="1:9">
      <c r="A1043" s="16" t="s">
        <v>1509</v>
      </c>
      <c r="B1043" s="16">
        <v>0</v>
      </c>
      <c r="C1043" s="19">
        <v>0</v>
      </c>
      <c r="D1043" s="17">
        <f t="shared" si="0"/>
        <v>0</v>
      </c>
      <c r="E1043" s="18">
        <f t="shared" si="1"/>
        <v>0</v>
      </c>
      <c r="G1043" s="16" t="s">
        <v>1515</v>
      </c>
      <c r="H1043" s="16">
        <v>0</v>
      </c>
      <c r="I1043" s="19">
        <v>0</v>
      </c>
    </row>
    <row r="1044" ht="22.5" customHeight="1" spans="1:9">
      <c r="A1044" s="16" t="s">
        <v>1511</v>
      </c>
      <c r="B1044" s="16">
        <v>0</v>
      </c>
      <c r="C1044" s="19">
        <v>0</v>
      </c>
      <c r="D1044" s="17">
        <f t="shared" si="0"/>
        <v>0</v>
      </c>
      <c r="E1044" s="18">
        <f t="shared" si="1"/>
        <v>0</v>
      </c>
      <c r="G1044" s="16" t="s">
        <v>1517</v>
      </c>
      <c r="H1044" s="16">
        <v>0</v>
      </c>
      <c r="I1044" s="19">
        <v>0</v>
      </c>
    </row>
    <row r="1045" ht="22.5" customHeight="1" spans="1:9">
      <c r="A1045" s="16" t="s">
        <v>1513</v>
      </c>
      <c r="B1045" s="16">
        <v>0</v>
      </c>
      <c r="C1045" s="19">
        <v>0</v>
      </c>
      <c r="D1045" s="17">
        <f t="shared" si="0"/>
        <v>0</v>
      </c>
      <c r="E1045" s="18">
        <f t="shared" si="1"/>
        <v>0</v>
      </c>
      <c r="G1045" s="16" t="s">
        <v>1519</v>
      </c>
      <c r="H1045" s="16">
        <v>0</v>
      </c>
      <c r="I1045" s="19">
        <v>0</v>
      </c>
    </row>
    <row r="1046" ht="22.5" customHeight="1" spans="1:9">
      <c r="A1046" s="16" t="s">
        <v>1515</v>
      </c>
      <c r="B1046" s="16">
        <v>0</v>
      </c>
      <c r="C1046" s="19">
        <v>0</v>
      </c>
      <c r="D1046" s="17">
        <f t="shared" si="0"/>
        <v>0</v>
      </c>
      <c r="E1046" s="18">
        <f t="shared" si="1"/>
        <v>0</v>
      </c>
      <c r="G1046" s="16" t="s">
        <v>1521</v>
      </c>
      <c r="H1046" s="16">
        <v>0</v>
      </c>
      <c r="I1046" s="19">
        <v>0</v>
      </c>
    </row>
    <row r="1047" ht="22.5" customHeight="1" spans="1:9">
      <c r="A1047" s="16" t="s">
        <v>1517</v>
      </c>
      <c r="B1047" s="16">
        <v>0</v>
      </c>
      <c r="C1047" s="19">
        <v>0</v>
      </c>
      <c r="D1047" s="17">
        <f t="shared" si="0"/>
        <v>0</v>
      </c>
      <c r="E1047" s="18">
        <f t="shared" si="1"/>
        <v>0</v>
      </c>
      <c r="G1047" s="16" t="s">
        <v>1522</v>
      </c>
      <c r="H1047" s="16">
        <v>0</v>
      </c>
      <c r="I1047" s="19">
        <v>0</v>
      </c>
    </row>
    <row r="1048" ht="22.5" customHeight="1" spans="1:9">
      <c r="A1048" s="16" t="s">
        <v>1519</v>
      </c>
      <c r="B1048" s="16">
        <v>0</v>
      </c>
      <c r="C1048" s="19">
        <v>0</v>
      </c>
      <c r="D1048" s="17">
        <f t="shared" si="0"/>
        <v>0</v>
      </c>
      <c r="E1048" s="18">
        <f t="shared" si="1"/>
        <v>0</v>
      </c>
      <c r="G1048" s="16" t="s">
        <v>1527</v>
      </c>
      <c r="H1048" s="16">
        <v>0</v>
      </c>
      <c r="I1048" s="19">
        <v>0</v>
      </c>
    </row>
    <row r="1049" ht="22.5" customHeight="1" spans="1:9">
      <c r="A1049" s="16" t="s">
        <v>1521</v>
      </c>
      <c r="B1049" s="16">
        <v>0</v>
      </c>
      <c r="C1049" s="19">
        <v>0</v>
      </c>
      <c r="D1049" s="17">
        <f t="shared" si="0"/>
        <v>0</v>
      </c>
      <c r="E1049" s="18">
        <f t="shared" si="1"/>
        <v>0</v>
      </c>
      <c r="G1049" s="16" t="s">
        <v>1524</v>
      </c>
      <c r="H1049" s="16">
        <v>0</v>
      </c>
      <c r="I1049" s="19">
        <v>0</v>
      </c>
    </row>
    <row r="1050" ht="22.5" customHeight="1" spans="1:9">
      <c r="A1050" s="16" t="s">
        <v>1522</v>
      </c>
      <c r="B1050" s="16">
        <v>0</v>
      </c>
      <c r="C1050" s="19">
        <v>0</v>
      </c>
      <c r="D1050" s="17">
        <f t="shared" si="0"/>
        <v>0</v>
      </c>
      <c r="E1050" s="18">
        <f t="shared" si="1"/>
        <v>0</v>
      </c>
      <c r="G1050" s="16" t="s">
        <v>1357</v>
      </c>
      <c r="H1050" s="16">
        <v>0</v>
      </c>
      <c r="I1050" s="19">
        <v>0</v>
      </c>
    </row>
    <row r="1051" ht="22.5" customHeight="1" spans="1:9">
      <c r="A1051" s="16" t="s">
        <v>1527</v>
      </c>
      <c r="B1051" s="16">
        <v>0</v>
      </c>
      <c r="C1051" s="19">
        <v>0</v>
      </c>
      <c r="D1051" s="17">
        <f t="shared" si="0"/>
        <v>0</v>
      </c>
      <c r="E1051" s="18">
        <f t="shared" si="1"/>
        <v>0</v>
      </c>
      <c r="G1051" s="16" t="s">
        <v>1529</v>
      </c>
      <c r="H1051" s="16">
        <v>0</v>
      </c>
      <c r="I1051" s="19">
        <v>0</v>
      </c>
    </row>
    <row r="1052" ht="22.5" customHeight="1" spans="1:9">
      <c r="A1052" s="16" t="s">
        <v>1524</v>
      </c>
      <c r="B1052" s="16">
        <v>0</v>
      </c>
      <c r="C1052" s="19">
        <v>0</v>
      </c>
      <c r="D1052" s="17">
        <f t="shared" si="0"/>
        <v>0</v>
      </c>
      <c r="E1052" s="18">
        <f t="shared" si="1"/>
        <v>0</v>
      </c>
      <c r="G1052" s="16" t="s">
        <v>1530</v>
      </c>
      <c r="H1052" s="16">
        <v>0</v>
      </c>
      <c r="I1052" s="19">
        <v>0</v>
      </c>
    </row>
    <row r="1053" ht="22.5" customHeight="1" spans="1:9">
      <c r="A1053" s="16" t="s">
        <v>1529</v>
      </c>
      <c r="B1053" s="16">
        <v>0</v>
      </c>
      <c r="C1053" s="19">
        <v>0</v>
      </c>
      <c r="D1053" s="17">
        <f t="shared" si="0"/>
        <v>0</v>
      </c>
      <c r="E1053" s="18">
        <f t="shared" si="1"/>
        <v>0</v>
      </c>
      <c r="G1053" s="16" t="s">
        <v>1533</v>
      </c>
      <c r="H1053" s="16">
        <v>0</v>
      </c>
      <c r="I1053" s="19">
        <v>0</v>
      </c>
    </row>
    <row r="1054" ht="22.5" customHeight="1" spans="1:9">
      <c r="A1054" s="16" t="s">
        <v>1530</v>
      </c>
      <c r="B1054" s="16">
        <v>0</v>
      </c>
      <c r="C1054" s="19">
        <v>0</v>
      </c>
      <c r="D1054" s="17">
        <f t="shared" si="0"/>
        <v>0</v>
      </c>
      <c r="E1054" s="18">
        <f t="shared" si="1"/>
        <v>0</v>
      </c>
      <c r="G1054" s="16" t="s">
        <v>1534</v>
      </c>
      <c r="H1054" s="16">
        <v>0</v>
      </c>
      <c r="I1054" s="19">
        <v>0</v>
      </c>
    </row>
    <row r="1055" ht="22.5" customHeight="1" spans="1:9">
      <c r="A1055" s="16" t="s">
        <v>1533</v>
      </c>
      <c r="B1055" s="16">
        <v>0</v>
      </c>
      <c r="C1055" s="19">
        <v>0</v>
      </c>
      <c r="D1055" s="17">
        <f t="shared" si="0"/>
        <v>0</v>
      </c>
      <c r="E1055" s="18">
        <f t="shared" si="1"/>
        <v>0</v>
      </c>
      <c r="G1055" s="16" t="s">
        <v>1536</v>
      </c>
      <c r="H1055" s="16">
        <v>0</v>
      </c>
      <c r="I1055" s="19">
        <v>0</v>
      </c>
    </row>
    <row r="1056" ht="22.5" customHeight="1" spans="1:9">
      <c r="A1056" s="16" t="s">
        <v>1534</v>
      </c>
      <c r="B1056" s="16">
        <v>0</v>
      </c>
      <c r="C1056" s="19">
        <v>0</v>
      </c>
      <c r="D1056" s="17">
        <f t="shared" si="0"/>
        <v>0</v>
      </c>
      <c r="E1056" s="18">
        <f t="shared" si="1"/>
        <v>0</v>
      </c>
      <c r="G1056" s="16" t="s">
        <v>1538</v>
      </c>
      <c r="H1056" s="16">
        <v>0</v>
      </c>
      <c r="I1056" s="19">
        <v>0</v>
      </c>
    </row>
    <row r="1057" ht="22.5" customHeight="1" spans="1:9">
      <c r="A1057" s="16" t="s">
        <v>1536</v>
      </c>
      <c r="B1057" s="16">
        <v>0</v>
      </c>
      <c r="C1057" s="19">
        <v>0</v>
      </c>
      <c r="D1057" s="17">
        <f t="shared" si="0"/>
        <v>0</v>
      </c>
      <c r="E1057" s="18">
        <f t="shared" si="1"/>
        <v>0</v>
      </c>
      <c r="G1057" s="16" t="s">
        <v>1426</v>
      </c>
      <c r="H1057" s="16">
        <v>0</v>
      </c>
      <c r="I1057" s="19">
        <v>0</v>
      </c>
    </row>
    <row r="1058" ht="22.5" customHeight="1" spans="1:9">
      <c r="A1058" s="16" t="s">
        <v>1538</v>
      </c>
      <c r="B1058" s="16">
        <v>0</v>
      </c>
      <c r="C1058" s="19">
        <v>0</v>
      </c>
      <c r="D1058" s="17">
        <f t="shared" si="0"/>
        <v>0</v>
      </c>
      <c r="E1058" s="18">
        <f t="shared" si="1"/>
        <v>0</v>
      </c>
      <c r="G1058" s="16" t="s">
        <v>1541</v>
      </c>
      <c r="H1058" s="16">
        <v>0</v>
      </c>
      <c r="I1058" s="19">
        <v>0</v>
      </c>
    </row>
    <row r="1059" ht="22.5" customHeight="1" spans="1:9">
      <c r="A1059" s="16" t="s">
        <v>1541</v>
      </c>
      <c r="B1059" s="16">
        <v>0</v>
      </c>
      <c r="C1059" s="19">
        <v>0</v>
      </c>
      <c r="D1059" s="17">
        <f t="shared" si="0"/>
        <v>0</v>
      </c>
      <c r="E1059" s="18">
        <f t="shared" si="1"/>
        <v>0</v>
      </c>
      <c r="G1059" s="16" t="s">
        <v>1542</v>
      </c>
      <c r="H1059" s="16">
        <v>0</v>
      </c>
      <c r="I1059" s="19">
        <v>0</v>
      </c>
    </row>
    <row r="1060" ht="22.5" customHeight="1" spans="1:9">
      <c r="A1060" s="16" t="s">
        <v>1542</v>
      </c>
      <c r="B1060" s="16">
        <v>0</v>
      </c>
      <c r="C1060" s="19">
        <v>0</v>
      </c>
      <c r="D1060" s="17">
        <f t="shared" si="0"/>
        <v>0</v>
      </c>
      <c r="E1060" s="18">
        <f t="shared" si="1"/>
        <v>0</v>
      </c>
      <c r="G1060" s="16" t="s">
        <v>1259</v>
      </c>
      <c r="H1060" s="16">
        <v>0</v>
      </c>
      <c r="I1060" s="19">
        <v>0</v>
      </c>
    </row>
    <row r="1061" ht="22.5" customHeight="1" spans="1:9">
      <c r="A1061" s="16" t="s">
        <v>1545</v>
      </c>
      <c r="B1061" s="16">
        <v>0</v>
      </c>
      <c r="C1061" s="19">
        <v>0</v>
      </c>
      <c r="D1061" s="17">
        <f t="shared" si="0"/>
        <v>0</v>
      </c>
      <c r="E1061" s="18">
        <f t="shared" si="1"/>
        <v>0</v>
      </c>
      <c r="G1061" s="16" t="s">
        <v>1545</v>
      </c>
      <c r="H1061" s="16">
        <v>0</v>
      </c>
      <c r="I1061" s="19">
        <v>0</v>
      </c>
    </row>
    <row r="1062" ht="22.5" customHeight="1" spans="1:9">
      <c r="A1062" s="16" t="s">
        <v>1596</v>
      </c>
      <c r="C1062" s="19" t="s">
        <v>1598</v>
      </c>
      <c r="D1062" s="17"/>
      <c r="E1062" s="17">
        <f t="shared" si="1"/>
        <v>0</v>
      </c>
      <c r="G1062" s="16" t="s">
        <v>1596</v>
      </c>
      <c r="I1062" s="19" t="s">
        <v>1598</v>
      </c>
    </row>
  </sheetData>
  <dataValidations count="1">
    <dataValidation type="custom" allowBlank="1" sqref="I2:I1061 C2:E1061">
      <formula1>AND(ISNUMBER(C2),(NOT(OR(NOT(ISERROR(DATEVALUE(C2))),AND(ISNUMBER(C2),LEFT(CELL("format",C2))="D")))))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11"/>
  <sheetViews>
    <sheetView showGridLines="0" workbookViewId="0">
      <selection activeCell="A1" sqref="A1"/>
    </sheetView>
  </sheetViews>
  <sheetFormatPr defaultColWidth="14.4259259259259" defaultRowHeight="15" customHeight="1" outlineLevelCol="6"/>
  <cols>
    <col min="1" max="1" width="26.712962962963" customWidth="1"/>
    <col min="2" max="2" width="29.1388888888889" customWidth="1"/>
    <col min="3" max="3" width="11.5740740740741" customWidth="1"/>
    <col min="4" max="4" width="9.71296296296296" customWidth="1"/>
    <col min="5" max="5" width="12.8611111111111" customWidth="1"/>
    <col min="6" max="6" width="9.86111111111111" customWidth="1"/>
  </cols>
  <sheetData>
    <row r="1" customHeight="1" spans="1:7">
      <c r="A1" s="1" t="s">
        <v>1573</v>
      </c>
      <c r="B1" s="2"/>
      <c r="C1" s="1" t="s">
        <v>1572</v>
      </c>
      <c r="D1" s="1"/>
      <c r="E1" s="2"/>
      <c r="F1" s="2"/>
      <c r="G1" s="3"/>
    </row>
    <row r="2" customHeight="1" spans="1:7">
      <c r="A2" s="1" t="s">
        <v>1607</v>
      </c>
      <c r="B2" s="1" t="s">
        <v>1608</v>
      </c>
      <c r="C2" s="1" t="s">
        <v>1575</v>
      </c>
      <c r="D2" s="4" t="s">
        <v>1576</v>
      </c>
      <c r="E2" s="4" t="s">
        <v>1577</v>
      </c>
      <c r="F2" s="4" t="s">
        <v>1578</v>
      </c>
      <c r="G2" s="5" t="s">
        <v>1556</v>
      </c>
    </row>
    <row r="3" customHeight="1" spans="1:7">
      <c r="A3" s="1" t="s">
        <v>147</v>
      </c>
      <c r="B3" s="1" t="s">
        <v>1609</v>
      </c>
      <c r="C3" s="1"/>
      <c r="D3" s="4"/>
      <c r="E3" s="4"/>
      <c r="F3" s="4">
        <v>2</v>
      </c>
      <c r="G3" s="5">
        <v>2</v>
      </c>
    </row>
    <row r="4" customHeight="1" spans="1:7">
      <c r="A4" s="1" t="s">
        <v>1451</v>
      </c>
      <c r="B4" s="1" t="s">
        <v>388</v>
      </c>
      <c r="C4" s="1"/>
      <c r="D4" s="4"/>
      <c r="E4" s="4"/>
      <c r="F4" s="4">
        <v>5</v>
      </c>
      <c r="G4" s="5">
        <v>5</v>
      </c>
    </row>
    <row r="5" customHeight="1" spans="1:7">
      <c r="A5" s="1" t="s">
        <v>779</v>
      </c>
      <c r="B5" s="1" t="s">
        <v>1610</v>
      </c>
      <c r="C5" s="1">
        <v>64</v>
      </c>
      <c r="D5" s="4"/>
      <c r="E5" s="4">
        <v>9</v>
      </c>
      <c r="F5" s="4">
        <v>16</v>
      </c>
      <c r="G5" s="5">
        <v>89</v>
      </c>
    </row>
    <row r="6" customHeight="1" spans="1:7">
      <c r="A6" s="6"/>
      <c r="B6" s="7" t="s">
        <v>1611</v>
      </c>
      <c r="C6" s="8">
        <v>2</v>
      </c>
      <c r="F6">
        <v>15</v>
      </c>
      <c r="G6" s="9">
        <v>17</v>
      </c>
    </row>
    <row r="7" customHeight="1" spans="1:7">
      <c r="A7" s="6"/>
      <c r="B7" s="7" t="s">
        <v>1609</v>
      </c>
      <c r="C7" s="8">
        <v>14</v>
      </c>
      <c r="F7">
        <v>13</v>
      </c>
      <c r="G7" s="9">
        <v>27</v>
      </c>
    </row>
    <row r="8" customHeight="1" spans="1:7">
      <c r="A8" s="6"/>
      <c r="B8" s="7" t="s">
        <v>1612</v>
      </c>
      <c r="C8" s="8">
        <v>331</v>
      </c>
      <c r="E8">
        <v>64</v>
      </c>
      <c r="F8">
        <v>300</v>
      </c>
      <c r="G8" s="9">
        <v>695</v>
      </c>
    </row>
    <row r="9" customHeight="1" spans="1:7">
      <c r="A9" s="1" t="s">
        <v>830</v>
      </c>
      <c r="B9" s="1" t="s">
        <v>1613</v>
      </c>
      <c r="C9" s="1">
        <v>79</v>
      </c>
      <c r="D9" s="4"/>
      <c r="E9" s="4">
        <v>28</v>
      </c>
      <c r="F9" s="4">
        <v>65</v>
      </c>
      <c r="G9" s="5">
        <v>172</v>
      </c>
    </row>
    <row r="10" customHeight="1" spans="1:7">
      <c r="A10" s="6"/>
      <c r="B10" s="7" t="s">
        <v>1614</v>
      </c>
      <c r="C10" s="8">
        <v>30</v>
      </c>
      <c r="D10">
        <v>7</v>
      </c>
      <c r="E10">
        <v>5</v>
      </c>
      <c r="F10">
        <v>16</v>
      </c>
      <c r="G10" s="9">
        <v>58</v>
      </c>
    </row>
    <row r="11" customHeight="1" spans="1:7">
      <c r="A11" s="10" t="s">
        <v>1556</v>
      </c>
      <c r="B11" s="11"/>
      <c r="C11" s="10">
        <v>520</v>
      </c>
      <c r="D11" s="12">
        <v>7</v>
      </c>
      <c r="E11" s="12">
        <v>106</v>
      </c>
      <c r="F11" s="12">
        <v>432</v>
      </c>
      <c r="G11" s="13">
        <v>1065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BasePrefRio</vt:lpstr>
      <vt:lpstr>Tabela dinâmica 5</vt:lpstr>
      <vt:lpstr>Agregação</vt:lpstr>
      <vt:lpstr>Subtarefas</vt:lpstr>
      <vt:lpstr>Gerenciamento</vt:lpstr>
      <vt:lpstr>Tabela dinâmica 3</vt:lpstr>
      <vt:lpstr>Relatórios</vt:lpstr>
      <vt:lpstr>Quanti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2026-05-08T19:27:35Z</dcterms:created>
  <dcterms:modified xsi:type="dcterms:W3CDTF">2026-05-08T19:58:26Z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3AA75BA774B14950AEE2EF01ABB5AC22_13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