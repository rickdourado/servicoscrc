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55" tabRatio="837" firstSheet="1" activeTab="1"/>
  </bookViews>
  <sheets>
    <sheet name="Query - Base SGRC" sheetId="1" state="hidden" r:id="rId1"/>
    <sheet name="Nova árvore - Salesforce" sheetId="8" r:id="rId2"/>
    <sheet name="Resumo - Pareamento Formulário " sheetId="1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<sst xmlns="http://schemas.openxmlformats.org/spreadsheetml/2006/main" count="255" uniqueCount="245">
  <si>
    <t>Detalhado</t>
  </si>
  <si>
    <t xml:space="preserve">  SELECT
    FORMAT_DATE('%Y-%m', t1.data_particao) AS year_month,
    t4.no_origem_ocorrencia,
    t1.id_unidade_organizacional,
    t1.nome_unidade_organizacional,
    t1.id_unidade_organizacional_mae, 
    t3.no_unidade_organizacional as nome_unidade_organizacional_mae,
    t1.categoria,
    t1.id_tipo,
    t1.tipo,
    t1.id_subtipo,
    t2.no_subtipo,
    t1.status,
    COUNT(DISTINCT t1.id_chamado) AS monthly_chamado_count
  FROM
    `rj-segovi`.`adm_central_atendimento_1746`.`chamado` t1
  LEFT JOIN `rj-iplanrio.brutos_extracoes_google_sheets.relacao_nome_atualizado_subtipo` t2 on t1.id_subtipo = t2.id_subtipo
  LEFT JOIN `rj-iplanrio.brutos_extracoes_google_sheets.relacao_unidades_organizacionais` t3 on cast(t3.id_unidade_organizacional as string) = t1.id_unidade_organizacional_mae
  LEFT JOIN `rj-iplanrio.brutos_extracoes_google_sheets.relacao_origem_ocorrencia` t4 on t1.id_origem_ocorrencia = t4.id_origem_ocorrencia
  WHERE
    data_particao &gt;= "2025-01-01"
    AND data_particao &lt;= "2026-02-28"
  GROUP BY 1,2,3,4,5,6,7,8,9,10,11,12</t>
  </si>
  <si>
    <t>Volume médio mês consolidado por categoria</t>
  </si>
  <si>
    <t xml:space="preserve">  SELECT
  FORMAT_DATE('%Y-%m', t1.data_particao) AS year_month,
   t1.categoria,
   t1.id_subtipo,
   t2.no_subtipo as subtipo,    
  COUNT(DISTINCT t1.id_chamado) AS monthly_chamado_count
  FROM `rj-segovi`.`adm_central_atendimento_1746`.`chamado` t1
  LEFT JOIN `rj-iplanrio.brutos_extracoes_google_sheets.relacao_nome_atualizado_subtipo` t2 on t1.id_subtipo = t2.id_subtipo
  WHERE
    data_particao &gt;= "2025-01-01"
    AND data_particao &lt;= "2026-02-28"
  GROUP BY 1,2,3,4
  order by year_month asc</t>
  </si>
  <si>
    <t>Proposta 2026 - Nível 1 (Categorias) - Consolidar</t>
  </si>
  <si>
    <t>Nível 2 (Subcategorias) - Consolidar</t>
  </si>
  <si>
    <t>Nível 3 (a nível de exemplos)</t>
  </si>
  <si>
    <t>Administração pública</t>
  </si>
  <si>
    <t>Saúde do servidor</t>
  </si>
  <si>
    <t>licença médica, readaptação, plano de saúde, ...</t>
  </si>
  <si>
    <t>Solicitações do servidor</t>
  </si>
  <si>
    <t>Revisão de FGTS celetista, contracheque, acidente de trabalho, afastamento, ...</t>
  </si>
  <si>
    <t>Consulta a processos</t>
  </si>
  <si>
    <t>Benefícios</t>
  </si>
  <si>
    <t>auxílio creche, auxílio medicamento, ...</t>
  </si>
  <si>
    <t>Concursos e Processos seletivos</t>
  </si>
  <si>
    <t>Previdência do servidor</t>
  </si>
  <si>
    <t>Pensão por morte, aposentadoria, informe de rendimentos do pensionista, ...</t>
  </si>
  <si>
    <t>Licitação e Pregão</t>
  </si>
  <si>
    <t>Informações sobre licitação e pregão</t>
  </si>
  <si>
    <t>Irregularidades em empresas terceirizadas</t>
  </si>
  <si>
    <t>Animais</t>
  </si>
  <si>
    <t>Saúde animal</t>
  </si>
  <si>
    <t>Exames, consultas/atendimento vet, castração, vacinação...</t>
  </si>
  <si>
    <t>Proteção aos animais</t>
  </si>
  <si>
    <t>animal encontrado na via, animais silvestres, animais comunitários, SISBICHO, Adoção...</t>
  </si>
  <si>
    <t>Cidadania</t>
  </si>
  <si>
    <t>Assistência social</t>
  </si>
  <si>
    <t>Acolhimento, Programas sociais, CadÚnico, política sobre drogas</t>
  </si>
  <si>
    <t>Acessibilidade</t>
  </si>
  <si>
    <t>Inclusão de PCDs no mercado de trabalho,</t>
  </si>
  <si>
    <t>Direitos Humanos</t>
  </si>
  <si>
    <t>Casos de intolerância religiosa, Ético-racial e LGBTfobia</t>
  </si>
  <si>
    <t>Mulher carioca</t>
  </si>
  <si>
    <t>Casas da Mulher, Vítimas de violência, ...</t>
  </si>
  <si>
    <t>PROCON carioca</t>
  </si>
  <si>
    <t>Participação social</t>
  </si>
  <si>
    <t>Participa.rio</t>
  </si>
  <si>
    <t>Cultura, Esporte e Lazer</t>
  </si>
  <si>
    <t>Atividade física</t>
  </si>
  <si>
    <t>Academias da terceira idade, projeto vida ativa, projetos esportivos...</t>
  </si>
  <si>
    <t>Audiovisual</t>
  </si>
  <si>
    <t>subtipos riofilme</t>
  </si>
  <si>
    <t>Incentivo cultural</t>
  </si>
  <si>
    <t>redes de roda de samba, feiras de arte, feira de artesanato, programa carioca paga meia...</t>
  </si>
  <si>
    <t>Espaços culturais</t>
  </si>
  <si>
    <t>Cidade das Artes, Bibliotecas públicas, Terreirão do samba, informações sobre uso dos espaços culturais, Planetário, BioParque, implantação de áreas de lazer...</t>
  </si>
  <si>
    <t>Cursos</t>
  </si>
  <si>
    <t>Oportunidades Cariocas (land page)</t>
  </si>
  <si>
    <t>Educação</t>
  </si>
  <si>
    <t>Vida escolar</t>
  </si>
  <si>
    <t>Calendário escolar, merenda escolar, material rioeduca, distribuição de uniformes, declaração de escolaridade...</t>
  </si>
  <si>
    <t>MultiRio</t>
  </si>
  <si>
    <t>subtipos multirio</t>
  </si>
  <si>
    <t>Educação Infantil</t>
  </si>
  <si>
    <t>creches parceiras, estabelecimentos de ensino infantil...</t>
  </si>
  <si>
    <t>Ensino Fundamental e Médio</t>
  </si>
  <si>
    <t>ensino domiciliar, hospitalar, EJA, Programa Apoio ao EM...</t>
  </si>
  <si>
    <t>Educação Especial</t>
  </si>
  <si>
    <t>inclusão de aluno especial, aluno incluído...</t>
  </si>
  <si>
    <t>Bibliotecas</t>
  </si>
  <si>
    <t>doação de livros, empréstimo de livros...</t>
  </si>
  <si>
    <t>Matrícula escolar</t>
  </si>
  <si>
    <t>matrícula 2027</t>
  </si>
  <si>
    <t>Segurança escolar</t>
  </si>
  <si>
    <t>Naves do conhecimento, Navezinhas, Satélites, Oportunidades Cariocas (script)</t>
  </si>
  <si>
    <t>Empresas</t>
  </si>
  <si>
    <t>[subcategorias]</t>
  </si>
  <si>
    <t>Cadastro de empresas...</t>
  </si>
  <si>
    <t>Imóveis</t>
  </si>
  <si>
    <t>IPTU</t>
  </si>
  <si>
    <t>tudo relacionado a IPTU</t>
  </si>
  <si>
    <t>ITBI</t>
  </si>
  <si>
    <t>tudo relacionado a ITBI</t>
  </si>
  <si>
    <t>Leilão</t>
  </si>
  <si>
    <t>imóvel leiloado...</t>
  </si>
  <si>
    <t>Imóveis protegidos</t>
  </si>
  <si>
    <t>Certidões e Documentos</t>
  </si>
  <si>
    <r>
      <rPr>
        <sz val="10"/>
        <color theme="1"/>
        <rFont val="Calibri"/>
        <charset val="134"/>
      </rPr>
      <t>Habite-se, revisão de numeração,</t>
    </r>
    <r>
      <rPr>
        <sz val="10"/>
        <color rgb="FFFF0000"/>
        <rFont val="Calibri"/>
        <charset val="134"/>
      </rPr>
      <t xml:space="preserve"> Projetos, Documentos e Certidões para obras, compensação das emissões de gases do efeito estufa de obras...</t>
    </r>
  </si>
  <si>
    <t>Fiscalização de imóveis</t>
  </si>
  <si>
    <t>obras irregulares...</t>
  </si>
  <si>
    <t>Usucapião</t>
  </si>
  <si>
    <t>Licenças, Alvarás e Permissões</t>
  </si>
  <si>
    <t>Ambientais</t>
  </si>
  <si>
    <t>Sanitárias</t>
  </si>
  <si>
    <t>Urbanísticas</t>
  </si>
  <si>
    <t>Publicidades</t>
  </si>
  <si>
    <t>autorização para publicidade</t>
  </si>
  <si>
    <r>
      <rPr>
        <sz val="10"/>
        <color theme="1"/>
        <rFont val="Calibri"/>
        <charset val="134"/>
      </rPr>
      <t>Ocupação</t>
    </r>
    <r>
      <rPr>
        <sz val="10"/>
        <color theme="1"/>
        <rFont val="Calibri"/>
        <charset val="134"/>
      </rPr>
      <t xml:space="preserve"> de área pública</t>
    </r>
  </si>
  <si>
    <t>Sacolão volante, foodtruck, banca de jornal...</t>
  </si>
  <si>
    <t>Atividade econômica</t>
  </si>
  <si>
    <t>criação de creches</t>
  </si>
  <si>
    <t>Transportes</t>
  </si>
  <si>
    <t>permissão para motorista auxiliar, baixa, inclusão, permuta...</t>
  </si>
  <si>
    <t>Meio Ambiente</t>
  </si>
  <si>
    <t>Poluição urbana</t>
  </si>
  <si>
    <t>poluição do ar, do solo, da água, poluição sonora...</t>
  </si>
  <si>
    <t>Desmatamento</t>
  </si>
  <si>
    <t>queimadas, desmatamento de árvores...</t>
  </si>
  <si>
    <t>Arborização</t>
  </si>
  <si>
    <t>Adote.Rio, Planta+Rio...</t>
  </si>
  <si>
    <t>Parques</t>
  </si>
  <si>
    <t>Parque Nacional da Tijuca, informação sobre parques urbanos, áreas protegidas...</t>
  </si>
  <si>
    <t>Fiscalização ambiental</t>
  </si>
  <si>
    <t>captação irregular de água, pesca predatória, fiscalização de aterro, terraplanagem...</t>
  </si>
  <si>
    <t>Educação Ambiental</t>
  </si>
  <si>
    <t>reciclagem, hortas cariocas...</t>
  </si>
  <si>
    <t>Certificados</t>
  </si>
  <si>
    <t>Certificado de adequação de imóveis...</t>
  </si>
  <si>
    <t>Ordem pública</t>
  </si>
  <si>
    <t>Perturbação do sossego</t>
  </si>
  <si>
    <r>
      <rPr>
        <sz val="10"/>
        <color theme="1"/>
        <rFont val="Calibri"/>
        <charset val="134"/>
      </rPr>
      <t xml:space="preserve">Comércio </t>
    </r>
    <r>
      <rPr>
        <sz val="10"/>
        <color theme="1"/>
        <rFont val="Calibri"/>
        <charset val="134"/>
      </rPr>
      <t>ambulante</t>
    </r>
  </si>
  <si>
    <t>Estacionamento irregular</t>
  </si>
  <si>
    <t>Feiras</t>
  </si>
  <si>
    <t>Fiscalização de área pública</t>
  </si>
  <si>
    <t>fiscalização de ocupação de área pública, fiscalização de banca de jornal, remoção de carcaça de veículo e veículos abandonados...</t>
  </si>
  <si>
    <t>Ouvidoria</t>
  </si>
  <si>
    <t>Elogio</t>
  </si>
  <si>
    <t>Sugestão</t>
  </si>
  <si>
    <t>Reclamação</t>
  </si>
  <si>
    <t>Suporte técnico</t>
  </si>
  <si>
    <t>Insatisfação com teleatendimento</t>
  </si>
  <si>
    <t>Saúde</t>
  </si>
  <si>
    <t>Atendimento hospitalar / Hospitais</t>
  </si>
  <si>
    <t>Hospitais...</t>
  </si>
  <si>
    <t>Emergência / UPAs e Centros de Emergência</t>
  </si>
  <si>
    <t>UPA, CER...</t>
  </si>
  <si>
    <t>Atendimento ambulatorial / Consultas e exames / Clínicas da Família e Postos de Saúde</t>
  </si>
  <si>
    <t>CF e POSTOS DE SAÚDE</t>
  </si>
  <si>
    <r>
      <rPr>
        <sz val="10"/>
        <color theme="1"/>
        <rFont val="Calibri"/>
        <charset val="134"/>
      </rPr>
      <t xml:space="preserve">Auxílios </t>
    </r>
    <r>
      <rPr>
        <sz val="10"/>
        <color theme="1"/>
        <rFont val="Calibri"/>
        <charset val="134"/>
      </rPr>
      <t>em saúde</t>
    </r>
  </si>
  <si>
    <t>Vacinação</t>
  </si>
  <si>
    <t>Gestação e Primeira infância</t>
  </si>
  <si>
    <t>Cegonha carioca, kit enxoval, leite materno, maternidades, PIC...</t>
  </si>
  <si>
    <t>Medicamentos</t>
  </si>
  <si>
    <t>Dengue</t>
  </si>
  <si>
    <t>Vigilância Sanitária</t>
  </si>
  <si>
    <t>Reabilitação</t>
  </si>
  <si>
    <t>Centro de reabilitação...</t>
  </si>
  <si>
    <t>Programas</t>
  </si>
  <si>
    <t>Programa antitabagismo, hanseníase, saúde vocal do professor...</t>
  </si>
  <si>
    <t>Serviços urbanos</t>
  </si>
  <si>
    <t>Limpeza</t>
  </si>
  <si>
    <t>varrição, coleta seletiva, remoção de resíduos...</t>
  </si>
  <si>
    <t>Conservação</t>
  </si>
  <si>
    <t>buraco na calçada, na pista, retirada de banheiro químico, Danos ao Patrimônio público...</t>
  </si>
  <si>
    <t>Drenagem</t>
  </si>
  <si>
    <t>Iluminação pública</t>
  </si>
  <si>
    <t>reparo de luminárias...</t>
  </si>
  <si>
    <t>Árvores</t>
  </si>
  <si>
    <t>poda de árvores...</t>
  </si>
  <si>
    <t>Serviços funerários</t>
  </si>
  <si>
    <t>relacionados a cemitérios e serviços funerários</t>
  </si>
  <si>
    <t>Defesa Civil</t>
  </si>
  <si>
    <t>Vistorias</t>
  </si>
  <si>
    <t>vistorias, emissão de cópia autentica</t>
  </si>
  <si>
    <t>Participação e Prevenção</t>
  </si>
  <si>
    <t>Informações sobre a participação da Defesa Civil em eventos Mensagens de alerta da Defesa Civil Projeto NUPDEC – Núcleo de Proteção e Defesa Civil Projeto Voluntários para atuação em proteção e Defesa Civil</t>
  </si>
  <si>
    <t>Interdição e Desinterdição</t>
  </si>
  <si>
    <t>Solicitação de desinterdição à Defesa Civil, Informações sobre Auto de Interdição da Defesa Civil</t>
  </si>
  <si>
    <t>Trabalho</t>
  </si>
  <si>
    <t>Pessoa Jurídica e Autônomo / Empresas</t>
  </si>
  <si>
    <t>Emprego formal</t>
  </si>
  <si>
    <t>carteira de trabalho, programa trabalha rio, vagas de emprego...</t>
  </si>
  <si>
    <t>Estágio</t>
  </si>
  <si>
    <t>estágio na prefeitura...</t>
  </si>
  <si>
    <t>Empreendedorismo</t>
  </si>
  <si>
    <t>programa empreenda rio...</t>
  </si>
  <si>
    <t>Trânsito</t>
  </si>
  <si>
    <t>Estacionamento</t>
  </si>
  <si>
    <t>área de embarque e desembarque, cartões de estacionamento, estacionamento rotativo...</t>
  </si>
  <si>
    <t>Placas e sinal de trânsito</t>
  </si>
  <si>
    <t>sinalização gráfica horizontal, vertical, manutenção de sinal de trânsito apagado, piscando...</t>
  </si>
  <si>
    <t>Multas</t>
  </si>
  <si>
    <t>multas de trânsito, veículos rebocados...</t>
  </si>
  <si>
    <r>
      <rPr>
        <sz val="10"/>
        <color theme="1"/>
        <rFont val="Calibri"/>
        <charset val="134"/>
      </rPr>
      <t xml:space="preserve">Fiscalização </t>
    </r>
    <r>
      <rPr>
        <sz val="10"/>
        <color theme="1"/>
        <rFont val="Calibri"/>
        <charset val="134"/>
      </rPr>
      <t>eletrônica</t>
    </r>
  </si>
  <si>
    <t>implantação, reposição, aferição...</t>
  </si>
  <si>
    <t>Carteira Digital de Trânsito</t>
  </si>
  <si>
    <t>Transparência</t>
  </si>
  <si>
    <t>Anticorrupção</t>
  </si>
  <si>
    <t>Acesso à Informação (LAI)</t>
  </si>
  <si>
    <t>Proteção de dados (LGPD)</t>
  </si>
  <si>
    <t>Transporte</t>
  </si>
  <si>
    <t>Ônibus</t>
  </si>
  <si>
    <t>ar condicionado, conduta e condução do motorista, irregularidades...</t>
  </si>
  <si>
    <t>BRT</t>
  </si>
  <si>
    <t>irregularidades, estações...</t>
  </si>
  <si>
    <t>Vans e kombis</t>
  </si>
  <si>
    <t>vistorias...</t>
  </si>
  <si>
    <t>Transporte escolar</t>
  </si>
  <si>
    <t>VLT</t>
  </si>
  <si>
    <t>pagamento de multa</t>
  </si>
  <si>
    <t>Táxi</t>
  </si>
  <si>
    <t>Táxi.rio...</t>
  </si>
  <si>
    <t>Bicicletas</t>
  </si>
  <si>
    <t>ciclovias, bikerio, criação de paraciclos...</t>
  </si>
  <si>
    <t>Jaé</t>
  </si>
  <si>
    <t>Gratuidade</t>
  </si>
  <si>
    <t>gratuidade no transporte público...</t>
  </si>
  <si>
    <t>Tarifas</t>
  </si>
  <si>
    <t>Tarifas de transportes</t>
  </si>
  <si>
    <t>Tributos</t>
  </si>
  <si>
    <t>Dívida Ativa</t>
  </si>
  <si>
    <t>ISS</t>
  </si>
  <si>
    <t>Nota Carioca</t>
  </si>
  <si>
    <t>Turismo e Eventos</t>
  </si>
  <si>
    <t>Informações gerais sobre transporte público</t>
  </si>
  <si>
    <t>Informações gerais sobre saúde pública do Rio</t>
  </si>
  <si>
    <t>Turismo pela cidade</t>
  </si>
  <si>
    <t>Informações turísticas</t>
  </si>
  <si>
    <t>Grandes eventos</t>
  </si>
  <si>
    <t>Todo mundo no Rio...</t>
  </si>
  <si>
    <t>Carnaval</t>
  </si>
  <si>
    <t>Blocos de rua</t>
  </si>
  <si>
    <t>Agenda de blocos de rua, desfiles fora da Sapucaí...</t>
  </si>
  <si>
    <t>Trabalhadores do Carnaval</t>
  </si>
  <si>
    <t>cadastro</t>
  </si>
  <si>
    <t>Desfiles na Sapucaí</t>
  </si>
  <si>
    <t>informações sobre desfiles</t>
  </si>
  <si>
    <r>
      <rPr>
        <b/>
        <sz val="16"/>
        <color theme="1"/>
        <rFont val="Calibri"/>
        <charset val="134"/>
      </rPr>
      <t xml:space="preserve">Total Serviços no SGRC </t>
    </r>
    <r>
      <rPr>
        <b/>
        <i/>
        <sz val="16"/>
        <color theme="1"/>
        <rFont val="Calibri"/>
        <charset val="134"/>
      </rPr>
      <t>(Ingressados entre 25 e 26)</t>
    </r>
  </si>
  <si>
    <r>
      <rPr>
        <b/>
        <sz val="16"/>
        <color theme="1"/>
        <rFont val="Calibri"/>
        <charset val="134"/>
      </rPr>
      <t xml:space="preserve">Total Formulários disponíveis no Portal 1746 </t>
    </r>
    <r>
      <rPr>
        <i/>
        <sz val="16"/>
        <color theme="1"/>
        <rFont val="Calibri"/>
        <charset val="134"/>
      </rPr>
      <t>(desconsiderando 21 duplicados)</t>
    </r>
  </si>
  <si>
    <t>A diferença residual devem ser chamados internos</t>
  </si>
  <si>
    <t>Serviços encontrados no SGRC e no Portal 1746</t>
  </si>
  <si>
    <t>Serviços disponíveis no Portal 1746, mas não encontrados no SGRC</t>
  </si>
  <si>
    <t>Precisa ser zero</t>
  </si>
  <si>
    <t>Conversei com o Felipe, achamos que é erro, está duplicado deveria ser o id_subtipo 2692, vamos solicitar a remoção do site.</t>
  </si>
  <si>
    <t>Serviços não encontrados no Portal 1746, mas ingressados no SGRC</t>
  </si>
  <si>
    <t>Aqui nesse universo podem ter os serviços internos (que não devem ser exibidos no portal)</t>
  </si>
  <si>
    <t>Pedidos de ajuda - SUBTD</t>
  </si>
  <si>
    <r>
      <rPr>
        <sz val="13"/>
        <color theme="1"/>
        <rFont val="Calibri"/>
        <charset val="134"/>
      </rPr>
      <t xml:space="preserve">1) Preencher </t>
    </r>
    <r>
      <rPr>
        <b/>
        <sz val="13"/>
        <color theme="1"/>
        <rFont val="Calibri"/>
        <charset val="134"/>
      </rPr>
      <t>coluna P</t>
    </r>
    <r>
      <rPr>
        <sz val="13"/>
        <color theme="1"/>
        <rFont val="Calibri"/>
        <charset val="134"/>
      </rPr>
      <t xml:space="preserve"> da aba "Mapeamento Artigos - Formulários 1746" com o id subtipo correspondente no SGRC</t>
    </r>
  </si>
  <si>
    <t>2) Avaliar motivo pelo qual temos artigos iguais em categorias distintas (Ex: Limpeza Urbana &gt; Remoção de carcaça de veículo // Ordem Pública &gt; Remoção de carcaça de veículo)</t>
  </si>
  <si>
    <t>OK</t>
  </si>
  <si>
    <t>Decisão passada para tentar facilitar o caminho do cidadão. Será corrigido no Pref.Rio</t>
  </si>
  <si>
    <r>
      <rPr>
        <sz val="13"/>
        <color theme="1"/>
        <rFont val="Calibri"/>
        <charset val="134"/>
      </rPr>
      <t xml:space="preserve">3) Preencher </t>
    </r>
    <r>
      <rPr>
        <b/>
        <sz val="13"/>
        <color theme="1"/>
        <rFont val="Calibri"/>
        <charset val="134"/>
      </rPr>
      <t>coluna O</t>
    </r>
    <r>
      <rPr>
        <sz val="13"/>
        <color theme="1"/>
        <rFont val="Calibri"/>
        <charset val="134"/>
      </rPr>
      <t xml:space="preserve"> da aba "Mapeamento Artigos - Formulários 1746" informando qual é o campo principal para roteamento (endereço cidadão ou ocorrência)</t>
    </r>
  </si>
  <si>
    <r>
      <rPr>
        <sz val="13"/>
        <color theme="1"/>
        <rFont val="Calibri"/>
        <charset val="134"/>
      </rPr>
      <t xml:space="preserve">4) Gerar nova versão da aba "Campos dos formulários" informando a </t>
    </r>
    <r>
      <rPr>
        <b/>
        <sz val="13"/>
        <color theme="1"/>
        <rFont val="Calibri"/>
        <charset val="134"/>
      </rPr>
      <t>configuração ideal de campos por serviço</t>
    </r>
  </si>
  <si>
    <t>5) Informar ids de "Unidade Organizacional Mãe" (De x Para) - Aba "UO Mãe"</t>
  </si>
  <si>
    <t>6) Bruno vai compartilhar planilha com nome mais atualizados dos subtipos e Bruno irá subir no datalake tabela externa para trazer somente o nome mais atualizado no left join
Depois disso, atualizar as tabelas de volume mensal</t>
  </si>
  <si>
    <t>7) Existem algumas relações de UO com mais de 2 níveis, precisamos investigar o pq disso</t>
  </si>
  <si>
    <t>8) Bruno vai tentar puxar a tabela de formulários e campos do SGRC e depois comparamos com a visão do zendesk</t>
  </si>
  <si>
    <t>9) Entender motivo pelo qual temos muitos serviços no portal sem volumetria de chamados (pode ser falha na query?)</t>
  </si>
  <si>
    <t>10) Compartilhar visão de árvore das UOs</t>
  </si>
  <si>
    <t>11) Link webservice dos órgãos com integração</t>
  </si>
  <si>
    <t>12) Abrangência de cada UO (Configuração de APs, bairros, logradouros)</t>
  </si>
  <si>
    <t>13) Apontamento das UOs cadastradas para cada Subtipo</t>
  </si>
  <si>
    <t>14) Definir dos subtipos que não estão no Portal, mas que estão no SGRC quais precisam permanecer</t>
  </si>
  <si>
    <t>15) Subtipos que serão enviados via integração externa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</si>
</sst>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38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rgb="FF38761D"/>
      <name val="Calibri"/>
      <charset val="134"/>
      <scheme val="minor"/>
    </font>
    <font>
      <i/>
      <sz val="15"/>
      <color theme="1"/>
      <name val="Calibri"/>
      <charset val="134"/>
      <scheme val="minor"/>
    </font>
    <font>
      <b/>
      <sz val="16"/>
      <color rgb="FFFF0000"/>
      <name val="Calibri"/>
      <charset val="134"/>
      <scheme val="minor"/>
    </font>
    <font>
      <sz val="13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Calibri"/>
      <charset val="134"/>
    </font>
    <font>
      <b/>
      <sz val="16"/>
      <color theme="1"/>
      <name val="Calibri"/>
      <charset val="134"/>
    </font>
    <font>
      <i/>
      <sz val="16"/>
      <color theme="1"/>
      <name val="Calibri"/>
      <charset val="134"/>
    </font>
    <font>
      <sz val="13"/>
      <color theme="1"/>
      <name val="Calibri"/>
      <charset val="134"/>
    </font>
    <font>
      <b/>
      <sz val="13"/>
      <color theme="1"/>
      <name val="Calibri"/>
      <charset val="134"/>
    </font>
    <font>
      <sz val="10"/>
      <color rgb="FFFF0000"/>
      <name val="Calibri"/>
      <charset val="134"/>
    </font>
    <font>
      <b/>
      <i/>
      <sz val="16"/>
      <color theme="1"/>
      <name val="Calibri"/>
      <charset val="134"/>
    </font>
  </fonts>
  <fills count="39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8E7CC3"/>
        <bgColor rgb="FF8E7CC3"/>
      </patternFill>
    </fill>
    <fill>
      <patternFill patternType="solid">
        <fgColor rgb="FFE69138"/>
        <bgColor rgb="FFE69138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8" borderId="1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16" applyNumberFormat="0" applyAlignment="0" applyProtection="0">
      <alignment vertical="center"/>
    </xf>
    <xf numFmtId="0" fontId="21" fillId="10" borderId="17" applyNumberFormat="0" applyAlignment="0" applyProtection="0">
      <alignment vertical="center"/>
    </xf>
    <xf numFmtId="0" fontId="22" fillId="10" borderId="16" applyNumberFormat="0" applyAlignment="0" applyProtection="0">
      <alignment vertical="center"/>
    </xf>
    <xf numFmtId="0" fontId="23" fillId="11" borderId="18" applyNumberFormat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69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vertic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3" fillId="0" borderId="1" xfId="0" applyFont="1" applyBorder="1" applyAlignment="1"/>
    <xf numFmtId="0" fontId="3" fillId="0" borderId="1" xfId="0" applyFont="1" applyBorder="1" applyAlignment="1">
      <alignment horizontal="center"/>
    </xf>
    <xf numFmtId="10" fontId="4" fillId="0" borderId="0" xfId="0" applyNumberFormat="1" applyFont="1" applyAlignment="1">
      <alignment horizontal="left"/>
    </xf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" fillId="0" borderId="0" xfId="0" applyFont="1" applyAlignment="1"/>
    <xf numFmtId="0" fontId="6" fillId="0" borderId="0" xfId="0" applyFont="1" applyAlignment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8" fillId="2" borderId="0" xfId="0" applyFont="1" applyFill="1" applyAlignment="1"/>
    <xf numFmtId="0" fontId="8" fillId="3" borderId="0" xfId="0" applyFont="1" applyFill="1" applyAlignment="1"/>
    <xf numFmtId="0" fontId="8" fillId="4" borderId="0" xfId="0" applyFont="1" applyFill="1" applyAlignment="1"/>
    <xf numFmtId="0" fontId="9" fillId="0" borderId="0" xfId="0" applyFont="1" applyAlignment="1"/>
    <xf numFmtId="0" fontId="0" fillId="5" borderId="2" xfId="0" applyFont="1" applyFill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/>
    <xf numFmtId="0" fontId="0" fillId="0" borderId="6" xfId="0" applyFont="1" applyBorder="1" applyAlignment="1"/>
    <xf numFmtId="0" fontId="0" fillId="6" borderId="0" xfId="0" applyFont="1" applyFill="1" applyAlignment="1"/>
    <xf numFmtId="0" fontId="0" fillId="0" borderId="7" xfId="0" applyFont="1" applyBorder="1" applyAlignment="1"/>
    <xf numFmtId="0" fontId="0" fillId="6" borderId="8" xfId="0" applyFont="1" applyFill="1" applyBorder="1" applyAlignment="1"/>
    <xf numFmtId="0" fontId="0" fillId="0" borderId="9" xfId="0" applyFont="1" applyBorder="1" applyAlignment="1"/>
    <xf numFmtId="0" fontId="0" fillId="0" borderId="2" xfId="0" applyFont="1" applyBorder="1" applyAlignment="1"/>
    <xf numFmtId="0" fontId="0" fillId="6" borderId="3" xfId="0" applyFont="1" applyFill="1" applyBorder="1" applyAlignment="1"/>
    <xf numFmtId="0" fontId="0" fillId="0" borderId="7" xfId="0" applyFont="1" applyBorder="1"/>
    <xf numFmtId="0" fontId="0" fillId="0" borderId="8" xfId="0" applyFont="1" applyBorder="1" applyAlignment="1"/>
    <xf numFmtId="0" fontId="0" fillId="0" borderId="10" xfId="0" applyFont="1" applyBorder="1" applyAlignment="1"/>
    <xf numFmtId="0" fontId="0" fillId="0" borderId="11" xfId="0" applyFont="1" applyBorder="1" applyAlignment="1"/>
    <xf numFmtId="0" fontId="0" fillId="0" borderId="12" xfId="0" applyFont="1" applyBorder="1" applyAlignment="1"/>
    <xf numFmtId="0" fontId="0" fillId="0" borderId="5" xfId="0" applyFont="1" applyBorder="1" applyAlignment="1"/>
    <xf numFmtId="0" fontId="10" fillId="5" borderId="5" xfId="0" applyFont="1" applyFill="1" applyBorder="1" applyAlignment="1"/>
    <xf numFmtId="0" fontId="10" fillId="0" borderId="0" xfId="0" applyFont="1" applyAlignment="1"/>
    <xf numFmtId="0" fontId="10" fillId="0" borderId="6" xfId="0" applyFont="1" applyBorder="1" applyAlignment="1"/>
    <xf numFmtId="0" fontId="10" fillId="0" borderId="3" xfId="0" applyFont="1" applyBorder="1" applyAlignment="1"/>
    <xf numFmtId="0" fontId="0" fillId="6" borderId="2" xfId="0" applyFont="1" applyFill="1" applyBorder="1" applyAlignment="1"/>
    <xf numFmtId="0" fontId="10" fillId="6" borderId="3" xfId="0" applyFont="1" applyFill="1" applyBorder="1" applyAlignment="1"/>
    <xf numFmtId="0" fontId="10" fillId="0" borderId="4" xfId="0" applyFont="1" applyBorder="1" applyAlignment="1"/>
    <xf numFmtId="0" fontId="10" fillId="0" borderId="5" xfId="0" applyFont="1" applyBorder="1" applyAlignment="1"/>
    <xf numFmtId="0" fontId="10" fillId="0" borderId="7" xfId="0" applyFont="1" applyBorder="1" applyAlignment="1"/>
    <xf numFmtId="0" fontId="10" fillId="0" borderId="9" xfId="0" applyFont="1" applyBorder="1" applyAlignment="1"/>
    <xf numFmtId="0" fontId="11" fillId="7" borderId="2" xfId="0" applyFont="1" applyFill="1" applyBorder="1" applyAlignment="1"/>
    <xf numFmtId="0" fontId="11" fillId="7" borderId="3" xfId="0" applyFont="1" applyFill="1" applyBorder="1" applyAlignment="1"/>
    <xf numFmtId="0" fontId="11" fillId="7" borderId="4" xfId="0" applyFont="1" applyFill="1" applyBorder="1" applyAlignment="1"/>
    <xf numFmtId="0" fontId="11" fillId="7" borderId="5" xfId="0" applyFont="1" applyFill="1" applyBorder="1"/>
    <xf numFmtId="0" fontId="11" fillId="7" borderId="0" xfId="0" applyFont="1" applyFill="1" applyAlignment="1"/>
    <xf numFmtId="0" fontId="11" fillId="7" borderId="6" xfId="0" applyFont="1" applyFill="1" applyBorder="1" applyAlignment="1"/>
    <xf numFmtId="0" fontId="11" fillId="7" borderId="7" xfId="0" applyFont="1" applyFill="1" applyBorder="1"/>
    <xf numFmtId="0" fontId="11" fillId="7" borderId="8" xfId="0" applyFont="1" applyFill="1" applyBorder="1" applyAlignment="1"/>
    <xf numFmtId="0" fontId="11" fillId="7" borderId="9" xfId="0" applyFont="1" applyFill="1" applyBorder="1" applyAlignment="1"/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2"/>
  <sheetViews>
    <sheetView workbookViewId="0">
      <selection activeCell="A1" sqref="A1"/>
    </sheetView>
  </sheetViews>
  <sheetFormatPr defaultColWidth="14.4259259259259" defaultRowHeight="15" customHeight="1" outlineLevelRow="1" outlineLevelCol="1"/>
  <cols>
    <col min="2" max="2" width="155.287037037037" customWidth="1"/>
  </cols>
  <sheetData>
    <row r="1" ht="312" customHeight="1" spans="1:2">
      <c r="A1" s="67" t="s">
        <v>0</v>
      </c>
      <c r="B1" s="68" t="s">
        <v>1</v>
      </c>
    </row>
    <row r="2" ht="184.5" customHeight="1" spans="1:2">
      <c r="A2" s="67" t="s">
        <v>2</v>
      </c>
      <c r="B2" s="68" t="s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23"/>
  <sheetViews>
    <sheetView tabSelected="1" workbookViewId="0">
      <selection activeCell="A1" sqref="A1"/>
    </sheetView>
  </sheetViews>
  <sheetFormatPr defaultColWidth="14.4259259259259" defaultRowHeight="15" customHeight="1" outlineLevelCol="4"/>
  <cols>
    <col min="1" max="1" width="43.5740740740741" customWidth="1"/>
    <col min="2" max="2" width="43.4259259259259" customWidth="1"/>
    <col min="3" max="3" width="80.8611111111111" customWidth="1"/>
    <col min="5" max="5" width="22.5740740740741" customWidth="1"/>
  </cols>
  <sheetData>
    <row r="1" customHeight="1" spans="1:5">
      <c r="A1" s="27" t="s">
        <v>4</v>
      </c>
      <c r="B1" s="28" t="s">
        <v>5</v>
      </c>
      <c r="C1" s="29" t="s">
        <v>6</v>
      </c>
      <c r="E1" s="30"/>
    </row>
    <row r="2" customHeight="1" spans="1:5">
      <c r="A2" s="31" t="s">
        <v>7</v>
      </c>
      <c r="B2" s="32" t="s">
        <v>8</v>
      </c>
      <c r="C2" s="33" t="s">
        <v>9</v>
      </c>
      <c r="E2" s="30"/>
    </row>
    <row r="3" customHeight="1" spans="1:3">
      <c r="A3" s="34"/>
      <c r="B3" t="s">
        <v>10</v>
      </c>
      <c r="C3" s="35" t="s">
        <v>11</v>
      </c>
    </row>
    <row r="4" customHeight="1" spans="1:3">
      <c r="A4" s="34"/>
      <c r="B4" s="36" t="s">
        <v>12</v>
      </c>
      <c r="C4" s="35"/>
    </row>
    <row r="5" customHeight="1" spans="1:3">
      <c r="A5" s="34"/>
      <c r="B5" t="s">
        <v>13</v>
      </c>
      <c r="C5" s="35" t="s">
        <v>14</v>
      </c>
    </row>
    <row r="6" customHeight="1" spans="1:3">
      <c r="A6" s="34"/>
      <c r="B6" s="36" t="s">
        <v>15</v>
      </c>
      <c r="C6" s="35"/>
    </row>
    <row r="7" customHeight="1" spans="1:3">
      <c r="A7" s="34"/>
      <c r="B7" s="36" t="s">
        <v>16</v>
      </c>
      <c r="C7" s="35" t="s">
        <v>17</v>
      </c>
    </row>
    <row r="8" customHeight="1" spans="1:3">
      <c r="A8" s="34"/>
      <c r="B8" t="s">
        <v>18</v>
      </c>
      <c r="C8" s="35" t="s">
        <v>19</v>
      </c>
    </row>
    <row r="9" customHeight="1" spans="1:3">
      <c r="A9" s="37"/>
      <c r="B9" s="38" t="s">
        <v>20</v>
      </c>
      <c r="C9" s="39"/>
    </row>
    <row r="10" customHeight="1" spans="1:3">
      <c r="A10" s="40" t="s">
        <v>21</v>
      </c>
      <c r="B10" s="41" t="s">
        <v>22</v>
      </c>
      <c r="C10" s="33" t="s">
        <v>23</v>
      </c>
    </row>
    <row r="11" customHeight="1" spans="1:3">
      <c r="A11" s="42"/>
      <c r="B11" s="38" t="s">
        <v>24</v>
      </c>
      <c r="C11" s="39" t="s">
        <v>25</v>
      </c>
    </row>
    <row r="12" customHeight="1" spans="1:3">
      <c r="A12" s="40" t="s">
        <v>26</v>
      </c>
      <c r="B12" s="32" t="s">
        <v>27</v>
      </c>
      <c r="C12" s="33" t="s">
        <v>28</v>
      </c>
    </row>
    <row r="13" customHeight="1" spans="1:3">
      <c r="A13" s="34"/>
      <c r="B13" t="s">
        <v>29</v>
      </c>
      <c r="C13" s="35" t="s">
        <v>30</v>
      </c>
    </row>
    <row r="14" customHeight="1" spans="1:3">
      <c r="A14" s="34"/>
      <c r="B14" s="36" t="s">
        <v>31</v>
      </c>
      <c r="C14" s="35" t="s">
        <v>32</v>
      </c>
    </row>
    <row r="15" customHeight="1" spans="1:3">
      <c r="A15" s="34"/>
      <c r="B15" t="s">
        <v>33</v>
      </c>
      <c r="C15" s="35" t="s">
        <v>34</v>
      </c>
    </row>
    <row r="16" customHeight="1" spans="1:3">
      <c r="A16" s="34"/>
      <c r="B16" t="s">
        <v>35</v>
      </c>
      <c r="C16" s="35"/>
    </row>
    <row r="17" customHeight="1" spans="1:3">
      <c r="A17" s="42"/>
      <c r="B17" s="38" t="s">
        <v>36</v>
      </c>
      <c r="C17" s="39" t="s">
        <v>37</v>
      </c>
    </row>
    <row r="18" customHeight="1" spans="1:3">
      <c r="A18" s="31" t="s">
        <v>38</v>
      </c>
      <c r="B18" s="41" t="s">
        <v>39</v>
      </c>
      <c r="C18" s="33" t="s">
        <v>40</v>
      </c>
    </row>
    <row r="19" customHeight="1" spans="1:3">
      <c r="A19" s="34"/>
      <c r="B19" t="s">
        <v>41</v>
      </c>
      <c r="C19" s="35" t="s">
        <v>42</v>
      </c>
    </row>
    <row r="20" customHeight="1" spans="1:3">
      <c r="A20" s="34"/>
      <c r="B20" t="s">
        <v>43</v>
      </c>
      <c r="C20" s="35" t="s">
        <v>44</v>
      </c>
    </row>
    <row r="21" customHeight="1" spans="1:3">
      <c r="A21" s="42"/>
      <c r="B21" s="43" t="s">
        <v>45</v>
      </c>
      <c r="C21" s="39" t="s">
        <v>46</v>
      </c>
    </row>
    <row r="22" customHeight="1" spans="1:3">
      <c r="A22" s="44" t="s">
        <v>47</v>
      </c>
      <c r="B22" s="45" t="s">
        <v>48</v>
      </c>
      <c r="C22" s="46"/>
    </row>
    <row r="23" customHeight="1" spans="1:3">
      <c r="A23" s="40" t="s">
        <v>49</v>
      </c>
      <c r="B23" s="32" t="s">
        <v>50</v>
      </c>
      <c r="C23" s="33" t="s">
        <v>51</v>
      </c>
    </row>
    <row r="24" customHeight="1" spans="1:3">
      <c r="A24" s="34"/>
      <c r="B24" t="s">
        <v>52</v>
      </c>
      <c r="C24" s="35" t="s">
        <v>53</v>
      </c>
    </row>
    <row r="25" customHeight="1" spans="1:3">
      <c r="A25" s="34"/>
      <c r="B25" t="s">
        <v>54</v>
      </c>
      <c r="C25" s="35" t="s">
        <v>55</v>
      </c>
    </row>
    <row r="26" customHeight="1" spans="1:3">
      <c r="A26" s="34"/>
      <c r="B26" s="36" t="s">
        <v>56</v>
      </c>
      <c r="C26" s="35" t="s">
        <v>57</v>
      </c>
    </row>
    <row r="27" customHeight="1" spans="1:3">
      <c r="A27" s="47"/>
      <c r="B27" t="s">
        <v>58</v>
      </c>
      <c r="C27" s="35" t="s">
        <v>59</v>
      </c>
    </row>
    <row r="28" customHeight="1" spans="1:3">
      <c r="A28" s="34"/>
      <c r="B28" t="s">
        <v>60</v>
      </c>
      <c r="C28" s="35" t="s">
        <v>61</v>
      </c>
    </row>
    <row r="29" customHeight="1" spans="1:3">
      <c r="A29" s="34"/>
      <c r="B29" t="s">
        <v>62</v>
      </c>
      <c r="C29" s="35" t="s">
        <v>63</v>
      </c>
    </row>
    <row r="30" customHeight="1" spans="1:3">
      <c r="A30" s="34"/>
      <c r="B30" s="36" t="s">
        <v>64</v>
      </c>
      <c r="C30" s="35"/>
    </row>
    <row r="31" customHeight="1" spans="1:3">
      <c r="A31" s="42"/>
      <c r="B31" s="43" t="s">
        <v>47</v>
      </c>
      <c r="C31" s="39" t="s">
        <v>65</v>
      </c>
    </row>
    <row r="32" customHeight="1" spans="1:3">
      <c r="A32" s="48" t="s">
        <v>66</v>
      </c>
      <c r="B32" s="49" t="s">
        <v>67</v>
      </c>
      <c r="C32" s="50" t="s">
        <v>68</v>
      </c>
    </row>
    <row r="33" customHeight="1" spans="1:3">
      <c r="A33" s="31" t="s">
        <v>69</v>
      </c>
      <c r="B33" s="32" t="s">
        <v>70</v>
      </c>
      <c r="C33" s="33" t="s">
        <v>71</v>
      </c>
    </row>
    <row r="34" customHeight="1" spans="1:3">
      <c r="A34" s="34"/>
      <c r="B34" t="s">
        <v>72</v>
      </c>
      <c r="C34" s="35" t="s">
        <v>73</v>
      </c>
    </row>
    <row r="35" customHeight="1" spans="1:3">
      <c r="A35" s="34"/>
      <c r="B35" s="36" t="s">
        <v>74</v>
      </c>
      <c r="C35" s="35" t="s">
        <v>75</v>
      </c>
    </row>
    <row r="36" customHeight="1" spans="1:3">
      <c r="A36" s="34"/>
      <c r="B36" s="36" t="s">
        <v>76</v>
      </c>
      <c r="C36" s="35"/>
    </row>
    <row r="37" customHeight="1" spans="1:3">
      <c r="A37" s="34"/>
      <c r="B37" s="36" t="s">
        <v>77</v>
      </c>
      <c r="C37" s="35" t="s">
        <v>78</v>
      </c>
    </row>
    <row r="38" customHeight="1" spans="1:3">
      <c r="A38" s="47"/>
      <c r="B38" s="36" t="s">
        <v>79</v>
      </c>
      <c r="C38" s="35" t="s">
        <v>80</v>
      </c>
    </row>
    <row r="39" customHeight="1" spans="1:3">
      <c r="A39" s="37"/>
      <c r="B39" s="38" t="s">
        <v>81</v>
      </c>
      <c r="C39" s="39"/>
    </row>
    <row r="40" customHeight="1" spans="1:3">
      <c r="A40" s="31" t="s">
        <v>82</v>
      </c>
      <c r="B40" s="41" t="s">
        <v>83</v>
      </c>
      <c r="C40" s="33"/>
    </row>
    <row r="41" customHeight="1" spans="1:3">
      <c r="A41" s="47"/>
      <c r="B41" s="36" t="s">
        <v>84</v>
      </c>
      <c r="C41" s="35"/>
    </row>
    <row r="42" customHeight="1" spans="1:3">
      <c r="A42" s="47"/>
      <c r="B42" s="36" t="s">
        <v>85</v>
      </c>
      <c r="C42" s="50"/>
    </row>
    <row r="43" customHeight="1" spans="1:3">
      <c r="A43" s="47"/>
      <c r="B43" s="36" t="s">
        <v>86</v>
      </c>
      <c r="C43" s="35" t="s">
        <v>87</v>
      </c>
    </row>
    <row r="44" customHeight="1" spans="1:3">
      <c r="A44" s="47"/>
      <c r="B44" s="36" t="s">
        <v>88</v>
      </c>
      <c r="C44" s="35" t="s">
        <v>89</v>
      </c>
    </row>
    <row r="45" customHeight="1" spans="1:3">
      <c r="A45" s="47"/>
      <c r="B45" s="36" t="s">
        <v>90</v>
      </c>
      <c r="C45" s="35" t="s">
        <v>91</v>
      </c>
    </row>
    <row r="46" customHeight="1" spans="1:3">
      <c r="A46" s="37"/>
      <c r="B46" s="38" t="s">
        <v>92</v>
      </c>
      <c r="C46" s="39" t="s">
        <v>93</v>
      </c>
    </row>
    <row r="47" customHeight="1" spans="1:3">
      <c r="A47" s="40" t="s">
        <v>94</v>
      </c>
      <c r="B47" s="41" t="s">
        <v>95</v>
      </c>
      <c r="C47" s="33" t="s">
        <v>96</v>
      </c>
    </row>
    <row r="48" customHeight="1" spans="1:3">
      <c r="A48" s="47"/>
      <c r="B48" s="36" t="s">
        <v>97</v>
      </c>
      <c r="C48" s="35" t="s">
        <v>98</v>
      </c>
    </row>
    <row r="49" customHeight="1" spans="1:3">
      <c r="A49" s="47"/>
      <c r="B49" s="36" t="s">
        <v>99</v>
      </c>
      <c r="C49" s="35" t="s">
        <v>100</v>
      </c>
    </row>
    <row r="50" customHeight="1" spans="1:3">
      <c r="A50" s="34"/>
      <c r="B50" s="36" t="s">
        <v>101</v>
      </c>
      <c r="C50" s="35" t="s">
        <v>102</v>
      </c>
    </row>
    <row r="51" customHeight="1" spans="1:3">
      <c r="A51" s="34"/>
      <c r="B51" s="36" t="s">
        <v>103</v>
      </c>
      <c r="C51" s="35" t="s">
        <v>104</v>
      </c>
    </row>
    <row r="52" customHeight="1" spans="1:3">
      <c r="A52" s="34"/>
      <c r="B52" s="36" t="s">
        <v>105</v>
      </c>
      <c r="C52" s="35" t="s">
        <v>106</v>
      </c>
    </row>
    <row r="53" customHeight="1" spans="1:3">
      <c r="A53" s="42"/>
      <c r="B53" s="38" t="s">
        <v>107</v>
      </c>
      <c r="C53" s="39" t="s">
        <v>108</v>
      </c>
    </row>
    <row r="54" customHeight="1" spans="1:3">
      <c r="A54" s="40" t="s">
        <v>109</v>
      </c>
      <c r="B54" s="32" t="s">
        <v>110</v>
      </c>
      <c r="C54" s="33"/>
    </row>
    <row r="55" customHeight="1" spans="1:3">
      <c r="A55" s="34"/>
      <c r="B55" t="s">
        <v>111</v>
      </c>
      <c r="C55" s="35"/>
    </row>
    <row r="56" customHeight="1" spans="1:3">
      <c r="A56" s="34"/>
      <c r="B56" t="s">
        <v>112</v>
      </c>
      <c r="C56" s="35"/>
    </row>
    <row r="57" customHeight="1" spans="1:3">
      <c r="A57" s="34"/>
      <c r="B57" t="s">
        <v>113</v>
      </c>
      <c r="C57" s="35"/>
    </row>
    <row r="58" customHeight="1" spans="1:3">
      <c r="A58" s="42"/>
      <c r="B58" s="38" t="s">
        <v>114</v>
      </c>
      <c r="C58" s="39" t="s">
        <v>115</v>
      </c>
    </row>
    <row r="59" customHeight="1" spans="1:3">
      <c r="A59" s="40" t="s">
        <v>116</v>
      </c>
      <c r="B59" s="32" t="s">
        <v>117</v>
      </c>
      <c r="C59" s="33"/>
    </row>
    <row r="60" customHeight="1" spans="1:3">
      <c r="A60" s="34"/>
      <c r="B60" t="s">
        <v>118</v>
      </c>
      <c r="C60" s="35"/>
    </row>
    <row r="61" customHeight="1" spans="1:3">
      <c r="A61" s="34"/>
      <c r="B61" t="s">
        <v>119</v>
      </c>
      <c r="C61" s="35"/>
    </row>
    <row r="62" customHeight="1" spans="1:3">
      <c r="A62" s="34"/>
      <c r="B62" t="s">
        <v>120</v>
      </c>
      <c r="C62" s="35"/>
    </row>
    <row r="63" customHeight="1" spans="1:3">
      <c r="A63" s="42"/>
      <c r="B63" s="43" t="s">
        <v>121</v>
      </c>
      <c r="C63" s="39"/>
    </row>
    <row r="64" customHeight="1" spans="1:3">
      <c r="A64" s="40" t="s">
        <v>122</v>
      </c>
      <c r="B64" s="51" t="s">
        <v>123</v>
      </c>
      <c r="C64" s="33" t="s">
        <v>124</v>
      </c>
    </row>
    <row r="65" customHeight="1" spans="1:3">
      <c r="A65" s="34"/>
      <c r="B65" s="49" t="s">
        <v>125</v>
      </c>
      <c r="C65" s="35" t="s">
        <v>126</v>
      </c>
    </row>
    <row r="66" customHeight="1" spans="1:3">
      <c r="A66" s="34"/>
      <c r="B66" s="49" t="s">
        <v>127</v>
      </c>
      <c r="C66" s="35" t="s">
        <v>128</v>
      </c>
    </row>
    <row r="67" customHeight="1" spans="1:3">
      <c r="A67" s="34"/>
      <c r="B67" s="36" t="s">
        <v>129</v>
      </c>
      <c r="C67" s="35"/>
    </row>
    <row r="68" customHeight="1" spans="1:3">
      <c r="A68" s="34"/>
      <c r="B68" t="s">
        <v>130</v>
      </c>
      <c r="C68" s="35"/>
    </row>
    <row r="69" customHeight="1" spans="1:3">
      <c r="A69" s="34"/>
      <c r="B69" s="36" t="s">
        <v>131</v>
      </c>
      <c r="C69" s="35" t="s">
        <v>132</v>
      </c>
    </row>
    <row r="70" customHeight="1" spans="1:3">
      <c r="A70" s="34"/>
      <c r="B70" t="s">
        <v>133</v>
      </c>
      <c r="C70" s="35"/>
    </row>
    <row r="71" customHeight="1" spans="1:3">
      <c r="A71" s="34"/>
      <c r="B71" t="s">
        <v>134</v>
      </c>
      <c r="C71" s="35"/>
    </row>
    <row r="72" customHeight="1" spans="1:3">
      <c r="A72" s="34"/>
      <c r="B72" t="s">
        <v>135</v>
      </c>
      <c r="C72" s="35"/>
    </row>
    <row r="73" customHeight="1" spans="1:3">
      <c r="A73" s="34"/>
      <c r="B73" s="36" t="s">
        <v>136</v>
      </c>
      <c r="C73" s="35" t="s">
        <v>137</v>
      </c>
    </row>
    <row r="74" customHeight="1" spans="1:3">
      <c r="A74" s="42"/>
      <c r="B74" s="38" t="s">
        <v>138</v>
      </c>
      <c r="C74" s="39" t="s">
        <v>139</v>
      </c>
    </row>
    <row r="75" customHeight="1" spans="1:3">
      <c r="A75" s="31" t="s">
        <v>140</v>
      </c>
      <c r="B75" s="32" t="s">
        <v>141</v>
      </c>
      <c r="C75" s="33" t="s">
        <v>142</v>
      </c>
    </row>
    <row r="76" customHeight="1" spans="1:3">
      <c r="A76" s="34"/>
      <c r="B76" t="s">
        <v>143</v>
      </c>
      <c r="C76" s="35" t="s">
        <v>144</v>
      </c>
    </row>
    <row r="77" customHeight="1" spans="1:3">
      <c r="A77" s="34"/>
      <c r="B77" s="36" t="s">
        <v>145</v>
      </c>
      <c r="C77" s="35"/>
    </row>
    <row r="78" customHeight="1" spans="1:3">
      <c r="A78" s="34"/>
      <c r="B78" t="s">
        <v>146</v>
      </c>
      <c r="C78" s="35" t="s">
        <v>147</v>
      </c>
    </row>
    <row r="79" customHeight="1" spans="1:3">
      <c r="A79" s="34"/>
      <c r="B79" t="s">
        <v>148</v>
      </c>
      <c r="C79" s="35" t="s">
        <v>149</v>
      </c>
    </row>
    <row r="80" customHeight="1" spans="1:3">
      <c r="A80" s="42"/>
      <c r="B80" s="43" t="s">
        <v>150</v>
      </c>
      <c r="C80" s="39" t="s">
        <v>151</v>
      </c>
    </row>
    <row r="81" customHeight="1" spans="1:3">
      <c r="A81" s="52" t="s">
        <v>152</v>
      </c>
      <c r="B81" s="41" t="s">
        <v>153</v>
      </c>
      <c r="C81" s="33" t="s">
        <v>154</v>
      </c>
    </row>
    <row r="82" customHeight="1" spans="1:3">
      <c r="A82" s="47"/>
      <c r="B82" s="36" t="s">
        <v>155</v>
      </c>
      <c r="C82" s="35" t="s">
        <v>156</v>
      </c>
    </row>
    <row r="83" customHeight="1" spans="1:3">
      <c r="A83" s="37"/>
      <c r="B83" s="38" t="s">
        <v>157</v>
      </c>
      <c r="C83" s="39" t="s">
        <v>158</v>
      </c>
    </row>
    <row r="84" customHeight="1" spans="1:3">
      <c r="A84" s="40" t="s">
        <v>159</v>
      </c>
      <c r="B84" s="53" t="s">
        <v>160</v>
      </c>
      <c r="C84" s="33"/>
    </row>
    <row r="85" customHeight="1" spans="1:3">
      <c r="A85" s="34"/>
      <c r="B85" s="36" t="s">
        <v>161</v>
      </c>
      <c r="C85" s="35" t="s">
        <v>162</v>
      </c>
    </row>
    <row r="86" customHeight="1" spans="1:3">
      <c r="A86" s="34"/>
      <c r="B86" s="36" t="s">
        <v>163</v>
      </c>
      <c r="C86" s="35" t="s">
        <v>164</v>
      </c>
    </row>
    <row r="87" customHeight="1" spans="1:3">
      <c r="A87" s="42"/>
      <c r="B87" s="38" t="s">
        <v>165</v>
      </c>
      <c r="C87" s="39" t="s">
        <v>166</v>
      </c>
    </row>
    <row r="88" customHeight="1" spans="1:3">
      <c r="A88" s="40" t="s">
        <v>167</v>
      </c>
      <c r="B88" s="32" t="s">
        <v>168</v>
      </c>
      <c r="C88" s="33" t="s">
        <v>169</v>
      </c>
    </row>
    <row r="89" customHeight="1" spans="1:3">
      <c r="A89" s="34"/>
      <c r="B89" s="36" t="s">
        <v>170</v>
      </c>
      <c r="C89" s="35" t="s">
        <v>171</v>
      </c>
    </row>
    <row r="90" customHeight="1" spans="1:3">
      <c r="A90" s="34"/>
      <c r="B90" t="s">
        <v>172</v>
      </c>
      <c r="C90" s="35" t="s">
        <v>173</v>
      </c>
    </row>
    <row r="91" customHeight="1" spans="1:3">
      <c r="A91" s="34"/>
      <c r="B91" s="36" t="s">
        <v>174</v>
      </c>
      <c r="C91" s="35" t="s">
        <v>175</v>
      </c>
    </row>
    <row r="92" customHeight="1" spans="1:3">
      <c r="A92" s="37"/>
      <c r="B92" s="38" t="s">
        <v>176</v>
      </c>
      <c r="C92" s="39"/>
    </row>
    <row r="93" customHeight="1" spans="1:3">
      <c r="A93" s="31" t="s">
        <v>177</v>
      </c>
      <c r="B93" s="41" t="s">
        <v>178</v>
      </c>
      <c r="C93" s="33"/>
    </row>
    <row r="94" customHeight="1" spans="1:3">
      <c r="A94" s="34"/>
      <c r="B94" s="36" t="s">
        <v>179</v>
      </c>
      <c r="C94" s="35"/>
    </row>
    <row r="95" customHeight="1" spans="1:3">
      <c r="A95" s="42"/>
      <c r="B95" s="38" t="s">
        <v>180</v>
      </c>
      <c r="C95" s="39"/>
    </row>
    <row r="96" customHeight="1" spans="1:3">
      <c r="A96" s="40" t="s">
        <v>181</v>
      </c>
      <c r="B96" s="32" t="s">
        <v>182</v>
      </c>
      <c r="C96" s="33" t="s">
        <v>183</v>
      </c>
    </row>
    <row r="97" customHeight="1" spans="1:3">
      <c r="A97" s="34"/>
      <c r="B97" t="s">
        <v>184</v>
      </c>
      <c r="C97" s="35" t="s">
        <v>185</v>
      </c>
    </row>
    <row r="98" customHeight="1" spans="1:3">
      <c r="A98" s="34"/>
      <c r="B98" t="s">
        <v>186</v>
      </c>
      <c r="C98" s="35" t="s">
        <v>187</v>
      </c>
    </row>
    <row r="99" customHeight="1" spans="1:3">
      <c r="A99" s="34"/>
      <c r="B99" t="s">
        <v>188</v>
      </c>
      <c r="C99" s="35" t="s">
        <v>187</v>
      </c>
    </row>
    <row r="100" customHeight="1" spans="1:3">
      <c r="A100" s="34"/>
      <c r="B100" t="s">
        <v>189</v>
      </c>
      <c r="C100" s="35" t="s">
        <v>190</v>
      </c>
    </row>
    <row r="101" customHeight="1" spans="1:3">
      <c r="A101" s="34"/>
      <c r="B101" t="s">
        <v>191</v>
      </c>
      <c r="C101" s="35" t="s">
        <v>192</v>
      </c>
    </row>
    <row r="102" customHeight="1" spans="1:3">
      <c r="A102" s="34"/>
      <c r="B102" t="s">
        <v>193</v>
      </c>
      <c r="C102" s="35" t="s">
        <v>194</v>
      </c>
    </row>
    <row r="103" customHeight="1" spans="1:3">
      <c r="A103" s="34"/>
      <c r="B103" t="s">
        <v>195</v>
      </c>
      <c r="C103" s="35"/>
    </row>
    <row r="104" customHeight="1" spans="1:3">
      <c r="A104" s="34"/>
      <c r="B104" t="s">
        <v>196</v>
      </c>
      <c r="C104" s="35" t="s">
        <v>197</v>
      </c>
    </row>
    <row r="105" customHeight="1" spans="1:3">
      <c r="A105" s="42"/>
      <c r="B105" s="38" t="s">
        <v>198</v>
      </c>
      <c r="C105" s="39" t="s">
        <v>199</v>
      </c>
    </row>
    <row r="106" customHeight="1" spans="1:3">
      <c r="A106" s="40" t="s">
        <v>200</v>
      </c>
      <c r="B106" s="32" t="s">
        <v>201</v>
      </c>
      <c r="C106" s="54"/>
    </row>
    <row r="107" customHeight="1" spans="1:3">
      <c r="A107" s="55"/>
      <c r="B107" t="s">
        <v>202</v>
      </c>
      <c r="C107" s="50"/>
    </row>
    <row r="108" customHeight="1" spans="1:3">
      <c r="A108" s="56"/>
      <c r="B108" s="43" t="s">
        <v>203</v>
      </c>
      <c r="C108" s="57"/>
    </row>
    <row r="109" customHeight="1" spans="1:3">
      <c r="A109" s="40" t="s">
        <v>204</v>
      </c>
      <c r="B109" s="32" t="s">
        <v>181</v>
      </c>
      <c r="C109" s="33" t="s">
        <v>205</v>
      </c>
    </row>
    <row r="110" customHeight="1" spans="1:3">
      <c r="A110" s="34"/>
      <c r="B110" t="s">
        <v>122</v>
      </c>
      <c r="C110" s="35" t="s">
        <v>206</v>
      </c>
    </row>
    <row r="111" customHeight="1" spans="1:3">
      <c r="A111" s="34"/>
      <c r="B111" t="s">
        <v>207</v>
      </c>
      <c r="C111" s="35" t="s">
        <v>208</v>
      </c>
    </row>
    <row r="112" customHeight="1" spans="1:3">
      <c r="A112" s="37"/>
      <c r="B112" s="43" t="s">
        <v>209</v>
      </c>
      <c r="C112" s="39" t="s">
        <v>210</v>
      </c>
    </row>
    <row r="113" customHeight="1" spans="1:3">
      <c r="A113" s="58" t="s">
        <v>211</v>
      </c>
      <c r="B113" s="59" t="s">
        <v>212</v>
      </c>
      <c r="C113" s="60" t="s">
        <v>213</v>
      </c>
    </row>
    <row r="114" customHeight="1" spans="1:3">
      <c r="A114" s="61"/>
      <c r="B114" s="62" t="s">
        <v>214</v>
      </c>
      <c r="C114" s="63" t="s">
        <v>215</v>
      </c>
    </row>
    <row r="115" customHeight="1" spans="1:3">
      <c r="A115" s="64"/>
      <c r="B115" s="65" t="s">
        <v>216</v>
      </c>
      <c r="C115" s="66" t="s">
        <v>217</v>
      </c>
    </row>
    <row r="118" customHeight="1" spans="1:3">
      <c r="A118" s="49"/>
      <c r="B118" s="49"/>
      <c r="C118" s="49"/>
    </row>
    <row r="119" customHeight="1" spans="2:3">
      <c r="B119" s="49"/>
      <c r="C119" s="49"/>
    </row>
    <row r="120" customHeight="1" spans="2:3">
      <c r="B120" s="49"/>
      <c r="C120" s="49"/>
    </row>
    <row r="121" customHeight="1" spans="1:3">
      <c r="A121" s="49"/>
      <c r="B121" s="49"/>
      <c r="C121" s="49"/>
    </row>
    <row r="122" customHeight="1" spans="2:3">
      <c r="B122" s="49"/>
      <c r="C122" s="49"/>
    </row>
    <row r="123" customHeight="1" spans="2:3">
      <c r="B123" s="49"/>
      <c r="C123" s="4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4"/>
  <sheetViews>
    <sheetView workbookViewId="0">
      <selection activeCell="A1" sqref="A1"/>
    </sheetView>
  </sheetViews>
  <sheetFormatPr defaultColWidth="14.4259259259259" defaultRowHeight="15" customHeight="1"/>
  <cols>
    <col min="1" max="1" width="179.574074074074" customWidth="1"/>
    <col min="2" max="2" width="9.28703703703704" customWidth="1"/>
    <col min="3" max="3" width="34" customWidth="1"/>
    <col min="4" max="4" width="33.287037037037" customWidth="1"/>
  </cols>
  <sheetData>
    <row r="1" ht="14.4" spans="2:3">
      <c r="B1" s="1"/>
      <c r="C1" s="2"/>
    </row>
    <row r="2" ht="21" spans="1:3">
      <c r="A2" s="3" t="s">
        <v>218</v>
      </c>
      <c r="B2" s="4">
        <f>COUNTA(#REF!)</f>
        <v>1</v>
      </c>
      <c r="C2" s="2"/>
    </row>
    <row r="3" ht="28.8" spans="1:26">
      <c r="A3" s="5" t="s">
        <v>219</v>
      </c>
      <c r="B3" s="6">
        <f>COUNTA(#REF!)-21</f>
        <v>-20</v>
      </c>
      <c r="C3" s="7" t="s">
        <v>220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1" spans="1:3">
      <c r="A4" s="9"/>
      <c r="B4" s="10"/>
      <c r="C4" s="2"/>
    </row>
    <row r="5" ht="21" spans="1:3">
      <c r="A5" s="11" t="s">
        <v>221</v>
      </c>
      <c r="B5" s="12" t="e">
        <f>COUNTA(#REF!)-21-COUNTIF(#REF!,"#N/A")</f>
        <v>#REF!</v>
      </c>
      <c r="C5" s="13" t="e">
        <f>B5/B3</f>
        <v>#REF!</v>
      </c>
    </row>
    <row r="6" ht="21" spans="1:3">
      <c r="A6" s="14"/>
      <c r="B6" s="15"/>
      <c r="C6" s="2"/>
    </row>
    <row r="7" ht="57.6" spans="1:4">
      <c r="A7" s="16" t="s">
        <v>222</v>
      </c>
      <c r="B7" s="17" t="e">
        <f>COUNTIF(#REF!,"#N/A")</f>
        <v>#REF!</v>
      </c>
      <c r="C7" s="18" t="s">
        <v>223</v>
      </c>
      <c r="D7" s="19" t="s">
        <v>224</v>
      </c>
    </row>
    <row r="8" ht="43.2" spans="1:26">
      <c r="A8" s="20" t="s">
        <v>225</v>
      </c>
      <c r="B8" s="21" t="e">
        <f>COUNTIF(#REF!,"Não")</f>
        <v>#REF!</v>
      </c>
      <c r="C8" s="7" t="s">
        <v>226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4.4" spans="2:3">
      <c r="B9" s="1"/>
      <c r="C9" s="2"/>
    </row>
    <row r="10" ht="14.4" spans="2:3">
      <c r="B10" s="1"/>
      <c r="C10" s="2"/>
    </row>
    <row r="11" ht="21" spans="1:3">
      <c r="A11" s="22" t="s">
        <v>227</v>
      </c>
      <c r="B11" s="1"/>
      <c r="C11" s="2"/>
    </row>
    <row r="12" ht="17.4" spans="1:3">
      <c r="A12" s="23" t="s">
        <v>228</v>
      </c>
      <c r="B12" s="1"/>
      <c r="C12" s="2"/>
    </row>
    <row r="13" ht="46.8" spans="1:26">
      <c r="A13" s="24" t="s">
        <v>229</v>
      </c>
      <c r="B13" s="25" t="s">
        <v>230</v>
      </c>
      <c r="C13" s="26" t="s">
        <v>231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7.4" spans="1:3">
      <c r="A14" s="23" t="s">
        <v>232</v>
      </c>
      <c r="B14" s="25"/>
      <c r="C14" s="2"/>
    </row>
    <row r="15" ht="17.4" spans="1:3">
      <c r="A15" s="23" t="s">
        <v>233</v>
      </c>
      <c r="B15" s="25"/>
      <c r="C15" s="2"/>
    </row>
    <row r="16" ht="17.4" spans="1:3">
      <c r="A16" s="23" t="s">
        <v>234</v>
      </c>
      <c r="B16" s="25" t="s">
        <v>230</v>
      </c>
      <c r="C16" s="2"/>
    </row>
    <row r="17" ht="17.4" spans="1:3">
      <c r="A17" s="23" t="s">
        <v>235</v>
      </c>
      <c r="B17" s="25" t="s">
        <v>230</v>
      </c>
      <c r="C17" s="2"/>
    </row>
    <row r="18" ht="18.75" customHeight="1" spans="1:3">
      <c r="A18" s="23" t="s">
        <v>236</v>
      </c>
      <c r="B18" s="25" t="s">
        <v>230</v>
      </c>
      <c r="C18" s="2"/>
    </row>
    <row r="19" ht="17.4" spans="1:3">
      <c r="A19" s="23" t="s">
        <v>237</v>
      </c>
      <c r="B19" s="25" t="s">
        <v>230</v>
      </c>
      <c r="C19" s="2"/>
    </row>
    <row r="20" ht="17.4" spans="1:3">
      <c r="A20" s="23" t="s">
        <v>238</v>
      </c>
      <c r="B20" s="25"/>
      <c r="C20" s="2"/>
    </row>
    <row r="21" ht="17.4" spans="1:3">
      <c r="A21" s="23" t="s">
        <v>239</v>
      </c>
      <c r="B21" s="25" t="s">
        <v>230</v>
      </c>
      <c r="C21" s="2"/>
    </row>
    <row r="22" ht="17.4" spans="1:3">
      <c r="A22" s="23" t="s">
        <v>240</v>
      </c>
      <c r="B22" s="25" t="s">
        <v>230</v>
      </c>
      <c r="C22" s="2"/>
    </row>
    <row r="23" ht="17.4" spans="1:3">
      <c r="A23" s="23" t="s">
        <v>241</v>
      </c>
      <c r="B23" s="1"/>
      <c r="C23" s="2"/>
    </row>
    <row r="24" ht="17.4" spans="1:3">
      <c r="A24" s="23" t="s">
        <v>242</v>
      </c>
      <c r="B24" s="1"/>
      <c r="C24" s="2"/>
    </row>
    <row r="25" ht="17.4" spans="1:3">
      <c r="A25" s="23" t="s">
        <v>243</v>
      </c>
      <c r="B25" s="1"/>
      <c r="C25" s="2"/>
    </row>
    <row r="26" ht="17.4" spans="1:3">
      <c r="A26" s="23" t="s">
        <v>244</v>
      </c>
      <c r="B26" s="1"/>
      <c r="C26" s="2"/>
    </row>
    <row r="27" ht="14.4" spans="2:3">
      <c r="B27" s="1"/>
      <c r="C27" s="2"/>
    </row>
    <row r="28" ht="14.4" spans="2:3">
      <c r="B28" s="1"/>
      <c r="C28" s="2"/>
    </row>
    <row r="29" ht="14.4" spans="2:3">
      <c r="B29" s="1"/>
      <c r="C29" s="2"/>
    </row>
    <row r="30" ht="14.4" spans="2:3">
      <c r="B30" s="1"/>
      <c r="C30" s="2"/>
    </row>
    <row r="31" ht="14.4" spans="2:3">
      <c r="B31" s="1"/>
      <c r="C31" s="2"/>
    </row>
    <row r="32" ht="14.4" spans="2:3">
      <c r="B32" s="1"/>
      <c r="C32" s="2"/>
    </row>
    <row r="33" ht="14.4" spans="2:3">
      <c r="B33" s="1"/>
      <c r="C33" s="2"/>
    </row>
    <row r="34" ht="14.4" spans="2:3">
      <c r="B34" s="1"/>
      <c r="C34" s="2"/>
    </row>
    <row r="35" ht="14.4" spans="2:3">
      <c r="B35" s="1"/>
      <c r="C35" s="2"/>
    </row>
    <row r="36" ht="14.4" spans="2:3">
      <c r="B36" s="1"/>
      <c r="C36" s="2"/>
    </row>
    <row r="37" ht="14.4" spans="2:3">
      <c r="B37" s="1"/>
      <c r="C37" s="2"/>
    </row>
    <row r="38" ht="14.4" spans="2:3">
      <c r="B38" s="1"/>
      <c r="C38" s="2"/>
    </row>
    <row r="39" ht="14.4" spans="2:3">
      <c r="B39" s="1"/>
      <c r="C39" s="2"/>
    </row>
    <row r="40" ht="14.4" spans="2:3">
      <c r="B40" s="1"/>
      <c r="C40" s="2"/>
    </row>
    <row r="41" ht="14.4" spans="2:3">
      <c r="B41" s="1"/>
      <c r="C41" s="2"/>
    </row>
    <row r="42" ht="14.4" spans="2:3">
      <c r="B42" s="1"/>
      <c r="C42" s="2"/>
    </row>
    <row r="43" ht="14.4" spans="2:3">
      <c r="B43" s="1"/>
      <c r="C43" s="2"/>
    </row>
    <row r="44" ht="14.4" spans="2:3">
      <c r="B44" s="1"/>
      <c r="C44" s="2"/>
    </row>
    <row r="45" ht="14.4" spans="2:3">
      <c r="B45" s="1"/>
      <c r="C45" s="2"/>
    </row>
    <row r="46" ht="14.4" spans="2:3">
      <c r="B46" s="1"/>
      <c r="C46" s="2"/>
    </row>
    <row r="47" ht="14.4" spans="2:3">
      <c r="B47" s="1"/>
      <c r="C47" s="2"/>
    </row>
    <row r="48" ht="14.4" spans="2:3">
      <c r="B48" s="1"/>
      <c r="C48" s="2"/>
    </row>
    <row r="49" ht="14.4" spans="2:3">
      <c r="B49" s="1"/>
      <c r="C49" s="2"/>
    </row>
    <row r="50" ht="14.4" spans="2:3">
      <c r="B50" s="1"/>
      <c r="C50" s="2"/>
    </row>
    <row r="51" ht="14.4" spans="2:3">
      <c r="B51" s="1"/>
      <c r="C51" s="2"/>
    </row>
    <row r="52" ht="14.4" spans="2:3">
      <c r="B52" s="1"/>
      <c r="C52" s="2"/>
    </row>
    <row r="53" ht="14.4" spans="2:3">
      <c r="B53" s="1"/>
      <c r="C53" s="2"/>
    </row>
    <row r="54" ht="14.4" spans="2:3">
      <c r="B54" s="1"/>
      <c r="C54" s="2"/>
    </row>
    <row r="55" ht="14.4" spans="2:3">
      <c r="B55" s="1"/>
      <c r="C55" s="2"/>
    </row>
    <row r="56" ht="14.4" spans="2:3">
      <c r="B56" s="1"/>
      <c r="C56" s="2"/>
    </row>
    <row r="57" ht="14.4" spans="2:3">
      <c r="B57" s="1"/>
      <c r="C57" s="2"/>
    </row>
    <row r="58" ht="14.4" spans="2:3">
      <c r="B58" s="1"/>
      <c r="C58" s="2"/>
    </row>
    <row r="59" ht="14.4" spans="2:3">
      <c r="B59" s="1"/>
      <c r="C59" s="2"/>
    </row>
    <row r="60" ht="14.4" spans="2:3">
      <c r="B60" s="1"/>
      <c r="C60" s="2"/>
    </row>
    <row r="61" ht="14.4" spans="2:3">
      <c r="B61" s="1"/>
      <c r="C61" s="2"/>
    </row>
    <row r="62" ht="14.4" spans="2:3">
      <c r="B62" s="1"/>
      <c r="C62" s="2"/>
    </row>
    <row r="63" ht="14.4" spans="2:3">
      <c r="B63" s="1"/>
      <c r="C63" s="2"/>
    </row>
    <row r="64" ht="14.4" spans="2:3">
      <c r="B64" s="1"/>
      <c r="C64" s="2"/>
    </row>
    <row r="65" ht="14.4" spans="2:3">
      <c r="B65" s="1"/>
      <c r="C65" s="2"/>
    </row>
    <row r="66" ht="14.4" spans="2:3">
      <c r="B66" s="1"/>
      <c r="C66" s="2"/>
    </row>
    <row r="67" ht="14.4" spans="2:3">
      <c r="B67" s="1"/>
      <c r="C67" s="2"/>
    </row>
    <row r="68" ht="14.4" spans="2:3">
      <c r="B68" s="1"/>
      <c r="C68" s="2"/>
    </row>
    <row r="69" ht="14.4" spans="2:3">
      <c r="B69" s="1"/>
      <c r="C69" s="2"/>
    </row>
    <row r="70" ht="14.4" spans="2:3">
      <c r="B70" s="1"/>
      <c r="C70" s="2"/>
    </row>
    <row r="71" ht="14.4" spans="2:3">
      <c r="B71" s="1"/>
      <c r="C71" s="2"/>
    </row>
    <row r="72" ht="14.4" spans="2:3">
      <c r="B72" s="1"/>
      <c r="C72" s="2"/>
    </row>
    <row r="73" ht="14.4" spans="2:3">
      <c r="B73" s="1"/>
      <c r="C73" s="2"/>
    </row>
    <row r="74" ht="14.4" spans="2:3">
      <c r="B74" s="1"/>
      <c r="C74" s="2"/>
    </row>
    <row r="75" ht="14.4" spans="2:3">
      <c r="B75" s="1"/>
      <c r="C75" s="2"/>
    </row>
    <row r="76" ht="14.4" spans="2:3">
      <c r="B76" s="1"/>
      <c r="C76" s="2"/>
    </row>
    <row r="77" ht="14.4" spans="2:3">
      <c r="B77" s="1"/>
      <c r="C77" s="2"/>
    </row>
    <row r="78" ht="14.4" spans="2:3">
      <c r="B78" s="1"/>
      <c r="C78" s="2"/>
    </row>
    <row r="79" ht="14.4" spans="2:3">
      <c r="B79" s="1"/>
      <c r="C79" s="2"/>
    </row>
    <row r="80" ht="14.4" spans="2:3">
      <c r="B80" s="1"/>
      <c r="C80" s="2"/>
    </row>
    <row r="81" ht="14.4" spans="2:3">
      <c r="B81" s="1"/>
      <c r="C81" s="2"/>
    </row>
    <row r="82" ht="14.4" spans="2:3">
      <c r="B82" s="1"/>
      <c r="C82" s="2"/>
    </row>
    <row r="83" ht="14.4" spans="2:3">
      <c r="B83" s="1"/>
      <c r="C83" s="2"/>
    </row>
    <row r="84" ht="14.4" spans="2:3">
      <c r="B84" s="1"/>
      <c r="C84" s="2"/>
    </row>
    <row r="85" ht="14.4" spans="2:3">
      <c r="B85" s="1"/>
      <c r="C85" s="2"/>
    </row>
    <row r="86" ht="14.4" spans="2:3">
      <c r="B86" s="1"/>
      <c r="C86" s="2"/>
    </row>
    <row r="87" ht="14.4" spans="2:3">
      <c r="B87" s="1"/>
      <c r="C87" s="2"/>
    </row>
    <row r="88" ht="14.4" spans="2:3">
      <c r="B88" s="1"/>
      <c r="C88" s="2"/>
    </row>
    <row r="89" ht="14.4" spans="2:3">
      <c r="B89" s="1"/>
      <c r="C89" s="2"/>
    </row>
    <row r="90" ht="14.4" spans="2:3">
      <c r="B90" s="1"/>
      <c r="C90" s="2"/>
    </row>
    <row r="91" ht="14.4" spans="2:3">
      <c r="B91" s="1"/>
      <c r="C91" s="2"/>
    </row>
    <row r="92" ht="14.4" spans="2:3">
      <c r="B92" s="1"/>
      <c r="C92" s="2"/>
    </row>
    <row r="93" ht="14.4" spans="2:3">
      <c r="B93" s="1"/>
      <c r="C93" s="2"/>
    </row>
    <row r="94" ht="14.4" spans="2:3">
      <c r="B94" s="1"/>
      <c r="C94" s="2"/>
    </row>
    <row r="95" ht="14.4" spans="2:3">
      <c r="B95" s="1"/>
      <c r="C95" s="2"/>
    </row>
    <row r="96" ht="14.4" spans="2:3">
      <c r="B96" s="1"/>
      <c r="C96" s="2"/>
    </row>
    <row r="97" ht="14.4" spans="2:3">
      <c r="B97" s="1"/>
      <c r="C97" s="2"/>
    </row>
    <row r="98" ht="14.4" spans="2:3">
      <c r="B98" s="1"/>
      <c r="C98" s="2"/>
    </row>
    <row r="99" ht="14.4" spans="2:3">
      <c r="B99" s="1"/>
      <c r="C99" s="2"/>
    </row>
    <row r="100" ht="14.4" spans="2:3">
      <c r="B100" s="1"/>
      <c r="C100" s="2"/>
    </row>
    <row r="101" ht="14.4" spans="2:3">
      <c r="B101" s="1"/>
      <c r="C101" s="2"/>
    </row>
    <row r="102" ht="14.4" spans="2:3">
      <c r="B102" s="1"/>
      <c r="C102" s="2"/>
    </row>
    <row r="103" ht="14.4" spans="2:3">
      <c r="B103" s="1"/>
      <c r="C103" s="2"/>
    </row>
    <row r="104" ht="14.4" spans="2:3">
      <c r="B104" s="1"/>
      <c r="C104" s="2"/>
    </row>
    <row r="105" ht="14.4" spans="2:3">
      <c r="B105" s="1"/>
      <c r="C105" s="2"/>
    </row>
    <row r="106" ht="14.4" spans="2:3">
      <c r="B106" s="1"/>
      <c r="C106" s="2"/>
    </row>
    <row r="107" ht="14.4" spans="2:3">
      <c r="B107" s="1"/>
      <c r="C107" s="2"/>
    </row>
    <row r="108" ht="14.4" spans="2:3">
      <c r="B108" s="1"/>
      <c r="C108" s="2"/>
    </row>
    <row r="109" ht="14.4" spans="2:3">
      <c r="B109" s="1"/>
      <c r="C109" s="2"/>
    </row>
    <row r="110" ht="14.4" spans="2:3">
      <c r="B110" s="1"/>
      <c r="C110" s="2"/>
    </row>
    <row r="111" ht="14.4" spans="2:3">
      <c r="B111" s="1"/>
      <c r="C111" s="2"/>
    </row>
    <row r="112" ht="14.4" spans="2:3">
      <c r="B112" s="1"/>
      <c r="C112" s="2"/>
    </row>
    <row r="113" ht="14.4" spans="2:3">
      <c r="B113" s="1"/>
      <c r="C113" s="2"/>
    </row>
    <row r="114" ht="14.4" spans="2:3">
      <c r="B114" s="1"/>
      <c r="C114" s="2"/>
    </row>
    <row r="115" ht="14.4" spans="2:3">
      <c r="B115" s="1"/>
      <c r="C115" s="2"/>
    </row>
    <row r="116" ht="14.4" spans="2:3">
      <c r="B116" s="1"/>
      <c r="C116" s="2"/>
    </row>
    <row r="117" ht="14.4" spans="2:3">
      <c r="B117" s="1"/>
      <c r="C117" s="2"/>
    </row>
    <row r="118" ht="14.4" spans="2:3">
      <c r="B118" s="1"/>
      <c r="C118" s="2"/>
    </row>
    <row r="119" ht="14.4" spans="2:3">
      <c r="B119" s="1"/>
      <c r="C119" s="2"/>
    </row>
    <row r="120" ht="14.4" spans="2:3">
      <c r="B120" s="1"/>
      <c r="C120" s="2"/>
    </row>
    <row r="121" ht="14.4" spans="2:3">
      <c r="B121" s="1"/>
      <c r="C121" s="2"/>
    </row>
    <row r="122" ht="14.4" spans="2:3">
      <c r="B122" s="1"/>
      <c r="C122" s="2"/>
    </row>
    <row r="123" ht="14.4" spans="2:3">
      <c r="B123" s="1"/>
      <c r="C123" s="2"/>
    </row>
    <row r="124" ht="14.4" spans="2:3">
      <c r="B124" s="1"/>
      <c r="C124" s="2"/>
    </row>
    <row r="125" ht="14.4" spans="2:3">
      <c r="B125" s="1"/>
      <c r="C125" s="2"/>
    </row>
    <row r="126" ht="14.4" spans="2:3">
      <c r="B126" s="1"/>
      <c r="C126" s="2"/>
    </row>
    <row r="127" ht="14.4" spans="2:3">
      <c r="B127" s="1"/>
      <c r="C127" s="2"/>
    </row>
    <row r="128" ht="14.4" spans="2:3">
      <c r="B128" s="1"/>
      <c r="C128" s="2"/>
    </row>
    <row r="129" ht="14.4" spans="2:3">
      <c r="B129" s="1"/>
      <c r="C129" s="2"/>
    </row>
    <row r="130" ht="14.4" spans="2:3">
      <c r="B130" s="1"/>
      <c r="C130" s="2"/>
    </row>
    <row r="131" ht="14.4" spans="2:3">
      <c r="B131" s="1"/>
      <c r="C131" s="2"/>
    </row>
    <row r="132" ht="14.4" spans="2:3">
      <c r="B132" s="1"/>
      <c r="C132" s="2"/>
    </row>
    <row r="133" ht="14.4" spans="2:3">
      <c r="B133" s="1"/>
      <c r="C133" s="2"/>
    </row>
    <row r="134" ht="14.4" spans="2:3">
      <c r="B134" s="1"/>
      <c r="C134" s="2"/>
    </row>
    <row r="135" ht="14.4" spans="2:3">
      <c r="B135" s="1"/>
      <c r="C135" s="2"/>
    </row>
    <row r="136" ht="14.4" spans="2:3">
      <c r="B136" s="1"/>
      <c r="C136" s="2"/>
    </row>
    <row r="137" ht="14.4" spans="2:3">
      <c r="B137" s="1"/>
      <c r="C137" s="2"/>
    </row>
    <row r="138" ht="14.4" spans="2:3">
      <c r="B138" s="1"/>
      <c r="C138" s="2"/>
    </row>
    <row r="139" ht="14.4" spans="2:3">
      <c r="B139" s="1"/>
      <c r="C139" s="2"/>
    </row>
    <row r="140" ht="14.4" spans="2:3">
      <c r="B140" s="1"/>
      <c r="C140" s="2"/>
    </row>
    <row r="141" ht="14.4" spans="2:3">
      <c r="B141" s="1"/>
      <c r="C141" s="2"/>
    </row>
    <row r="142" ht="14.4" spans="2:3">
      <c r="B142" s="1"/>
      <c r="C142" s="2"/>
    </row>
    <row r="143" ht="14.4" spans="2:3">
      <c r="B143" s="1"/>
      <c r="C143" s="2"/>
    </row>
    <row r="144" ht="14.4" spans="2:3">
      <c r="B144" s="1"/>
      <c r="C144" s="2"/>
    </row>
    <row r="145" ht="14.4" spans="2:3">
      <c r="B145" s="1"/>
      <c r="C145" s="2"/>
    </row>
    <row r="146" ht="14.4" spans="2:3">
      <c r="B146" s="1"/>
      <c r="C146" s="2"/>
    </row>
    <row r="147" ht="14.4" spans="2:3">
      <c r="B147" s="1"/>
      <c r="C147" s="2"/>
    </row>
    <row r="148" ht="14.4" spans="2:3">
      <c r="B148" s="1"/>
      <c r="C148" s="2"/>
    </row>
    <row r="149" ht="14.4" spans="2:3">
      <c r="B149" s="1"/>
      <c r="C149" s="2"/>
    </row>
    <row r="150" ht="14.4" spans="2:3">
      <c r="B150" s="1"/>
      <c r="C150" s="2"/>
    </row>
    <row r="151" ht="14.4" spans="2:3">
      <c r="B151" s="1"/>
      <c r="C151" s="2"/>
    </row>
    <row r="152" ht="14.4" spans="2:3">
      <c r="B152" s="1"/>
      <c r="C152" s="2"/>
    </row>
    <row r="153" ht="14.4" spans="2:3">
      <c r="B153" s="1"/>
      <c r="C153" s="2"/>
    </row>
    <row r="154" ht="14.4" spans="2:3">
      <c r="B154" s="1"/>
      <c r="C154" s="2"/>
    </row>
    <row r="155" ht="14.4" spans="2:3">
      <c r="B155" s="1"/>
      <c r="C155" s="2"/>
    </row>
    <row r="156" ht="14.4" spans="2:3">
      <c r="B156" s="1"/>
      <c r="C156" s="2"/>
    </row>
    <row r="157" ht="14.4" spans="2:3">
      <c r="B157" s="1"/>
      <c r="C157" s="2"/>
    </row>
    <row r="158" ht="14.4" spans="2:3">
      <c r="B158" s="1"/>
      <c r="C158" s="2"/>
    </row>
    <row r="159" ht="14.4" spans="2:3">
      <c r="B159" s="1"/>
      <c r="C159" s="2"/>
    </row>
    <row r="160" ht="14.4" spans="2:3">
      <c r="B160" s="1"/>
      <c r="C160" s="2"/>
    </row>
    <row r="161" ht="14.4" spans="2:3">
      <c r="B161" s="1"/>
      <c r="C161" s="2"/>
    </row>
    <row r="162" ht="14.4" spans="2:3">
      <c r="B162" s="1"/>
      <c r="C162" s="2"/>
    </row>
    <row r="163" ht="14.4" spans="2:3">
      <c r="B163" s="1"/>
      <c r="C163" s="2"/>
    </row>
    <row r="164" ht="14.4" spans="2:3">
      <c r="B164" s="1"/>
      <c r="C164" s="2"/>
    </row>
    <row r="165" ht="14.4" spans="2:3">
      <c r="B165" s="1"/>
      <c r="C165" s="2"/>
    </row>
    <row r="166" ht="14.4" spans="2:3">
      <c r="B166" s="1"/>
      <c r="C166" s="2"/>
    </row>
    <row r="167" ht="14.4" spans="2:3">
      <c r="B167" s="1"/>
      <c r="C167" s="2"/>
    </row>
    <row r="168" ht="14.4" spans="2:3">
      <c r="B168" s="1"/>
      <c r="C168" s="2"/>
    </row>
    <row r="169" ht="14.4" spans="2:3">
      <c r="B169" s="1"/>
      <c r="C169" s="2"/>
    </row>
    <row r="170" ht="14.4" spans="2:3">
      <c r="B170" s="1"/>
      <c r="C170" s="2"/>
    </row>
    <row r="171" ht="14.4" spans="2:3">
      <c r="B171" s="1"/>
      <c r="C171" s="2"/>
    </row>
    <row r="172" ht="14.4" spans="2:3">
      <c r="B172" s="1"/>
      <c r="C172" s="2"/>
    </row>
    <row r="173" ht="14.4" spans="2:3">
      <c r="B173" s="1"/>
      <c r="C173" s="2"/>
    </row>
    <row r="174" ht="14.4" spans="2:3">
      <c r="B174" s="1"/>
      <c r="C174" s="2"/>
    </row>
    <row r="175" ht="14.4" spans="2:3">
      <c r="B175" s="1"/>
      <c r="C175" s="2"/>
    </row>
    <row r="176" ht="14.4" spans="2:3">
      <c r="B176" s="1"/>
      <c r="C176" s="2"/>
    </row>
    <row r="177" ht="14.4" spans="2:3">
      <c r="B177" s="1"/>
      <c r="C177" s="2"/>
    </row>
    <row r="178" ht="14.4" spans="2:3">
      <c r="B178" s="1"/>
      <c r="C178" s="2"/>
    </row>
    <row r="179" ht="14.4" spans="2:3">
      <c r="B179" s="1"/>
      <c r="C179" s="2"/>
    </row>
    <row r="180" ht="14.4" spans="2:3">
      <c r="B180" s="1"/>
      <c r="C180" s="2"/>
    </row>
    <row r="181" ht="14.4" spans="2:3">
      <c r="B181" s="1"/>
      <c r="C181" s="2"/>
    </row>
    <row r="182" ht="14.4" spans="2:3">
      <c r="B182" s="1"/>
      <c r="C182" s="2"/>
    </row>
    <row r="183" ht="14.4" spans="2:3">
      <c r="B183" s="1"/>
      <c r="C183" s="2"/>
    </row>
    <row r="184" ht="14.4" spans="2:3">
      <c r="B184" s="1"/>
      <c r="C184" s="2"/>
    </row>
    <row r="185" ht="14.4" spans="2:3">
      <c r="B185" s="1"/>
      <c r="C185" s="2"/>
    </row>
    <row r="186" ht="14.4" spans="2:3">
      <c r="B186" s="1"/>
      <c r="C186" s="2"/>
    </row>
    <row r="187" ht="14.4" spans="2:3">
      <c r="B187" s="1"/>
      <c r="C187" s="2"/>
    </row>
    <row r="188" ht="14.4" spans="2:3">
      <c r="B188" s="1"/>
      <c r="C188" s="2"/>
    </row>
    <row r="189" ht="14.4" spans="2:3">
      <c r="B189" s="1"/>
      <c r="C189" s="2"/>
    </row>
    <row r="190" ht="14.4" spans="2:3">
      <c r="B190" s="1"/>
      <c r="C190" s="2"/>
    </row>
    <row r="191" ht="14.4" spans="2:3">
      <c r="B191" s="1"/>
      <c r="C191" s="2"/>
    </row>
    <row r="192" ht="14.4" spans="2:3">
      <c r="B192" s="1"/>
      <c r="C192" s="2"/>
    </row>
    <row r="193" ht="14.4" spans="2:3">
      <c r="B193" s="1"/>
      <c r="C193" s="2"/>
    </row>
    <row r="194" ht="14.4" spans="2:3">
      <c r="B194" s="1"/>
      <c r="C194" s="2"/>
    </row>
    <row r="195" ht="14.4" spans="2:3">
      <c r="B195" s="1"/>
      <c r="C195" s="2"/>
    </row>
    <row r="196" ht="14.4" spans="2:3">
      <c r="B196" s="1"/>
      <c r="C196" s="2"/>
    </row>
    <row r="197" ht="14.4" spans="2:3">
      <c r="B197" s="1"/>
      <c r="C197" s="2"/>
    </row>
    <row r="198" ht="14.4" spans="2:3">
      <c r="B198" s="1"/>
      <c r="C198" s="2"/>
    </row>
    <row r="199" ht="14.4" spans="2:3">
      <c r="B199" s="1"/>
      <c r="C199" s="2"/>
    </row>
    <row r="200" ht="14.4" spans="2:3">
      <c r="B200" s="1"/>
      <c r="C200" s="2"/>
    </row>
    <row r="201" ht="14.4" spans="2:3">
      <c r="B201" s="1"/>
      <c r="C201" s="2"/>
    </row>
    <row r="202" ht="14.4" spans="2:3">
      <c r="B202" s="1"/>
      <c r="C202" s="2"/>
    </row>
    <row r="203" ht="14.4" spans="2:3">
      <c r="B203" s="1"/>
      <c r="C203" s="2"/>
    </row>
    <row r="204" ht="14.4" spans="2:3">
      <c r="B204" s="1"/>
      <c r="C204" s="2"/>
    </row>
    <row r="205" ht="14.4" spans="2:3">
      <c r="B205" s="1"/>
      <c r="C205" s="2"/>
    </row>
    <row r="206" ht="14.4" spans="2:3">
      <c r="B206" s="1"/>
      <c r="C206" s="2"/>
    </row>
    <row r="207" ht="14.4" spans="2:3">
      <c r="B207" s="1"/>
      <c r="C207" s="2"/>
    </row>
    <row r="208" ht="14.4" spans="2:3">
      <c r="B208" s="1"/>
      <c r="C208" s="2"/>
    </row>
    <row r="209" ht="14.4" spans="2:3">
      <c r="B209" s="1"/>
      <c r="C209" s="2"/>
    </row>
    <row r="210" ht="14.4" spans="2:3">
      <c r="B210" s="1"/>
      <c r="C210" s="2"/>
    </row>
    <row r="211" ht="14.4" spans="2:3">
      <c r="B211" s="1"/>
      <c r="C211" s="2"/>
    </row>
    <row r="212" ht="14.4" spans="2:3">
      <c r="B212" s="1"/>
      <c r="C212" s="2"/>
    </row>
    <row r="213" ht="14.4" spans="2:3">
      <c r="B213" s="1"/>
      <c r="C213" s="2"/>
    </row>
    <row r="214" ht="14.4" spans="2:3">
      <c r="B214" s="1"/>
      <c r="C214" s="2"/>
    </row>
    <row r="215" ht="14.4" spans="2:3">
      <c r="B215" s="1"/>
      <c r="C215" s="2"/>
    </row>
    <row r="216" ht="14.4" spans="2:3">
      <c r="B216" s="1"/>
      <c r="C216" s="2"/>
    </row>
    <row r="217" ht="14.4" spans="2:3">
      <c r="B217" s="1"/>
      <c r="C217" s="2"/>
    </row>
    <row r="218" ht="14.4" spans="2:3">
      <c r="B218" s="1"/>
      <c r="C218" s="2"/>
    </row>
    <row r="219" ht="14.4" spans="2:3">
      <c r="B219" s="1"/>
      <c r="C219" s="2"/>
    </row>
    <row r="220" ht="14.4" spans="2:3">
      <c r="B220" s="1"/>
      <c r="C220" s="2"/>
    </row>
    <row r="221" ht="14.4" spans="2:3">
      <c r="B221" s="1"/>
      <c r="C221" s="2"/>
    </row>
    <row r="222" ht="14.4" spans="2:3">
      <c r="B222" s="1"/>
      <c r="C222" s="2"/>
    </row>
    <row r="223" ht="14.4" spans="2:3">
      <c r="B223" s="1"/>
      <c r="C223" s="2"/>
    </row>
    <row r="224" ht="14.4" spans="2:3">
      <c r="B224" s="1"/>
      <c r="C224" s="2"/>
    </row>
    <row r="225" ht="14.4" spans="2:3">
      <c r="B225" s="1"/>
      <c r="C225" s="2"/>
    </row>
    <row r="226" ht="14.4" spans="2:3">
      <c r="B226" s="1"/>
      <c r="C226" s="2"/>
    </row>
    <row r="227" ht="14.4" spans="2:3">
      <c r="B227" s="1"/>
      <c r="C227" s="2"/>
    </row>
    <row r="228" ht="14.4" spans="2:3">
      <c r="B228" s="1"/>
      <c r="C228" s="2"/>
    </row>
    <row r="229" ht="14.4" spans="2:3">
      <c r="B229" s="1"/>
      <c r="C229" s="2"/>
    </row>
    <row r="230" ht="14.4" spans="2:3">
      <c r="B230" s="1"/>
      <c r="C230" s="2"/>
    </row>
    <row r="231" ht="14.4" spans="2:3">
      <c r="B231" s="1"/>
      <c r="C231" s="2"/>
    </row>
    <row r="232" ht="14.4" spans="2:3">
      <c r="B232" s="1"/>
      <c r="C232" s="2"/>
    </row>
    <row r="233" ht="14.4" spans="2:3">
      <c r="B233" s="1"/>
      <c r="C233" s="2"/>
    </row>
    <row r="234" ht="14.4" spans="2:3">
      <c r="B234" s="1"/>
      <c r="C234" s="2"/>
    </row>
    <row r="235" ht="14.4" spans="2:3">
      <c r="B235" s="1"/>
      <c r="C235" s="2"/>
    </row>
    <row r="236" ht="14.4" spans="2:3">
      <c r="B236" s="1"/>
      <c r="C236" s="2"/>
    </row>
    <row r="237" ht="14.4" spans="2:3">
      <c r="B237" s="1"/>
      <c r="C237" s="2"/>
    </row>
    <row r="238" ht="14.4" spans="2:3">
      <c r="B238" s="1"/>
      <c r="C238" s="2"/>
    </row>
    <row r="239" ht="14.4" spans="2:3">
      <c r="B239" s="1"/>
      <c r="C239" s="2"/>
    </row>
    <row r="240" ht="14.4" spans="2:3">
      <c r="B240" s="1"/>
      <c r="C240" s="2"/>
    </row>
    <row r="241" ht="14.4" spans="2:3">
      <c r="B241" s="1"/>
      <c r="C241" s="2"/>
    </row>
    <row r="242" ht="14.4" spans="2:3">
      <c r="B242" s="1"/>
      <c r="C242" s="2"/>
    </row>
    <row r="243" ht="14.4" spans="2:3">
      <c r="B243" s="1"/>
      <c r="C243" s="2"/>
    </row>
    <row r="244" ht="14.4" spans="2:3">
      <c r="B244" s="1"/>
      <c r="C244" s="2"/>
    </row>
    <row r="245" ht="14.4" spans="2:3">
      <c r="B245" s="1"/>
      <c r="C245" s="2"/>
    </row>
    <row r="246" ht="14.4" spans="2:3">
      <c r="B246" s="1"/>
      <c r="C246" s="2"/>
    </row>
    <row r="247" ht="14.4" spans="2:3">
      <c r="B247" s="1"/>
      <c r="C247" s="2"/>
    </row>
    <row r="248" ht="14.4" spans="2:3">
      <c r="B248" s="1"/>
      <c r="C248" s="2"/>
    </row>
    <row r="249" ht="14.4" spans="2:3">
      <c r="B249" s="1"/>
      <c r="C249" s="2"/>
    </row>
    <row r="250" ht="14.4" spans="2:3">
      <c r="B250" s="1"/>
      <c r="C250" s="2"/>
    </row>
    <row r="251" ht="14.4" spans="2:3">
      <c r="B251" s="1"/>
      <c r="C251" s="2"/>
    </row>
    <row r="252" ht="14.4" spans="2:3">
      <c r="B252" s="1"/>
      <c r="C252" s="2"/>
    </row>
    <row r="253" ht="14.4" spans="2:3">
      <c r="B253" s="1"/>
      <c r="C253" s="2"/>
    </row>
    <row r="254" ht="14.4" spans="2:3">
      <c r="B254" s="1"/>
      <c r="C254" s="2"/>
    </row>
    <row r="255" ht="14.4" spans="2:3">
      <c r="B255" s="1"/>
      <c r="C255" s="2"/>
    </row>
    <row r="256" ht="14.4" spans="2:3">
      <c r="B256" s="1"/>
      <c r="C256" s="2"/>
    </row>
    <row r="257" ht="14.4" spans="2:3">
      <c r="B257" s="1"/>
      <c r="C257" s="2"/>
    </row>
    <row r="258" ht="14.4" spans="2:3">
      <c r="B258" s="1"/>
      <c r="C258" s="2"/>
    </row>
    <row r="259" ht="14.4" spans="2:3">
      <c r="B259" s="1"/>
      <c r="C259" s="2"/>
    </row>
    <row r="260" ht="14.4" spans="2:3">
      <c r="B260" s="1"/>
      <c r="C260" s="2"/>
    </row>
    <row r="261" ht="14.4" spans="2:3">
      <c r="B261" s="1"/>
      <c r="C261" s="2"/>
    </row>
    <row r="262" ht="14.4" spans="2:3">
      <c r="B262" s="1"/>
      <c r="C262" s="2"/>
    </row>
    <row r="263" ht="14.4" spans="2:3">
      <c r="B263" s="1"/>
      <c r="C263" s="2"/>
    </row>
    <row r="264" ht="14.4" spans="2:3">
      <c r="B264" s="1"/>
      <c r="C264" s="2"/>
    </row>
    <row r="265" ht="14.4" spans="2:3">
      <c r="B265" s="1"/>
      <c r="C265" s="2"/>
    </row>
    <row r="266" ht="14.4" spans="2:3">
      <c r="B266" s="1"/>
      <c r="C266" s="2"/>
    </row>
    <row r="267" ht="14.4" spans="2:3">
      <c r="B267" s="1"/>
      <c r="C267" s="2"/>
    </row>
    <row r="268" ht="14.4" spans="2:3">
      <c r="B268" s="1"/>
      <c r="C268" s="2"/>
    </row>
    <row r="269" ht="14.4" spans="2:3">
      <c r="B269" s="1"/>
      <c r="C269" s="2"/>
    </row>
    <row r="270" ht="14.4" spans="2:3">
      <c r="B270" s="1"/>
      <c r="C270" s="2"/>
    </row>
    <row r="271" ht="14.4" spans="2:3">
      <c r="B271" s="1"/>
      <c r="C271" s="2"/>
    </row>
    <row r="272" ht="14.4" spans="2:3">
      <c r="B272" s="1"/>
      <c r="C272" s="2"/>
    </row>
    <row r="273" ht="14.4" spans="2:3">
      <c r="B273" s="1"/>
      <c r="C273" s="2"/>
    </row>
    <row r="274" ht="14.4" spans="2:3">
      <c r="B274" s="1"/>
      <c r="C274" s="2"/>
    </row>
    <row r="275" ht="14.4" spans="2:3">
      <c r="B275" s="1"/>
      <c r="C275" s="2"/>
    </row>
    <row r="276" ht="14.4" spans="2:3">
      <c r="B276" s="1"/>
      <c r="C276" s="2"/>
    </row>
    <row r="277" ht="14.4" spans="2:3">
      <c r="B277" s="1"/>
      <c r="C277" s="2"/>
    </row>
    <row r="278" ht="14.4" spans="2:3">
      <c r="B278" s="1"/>
      <c r="C278" s="2"/>
    </row>
    <row r="279" ht="14.4" spans="2:3">
      <c r="B279" s="1"/>
      <c r="C279" s="2"/>
    </row>
    <row r="280" ht="14.4" spans="2:3">
      <c r="B280" s="1"/>
      <c r="C280" s="2"/>
    </row>
    <row r="281" ht="14.4" spans="2:3">
      <c r="B281" s="1"/>
      <c r="C281" s="2"/>
    </row>
    <row r="282" ht="14.4" spans="2:3">
      <c r="B282" s="1"/>
      <c r="C282" s="2"/>
    </row>
    <row r="283" ht="14.4" spans="2:3">
      <c r="B283" s="1"/>
      <c r="C283" s="2"/>
    </row>
    <row r="284" ht="14.4" spans="2:3">
      <c r="B284" s="1"/>
      <c r="C284" s="2"/>
    </row>
    <row r="285" ht="14.4" spans="2:3">
      <c r="B285" s="1"/>
      <c r="C285" s="2"/>
    </row>
    <row r="286" ht="14.4" spans="2:3">
      <c r="B286" s="1"/>
      <c r="C286" s="2"/>
    </row>
    <row r="287" ht="14.4" spans="2:3">
      <c r="B287" s="1"/>
      <c r="C287" s="2"/>
    </row>
    <row r="288" ht="14.4" spans="2:3">
      <c r="B288" s="1"/>
      <c r="C288" s="2"/>
    </row>
    <row r="289" ht="14.4" spans="2:3">
      <c r="B289" s="1"/>
      <c r="C289" s="2"/>
    </row>
    <row r="290" ht="14.4" spans="2:3">
      <c r="B290" s="1"/>
      <c r="C290" s="2"/>
    </row>
    <row r="291" ht="14.4" spans="2:3">
      <c r="B291" s="1"/>
      <c r="C291" s="2"/>
    </row>
    <row r="292" ht="14.4" spans="2:3">
      <c r="B292" s="1"/>
      <c r="C292" s="2"/>
    </row>
    <row r="293" ht="14.4" spans="2:3">
      <c r="B293" s="1"/>
      <c r="C293" s="2"/>
    </row>
    <row r="294" ht="14.4" spans="2:3">
      <c r="B294" s="1"/>
      <c r="C294" s="2"/>
    </row>
    <row r="295" ht="14.4" spans="2:3">
      <c r="B295" s="1"/>
      <c r="C295" s="2"/>
    </row>
    <row r="296" ht="14.4" spans="2:3">
      <c r="B296" s="1"/>
      <c r="C296" s="2"/>
    </row>
    <row r="297" ht="14.4" spans="2:3">
      <c r="B297" s="1"/>
      <c r="C297" s="2"/>
    </row>
    <row r="298" ht="14.4" spans="2:3">
      <c r="B298" s="1"/>
      <c r="C298" s="2"/>
    </row>
    <row r="299" ht="14.4" spans="2:3">
      <c r="B299" s="1"/>
      <c r="C299" s="2"/>
    </row>
    <row r="300" ht="14.4" spans="2:3">
      <c r="B300" s="1"/>
      <c r="C300" s="2"/>
    </row>
    <row r="301" ht="14.4" spans="2:3">
      <c r="B301" s="1"/>
      <c r="C301" s="2"/>
    </row>
    <row r="302" ht="14.4" spans="2:3">
      <c r="B302" s="1"/>
      <c r="C302" s="2"/>
    </row>
    <row r="303" ht="14.4" spans="2:3">
      <c r="B303" s="1"/>
      <c r="C303" s="2"/>
    </row>
    <row r="304" ht="14.4" spans="2:3">
      <c r="B304" s="1"/>
      <c r="C304" s="2"/>
    </row>
    <row r="305" ht="14.4" spans="2:3">
      <c r="B305" s="1"/>
      <c r="C305" s="2"/>
    </row>
    <row r="306" ht="14.4" spans="2:3">
      <c r="B306" s="1"/>
      <c r="C306" s="2"/>
    </row>
    <row r="307" ht="14.4" spans="2:3">
      <c r="B307" s="1"/>
      <c r="C307" s="2"/>
    </row>
    <row r="308" ht="14.4" spans="2:3">
      <c r="B308" s="1"/>
      <c r="C308" s="2"/>
    </row>
    <row r="309" ht="14.4" spans="2:3">
      <c r="B309" s="1"/>
      <c r="C309" s="2"/>
    </row>
    <row r="310" ht="14.4" spans="2:3">
      <c r="B310" s="1"/>
      <c r="C310" s="2"/>
    </row>
    <row r="311" ht="14.4" spans="2:3">
      <c r="B311" s="1"/>
      <c r="C311" s="2"/>
    </row>
    <row r="312" ht="14.4" spans="2:3">
      <c r="B312" s="1"/>
      <c r="C312" s="2"/>
    </row>
    <row r="313" ht="14.4" spans="2:3">
      <c r="B313" s="1"/>
      <c r="C313" s="2"/>
    </row>
    <row r="314" ht="14.4" spans="2:3">
      <c r="B314" s="1"/>
      <c r="C314" s="2"/>
    </row>
    <row r="315" ht="14.4" spans="2:3">
      <c r="B315" s="1"/>
      <c r="C315" s="2"/>
    </row>
    <row r="316" ht="14.4" spans="2:3">
      <c r="B316" s="1"/>
      <c r="C316" s="2"/>
    </row>
    <row r="317" ht="14.4" spans="2:3">
      <c r="B317" s="1"/>
      <c r="C317" s="2"/>
    </row>
    <row r="318" ht="14.4" spans="2:3">
      <c r="B318" s="1"/>
      <c r="C318" s="2"/>
    </row>
    <row r="319" ht="14.4" spans="2:3">
      <c r="B319" s="1"/>
      <c r="C319" s="2"/>
    </row>
    <row r="320" ht="14.4" spans="2:3">
      <c r="B320" s="1"/>
      <c r="C320" s="2"/>
    </row>
    <row r="321" ht="14.4" spans="2:3">
      <c r="B321" s="1"/>
      <c r="C321" s="2"/>
    </row>
    <row r="322" ht="14.4" spans="2:3">
      <c r="B322" s="1"/>
      <c r="C322" s="2"/>
    </row>
    <row r="323" ht="14.4" spans="2:3">
      <c r="B323" s="1"/>
      <c r="C323" s="2"/>
    </row>
    <row r="324" ht="14.4" spans="2:3">
      <c r="B324" s="1"/>
      <c r="C324" s="2"/>
    </row>
    <row r="325" ht="14.4" spans="2:3">
      <c r="B325" s="1"/>
      <c r="C325" s="2"/>
    </row>
    <row r="326" ht="14.4" spans="2:3">
      <c r="B326" s="1"/>
      <c r="C326" s="2"/>
    </row>
    <row r="327" ht="14.4" spans="2:3">
      <c r="B327" s="1"/>
      <c r="C327" s="2"/>
    </row>
    <row r="328" ht="14.4" spans="2:3">
      <c r="B328" s="1"/>
      <c r="C328" s="2"/>
    </row>
    <row r="329" ht="14.4" spans="2:3">
      <c r="B329" s="1"/>
      <c r="C329" s="2"/>
    </row>
    <row r="330" ht="14.4" spans="2:3">
      <c r="B330" s="1"/>
      <c r="C330" s="2"/>
    </row>
    <row r="331" ht="14.4" spans="2:3">
      <c r="B331" s="1"/>
      <c r="C331" s="2"/>
    </row>
    <row r="332" ht="14.4" spans="2:3">
      <c r="B332" s="1"/>
      <c r="C332" s="2"/>
    </row>
    <row r="333" ht="14.4" spans="2:3">
      <c r="B333" s="1"/>
      <c r="C333" s="2"/>
    </row>
    <row r="334" ht="14.4" spans="2:3">
      <c r="B334" s="1"/>
      <c r="C334" s="2"/>
    </row>
    <row r="335" ht="14.4" spans="2:3">
      <c r="B335" s="1"/>
      <c r="C335" s="2"/>
    </row>
    <row r="336" ht="14.4" spans="2:3">
      <c r="B336" s="1"/>
      <c r="C336" s="2"/>
    </row>
    <row r="337" ht="14.4" spans="2:3">
      <c r="B337" s="1"/>
      <c r="C337" s="2"/>
    </row>
    <row r="338" ht="14.4" spans="2:3">
      <c r="B338" s="1"/>
      <c r="C338" s="2"/>
    </row>
    <row r="339" ht="14.4" spans="2:3">
      <c r="B339" s="1"/>
      <c r="C339" s="2"/>
    </row>
    <row r="340" ht="14.4" spans="2:3">
      <c r="B340" s="1"/>
      <c r="C340" s="2"/>
    </row>
    <row r="341" ht="14.4" spans="2:3">
      <c r="B341" s="1"/>
      <c r="C341" s="2"/>
    </row>
    <row r="342" ht="14.4" spans="2:3">
      <c r="B342" s="1"/>
      <c r="C342" s="2"/>
    </row>
    <row r="343" ht="14.4" spans="2:3">
      <c r="B343" s="1"/>
      <c r="C343" s="2"/>
    </row>
    <row r="344" ht="14.4" spans="2:3">
      <c r="B344" s="1"/>
      <c r="C344" s="2"/>
    </row>
    <row r="345" ht="14.4" spans="2:3">
      <c r="B345" s="1"/>
      <c r="C345" s="2"/>
    </row>
    <row r="346" ht="14.4" spans="2:3">
      <c r="B346" s="1"/>
      <c r="C346" s="2"/>
    </row>
    <row r="347" ht="14.4" spans="2:3">
      <c r="B347" s="1"/>
      <c r="C347" s="2"/>
    </row>
    <row r="348" ht="14.4" spans="2:3">
      <c r="B348" s="1"/>
      <c r="C348" s="2"/>
    </row>
    <row r="349" ht="14.4" spans="2:3">
      <c r="B349" s="1"/>
      <c r="C349" s="2"/>
    </row>
    <row r="350" ht="14.4" spans="2:3">
      <c r="B350" s="1"/>
      <c r="C350" s="2"/>
    </row>
    <row r="351" ht="14.4" spans="2:3">
      <c r="B351" s="1"/>
      <c r="C351" s="2"/>
    </row>
    <row r="352" ht="14.4" spans="2:3">
      <c r="B352" s="1"/>
      <c r="C352" s="2"/>
    </row>
    <row r="353" ht="14.4" spans="2:3">
      <c r="B353" s="1"/>
      <c r="C353" s="2"/>
    </row>
    <row r="354" ht="14.4" spans="2:3">
      <c r="B354" s="1"/>
      <c r="C354" s="2"/>
    </row>
    <row r="355" ht="14.4" spans="2:3">
      <c r="B355" s="1"/>
      <c r="C355" s="2"/>
    </row>
    <row r="356" ht="14.4" spans="2:3">
      <c r="B356" s="1"/>
      <c r="C356" s="2"/>
    </row>
    <row r="357" ht="14.4" spans="2:3">
      <c r="B357" s="1"/>
      <c r="C357" s="2"/>
    </row>
    <row r="358" ht="14.4" spans="2:3">
      <c r="B358" s="1"/>
      <c r="C358" s="2"/>
    </row>
    <row r="359" ht="14.4" spans="2:3">
      <c r="B359" s="1"/>
      <c r="C359" s="2"/>
    </row>
    <row r="360" ht="14.4" spans="2:3">
      <c r="B360" s="1"/>
      <c r="C360" s="2"/>
    </row>
    <row r="361" ht="14.4" spans="2:3">
      <c r="B361" s="1"/>
      <c r="C361" s="2"/>
    </row>
    <row r="362" ht="14.4" spans="2:3">
      <c r="B362" s="1"/>
      <c r="C362" s="2"/>
    </row>
    <row r="363" ht="14.4" spans="2:3">
      <c r="B363" s="1"/>
      <c r="C363" s="2"/>
    </row>
    <row r="364" ht="14.4" spans="2:3">
      <c r="B364" s="1"/>
      <c r="C364" s="2"/>
    </row>
    <row r="365" ht="14.4" spans="2:3">
      <c r="B365" s="1"/>
      <c r="C365" s="2"/>
    </row>
    <row r="366" ht="14.4" spans="2:3">
      <c r="B366" s="1"/>
      <c r="C366" s="2"/>
    </row>
    <row r="367" ht="14.4" spans="2:3">
      <c r="B367" s="1"/>
      <c r="C367" s="2"/>
    </row>
    <row r="368" ht="14.4" spans="2:3">
      <c r="B368" s="1"/>
      <c r="C368" s="2"/>
    </row>
    <row r="369" ht="14.4" spans="2:3">
      <c r="B369" s="1"/>
      <c r="C369" s="2"/>
    </row>
    <row r="370" ht="14.4" spans="2:3">
      <c r="B370" s="1"/>
      <c r="C370" s="2"/>
    </row>
    <row r="371" ht="14.4" spans="2:3">
      <c r="B371" s="1"/>
      <c r="C371" s="2"/>
    </row>
    <row r="372" ht="14.4" spans="2:3">
      <c r="B372" s="1"/>
      <c r="C372" s="2"/>
    </row>
    <row r="373" ht="14.4" spans="2:3">
      <c r="B373" s="1"/>
      <c r="C373" s="2"/>
    </row>
    <row r="374" ht="14.4" spans="2:3">
      <c r="B374" s="1"/>
      <c r="C374" s="2"/>
    </row>
    <row r="375" ht="14.4" spans="2:3">
      <c r="B375" s="1"/>
      <c r="C375" s="2"/>
    </row>
    <row r="376" ht="14.4" spans="2:3">
      <c r="B376" s="1"/>
      <c r="C376" s="2"/>
    </row>
    <row r="377" ht="14.4" spans="2:3">
      <c r="B377" s="1"/>
      <c r="C377" s="2"/>
    </row>
    <row r="378" ht="14.4" spans="2:3">
      <c r="B378" s="1"/>
      <c r="C378" s="2"/>
    </row>
    <row r="379" ht="14.4" spans="2:3">
      <c r="B379" s="1"/>
      <c r="C379" s="2"/>
    </row>
    <row r="380" ht="14.4" spans="2:3">
      <c r="B380" s="1"/>
      <c r="C380" s="2"/>
    </row>
    <row r="381" ht="14.4" spans="2:3">
      <c r="B381" s="1"/>
      <c r="C381" s="2"/>
    </row>
    <row r="382" ht="14.4" spans="2:3">
      <c r="B382" s="1"/>
      <c r="C382" s="2"/>
    </row>
    <row r="383" ht="14.4" spans="2:3">
      <c r="B383" s="1"/>
      <c r="C383" s="2"/>
    </row>
    <row r="384" ht="14.4" spans="2:3">
      <c r="B384" s="1"/>
      <c r="C384" s="2"/>
    </row>
    <row r="385" ht="14.4" spans="2:3">
      <c r="B385" s="1"/>
      <c r="C385" s="2"/>
    </row>
    <row r="386" ht="14.4" spans="2:3">
      <c r="B386" s="1"/>
      <c r="C386" s="2"/>
    </row>
    <row r="387" ht="14.4" spans="2:3">
      <c r="B387" s="1"/>
      <c r="C387" s="2"/>
    </row>
    <row r="388" ht="14.4" spans="2:3">
      <c r="B388" s="1"/>
      <c r="C388" s="2"/>
    </row>
    <row r="389" ht="14.4" spans="2:3">
      <c r="B389" s="1"/>
      <c r="C389" s="2"/>
    </row>
    <row r="390" ht="14.4" spans="2:3">
      <c r="B390" s="1"/>
      <c r="C390" s="2"/>
    </row>
    <row r="391" ht="14.4" spans="2:3">
      <c r="B391" s="1"/>
      <c r="C391" s="2"/>
    </row>
    <row r="392" ht="14.4" spans="2:3">
      <c r="B392" s="1"/>
      <c r="C392" s="2"/>
    </row>
    <row r="393" ht="14.4" spans="2:3">
      <c r="B393" s="1"/>
      <c r="C393" s="2"/>
    </row>
    <row r="394" ht="14.4" spans="2:3">
      <c r="B394" s="1"/>
      <c r="C394" s="2"/>
    </row>
    <row r="395" ht="14.4" spans="2:3">
      <c r="B395" s="1"/>
      <c r="C395" s="2"/>
    </row>
    <row r="396" ht="14.4" spans="2:3">
      <c r="B396" s="1"/>
      <c r="C396" s="2"/>
    </row>
    <row r="397" ht="14.4" spans="2:3">
      <c r="B397" s="1"/>
      <c r="C397" s="2"/>
    </row>
    <row r="398" ht="14.4" spans="2:3">
      <c r="B398" s="1"/>
      <c r="C398" s="2"/>
    </row>
    <row r="399" ht="14.4" spans="2:3">
      <c r="B399" s="1"/>
      <c r="C399" s="2"/>
    </row>
    <row r="400" ht="14.4" spans="2:3">
      <c r="B400" s="1"/>
      <c r="C400" s="2"/>
    </row>
    <row r="401" ht="14.4" spans="2:3">
      <c r="B401" s="1"/>
      <c r="C401" s="2"/>
    </row>
    <row r="402" ht="14.4" spans="2:3">
      <c r="B402" s="1"/>
      <c r="C402" s="2"/>
    </row>
    <row r="403" ht="14.4" spans="2:3">
      <c r="B403" s="1"/>
      <c r="C403" s="2"/>
    </row>
    <row r="404" ht="14.4" spans="2:3">
      <c r="B404" s="1"/>
      <c r="C404" s="2"/>
    </row>
    <row r="405" ht="14.4" spans="2:3">
      <c r="B405" s="1"/>
      <c r="C405" s="2"/>
    </row>
    <row r="406" ht="14.4" spans="2:3">
      <c r="B406" s="1"/>
      <c r="C406" s="2"/>
    </row>
    <row r="407" ht="14.4" spans="2:3">
      <c r="B407" s="1"/>
      <c r="C407" s="2"/>
    </row>
    <row r="408" ht="14.4" spans="2:3">
      <c r="B408" s="1"/>
      <c r="C408" s="2"/>
    </row>
    <row r="409" ht="14.4" spans="2:3">
      <c r="B409" s="1"/>
      <c r="C409" s="2"/>
    </row>
    <row r="410" ht="14.4" spans="2:3">
      <c r="B410" s="1"/>
      <c r="C410" s="2"/>
    </row>
    <row r="411" ht="14.4" spans="2:3">
      <c r="B411" s="1"/>
      <c r="C411" s="2"/>
    </row>
    <row r="412" ht="14.4" spans="2:3">
      <c r="B412" s="1"/>
      <c r="C412" s="2"/>
    </row>
    <row r="413" ht="14.4" spans="2:3">
      <c r="B413" s="1"/>
      <c r="C413" s="2"/>
    </row>
    <row r="414" ht="14.4" spans="2:3">
      <c r="B414" s="1"/>
      <c r="C414" s="2"/>
    </row>
    <row r="415" ht="14.4" spans="2:3">
      <c r="B415" s="1"/>
      <c r="C415" s="2"/>
    </row>
    <row r="416" ht="14.4" spans="2:3">
      <c r="B416" s="1"/>
      <c r="C416" s="2"/>
    </row>
    <row r="417" ht="14.4" spans="2:3">
      <c r="B417" s="1"/>
      <c r="C417" s="2"/>
    </row>
    <row r="418" ht="14.4" spans="2:3">
      <c r="B418" s="1"/>
      <c r="C418" s="2"/>
    </row>
    <row r="419" ht="14.4" spans="2:3">
      <c r="B419" s="1"/>
      <c r="C419" s="2"/>
    </row>
    <row r="420" ht="14.4" spans="2:3">
      <c r="B420" s="1"/>
      <c r="C420" s="2"/>
    </row>
    <row r="421" ht="14.4" spans="2:3">
      <c r="B421" s="1"/>
      <c r="C421" s="2"/>
    </row>
    <row r="422" ht="14.4" spans="2:3">
      <c r="B422" s="1"/>
      <c r="C422" s="2"/>
    </row>
    <row r="423" ht="14.4" spans="2:3">
      <c r="B423" s="1"/>
      <c r="C423" s="2"/>
    </row>
    <row r="424" ht="14.4" spans="2:3">
      <c r="B424" s="1"/>
      <c r="C424" s="2"/>
    </row>
    <row r="425" ht="14.4" spans="2:3">
      <c r="B425" s="1"/>
      <c r="C425" s="2"/>
    </row>
    <row r="426" ht="14.4" spans="2:3">
      <c r="B426" s="1"/>
      <c r="C426" s="2"/>
    </row>
    <row r="427" ht="14.4" spans="2:3">
      <c r="B427" s="1"/>
      <c r="C427" s="2"/>
    </row>
    <row r="428" ht="14.4" spans="2:3">
      <c r="B428" s="1"/>
      <c r="C428" s="2"/>
    </row>
    <row r="429" ht="14.4" spans="2:3">
      <c r="B429" s="1"/>
      <c r="C429" s="2"/>
    </row>
    <row r="430" ht="14.4" spans="2:3">
      <c r="B430" s="1"/>
      <c r="C430" s="2"/>
    </row>
    <row r="431" ht="14.4" spans="2:3">
      <c r="B431" s="1"/>
      <c r="C431" s="2"/>
    </row>
    <row r="432" ht="14.4" spans="2:3">
      <c r="B432" s="1"/>
      <c r="C432" s="2"/>
    </row>
    <row r="433" ht="14.4" spans="2:3">
      <c r="B433" s="1"/>
      <c r="C433" s="2"/>
    </row>
    <row r="434" ht="14.4" spans="2:3">
      <c r="B434" s="1"/>
      <c r="C434" s="2"/>
    </row>
    <row r="435" ht="14.4" spans="2:3">
      <c r="B435" s="1"/>
      <c r="C435" s="2"/>
    </row>
    <row r="436" ht="14.4" spans="2:3">
      <c r="B436" s="1"/>
      <c r="C436" s="2"/>
    </row>
    <row r="437" ht="14.4" spans="2:3">
      <c r="B437" s="1"/>
      <c r="C437" s="2"/>
    </row>
    <row r="438" ht="14.4" spans="2:3">
      <c r="B438" s="1"/>
      <c r="C438" s="2"/>
    </row>
    <row r="439" ht="14.4" spans="2:3">
      <c r="B439" s="1"/>
      <c r="C439" s="2"/>
    </row>
    <row r="440" ht="14.4" spans="2:3">
      <c r="B440" s="1"/>
      <c r="C440" s="2"/>
    </row>
    <row r="441" ht="14.4" spans="2:3">
      <c r="B441" s="1"/>
      <c r="C441" s="2"/>
    </row>
    <row r="442" ht="14.4" spans="2:3">
      <c r="B442" s="1"/>
      <c r="C442" s="2"/>
    </row>
    <row r="443" ht="14.4" spans="2:3">
      <c r="B443" s="1"/>
      <c r="C443" s="2"/>
    </row>
    <row r="444" ht="14.4" spans="2:3">
      <c r="B444" s="1"/>
      <c r="C444" s="2"/>
    </row>
    <row r="445" ht="14.4" spans="2:3">
      <c r="B445" s="1"/>
      <c r="C445" s="2"/>
    </row>
    <row r="446" ht="14.4" spans="2:3">
      <c r="B446" s="1"/>
      <c r="C446" s="2"/>
    </row>
    <row r="447" ht="14.4" spans="2:3">
      <c r="B447" s="1"/>
      <c r="C447" s="2"/>
    </row>
    <row r="448" ht="14.4" spans="2:3">
      <c r="B448" s="1"/>
      <c r="C448" s="2"/>
    </row>
    <row r="449" ht="14.4" spans="2:3">
      <c r="B449" s="1"/>
      <c r="C449" s="2"/>
    </row>
    <row r="450" ht="14.4" spans="2:3">
      <c r="B450" s="1"/>
      <c r="C450" s="2"/>
    </row>
    <row r="451" ht="14.4" spans="2:3">
      <c r="B451" s="1"/>
      <c r="C451" s="2"/>
    </row>
    <row r="452" ht="14.4" spans="2:3">
      <c r="B452" s="1"/>
      <c r="C452" s="2"/>
    </row>
    <row r="453" ht="14.4" spans="2:3">
      <c r="B453" s="1"/>
      <c r="C453" s="2"/>
    </row>
    <row r="454" ht="14.4" spans="2:3">
      <c r="B454" s="1"/>
      <c r="C454" s="2"/>
    </row>
    <row r="455" ht="14.4" spans="2:3">
      <c r="B455" s="1"/>
      <c r="C455" s="2"/>
    </row>
    <row r="456" ht="14.4" spans="2:3">
      <c r="B456" s="1"/>
      <c r="C456" s="2"/>
    </row>
    <row r="457" ht="14.4" spans="2:3">
      <c r="B457" s="1"/>
      <c r="C457" s="2"/>
    </row>
    <row r="458" ht="14.4" spans="2:3">
      <c r="B458" s="1"/>
      <c r="C458" s="2"/>
    </row>
    <row r="459" ht="14.4" spans="2:3">
      <c r="B459" s="1"/>
      <c r="C459" s="2"/>
    </row>
    <row r="460" ht="14.4" spans="2:3">
      <c r="B460" s="1"/>
      <c r="C460" s="2"/>
    </row>
    <row r="461" ht="14.4" spans="2:3">
      <c r="B461" s="1"/>
      <c r="C461" s="2"/>
    </row>
    <row r="462" ht="14.4" spans="2:3">
      <c r="B462" s="1"/>
      <c r="C462" s="2"/>
    </row>
    <row r="463" ht="14.4" spans="2:3">
      <c r="B463" s="1"/>
      <c r="C463" s="2"/>
    </row>
    <row r="464" ht="14.4" spans="2:3">
      <c r="B464" s="1"/>
      <c r="C464" s="2"/>
    </row>
    <row r="465" ht="14.4" spans="2:3">
      <c r="B465" s="1"/>
      <c r="C465" s="2"/>
    </row>
    <row r="466" ht="14.4" spans="2:3">
      <c r="B466" s="1"/>
      <c r="C466" s="2"/>
    </row>
    <row r="467" ht="14.4" spans="2:3">
      <c r="B467" s="1"/>
      <c r="C467" s="2"/>
    </row>
    <row r="468" ht="14.4" spans="2:3">
      <c r="B468" s="1"/>
      <c r="C468" s="2"/>
    </row>
    <row r="469" ht="14.4" spans="2:3">
      <c r="B469" s="1"/>
      <c r="C469" s="2"/>
    </row>
    <row r="470" ht="14.4" spans="2:3">
      <c r="B470" s="1"/>
      <c r="C470" s="2"/>
    </row>
    <row r="471" ht="14.4" spans="2:3">
      <c r="B471" s="1"/>
      <c r="C471" s="2"/>
    </row>
    <row r="472" ht="14.4" spans="2:3">
      <c r="B472" s="1"/>
      <c r="C472" s="2"/>
    </row>
    <row r="473" ht="14.4" spans="2:3">
      <c r="B473" s="1"/>
      <c r="C473" s="2"/>
    </row>
    <row r="474" ht="14.4" spans="2:3">
      <c r="B474" s="1"/>
      <c r="C474" s="2"/>
    </row>
    <row r="475" ht="14.4" spans="2:3">
      <c r="B475" s="1"/>
      <c r="C475" s="2"/>
    </row>
    <row r="476" ht="14.4" spans="2:3">
      <c r="B476" s="1"/>
      <c r="C476" s="2"/>
    </row>
    <row r="477" ht="14.4" spans="2:3">
      <c r="B477" s="1"/>
      <c r="C477" s="2"/>
    </row>
    <row r="478" ht="14.4" spans="2:3">
      <c r="B478" s="1"/>
      <c r="C478" s="2"/>
    </row>
    <row r="479" ht="14.4" spans="2:3">
      <c r="B479" s="1"/>
      <c r="C479" s="2"/>
    </row>
    <row r="480" ht="14.4" spans="2:3">
      <c r="B480" s="1"/>
      <c r="C480" s="2"/>
    </row>
    <row r="481" ht="14.4" spans="2:3">
      <c r="B481" s="1"/>
      <c r="C481" s="2"/>
    </row>
    <row r="482" ht="14.4" spans="2:3">
      <c r="B482" s="1"/>
      <c r="C482" s="2"/>
    </row>
    <row r="483" ht="14.4" spans="2:3">
      <c r="B483" s="1"/>
      <c r="C483" s="2"/>
    </row>
    <row r="484" ht="14.4" spans="2:3">
      <c r="B484" s="1"/>
      <c r="C484" s="2"/>
    </row>
    <row r="485" ht="14.4" spans="2:3">
      <c r="B485" s="1"/>
      <c r="C485" s="2"/>
    </row>
    <row r="486" ht="14.4" spans="2:3">
      <c r="B486" s="1"/>
      <c r="C486" s="2"/>
    </row>
    <row r="487" ht="14.4" spans="2:3">
      <c r="B487" s="1"/>
      <c r="C487" s="2"/>
    </row>
    <row r="488" ht="14.4" spans="2:3">
      <c r="B488" s="1"/>
      <c r="C488" s="2"/>
    </row>
    <row r="489" ht="14.4" spans="2:3">
      <c r="B489" s="1"/>
      <c r="C489" s="2"/>
    </row>
    <row r="490" ht="14.4" spans="2:3">
      <c r="B490" s="1"/>
      <c r="C490" s="2"/>
    </row>
    <row r="491" ht="14.4" spans="2:3">
      <c r="B491" s="1"/>
      <c r="C491" s="2"/>
    </row>
    <row r="492" ht="14.4" spans="2:3">
      <c r="B492" s="1"/>
      <c r="C492" s="2"/>
    </row>
    <row r="493" ht="14.4" spans="2:3">
      <c r="B493" s="1"/>
      <c r="C493" s="2"/>
    </row>
    <row r="494" ht="14.4" spans="2:3">
      <c r="B494" s="1"/>
      <c r="C494" s="2"/>
    </row>
    <row r="495" ht="14.4" spans="2:3">
      <c r="B495" s="1"/>
      <c r="C495" s="2"/>
    </row>
    <row r="496" ht="14.4" spans="2:3">
      <c r="B496" s="1"/>
      <c r="C496" s="2"/>
    </row>
    <row r="497" ht="14.4" spans="2:3">
      <c r="B497" s="1"/>
      <c r="C497" s="2"/>
    </row>
    <row r="498" ht="14.4" spans="2:3">
      <c r="B498" s="1"/>
      <c r="C498" s="2"/>
    </row>
    <row r="499" ht="14.4" spans="2:3">
      <c r="B499" s="1"/>
      <c r="C499" s="2"/>
    </row>
    <row r="500" ht="14.4" spans="2:3">
      <c r="B500" s="1"/>
      <c r="C500" s="2"/>
    </row>
    <row r="501" ht="14.4" spans="2:3">
      <c r="B501" s="1"/>
      <c r="C501" s="2"/>
    </row>
    <row r="502" ht="14.4" spans="2:3">
      <c r="B502" s="1"/>
      <c r="C502" s="2"/>
    </row>
    <row r="503" ht="14.4" spans="2:3">
      <c r="B503" s="1"/>
      <c r="C503" s="2"/>
    </row>
    <row r="504" ht="14.4" spans="2:3">
      <c r="B504" s="1"/>
      <c r="C504" s="2"/>
    </row>
    <row r="505" ht="14.4" spans="2:3">
      <c r="B505" s="1"/>
      <c r="C505" s="2"/>
    </row>
    <row r="506" ht="14.4" spans="2:3">
      <c r="B506" s="1"/>
      <c r="C506" s="2"/>
    </row>
    <row r="507" ht="14.4" spans="2:3">
      <c r="B507" s="1"/>
      <c r="C507" s="2"/>
    </row>
    <row r="508" ht="14.4" spans="2:3">
      <c r="B508" s="1"/>
      <c r="C508" s="2"/>
    </row>
    <row r="509" ht="14.4" spans="2:3">
      <c r="B509" s="1"/>
      <c r="C509" s="2"/>
    </row>
    <row r="510" ht="14.4" spans="2:3">
      <c r="B510" s="1"/>
      <c r="C510" s="2"/>
    </row>
    <row r="511" ht="14.4" spans="2:3">
      <c r="B511" s="1"/>
      <c r="C511" s="2"/>
    </row>
    <row r="512" ht="14.4" spans="2:3">
      <c r="B512" s="1"/>
      <c r="C512" s="2"/>
    </row>
    <row r="513" ht="14.4" spans="2:3">
      <c r="B513" s="1"/>
      <c r="C513" s="2"/>
    </row>
    <row r="514" ht="14.4" spans="2:3">
      <c r="B514" s="1"/>
      <c r="C514" s="2"/>
    </row>
    <row r="515" ht="14.4" spans="2:3">
      <c r="B515" s="1"/>
      <c r="C515" s="2"/>
    </row>
    <row r="516" ht="14.4" spans="2:3">
      <c r="B516" s="1"/>
      <c r="C516" s="2"/>
    </row>
    <row r="517" ht="14.4" spans="2:3">
      <c r="B517" s="1"/>
      <c r="C517" s="2"/>
    </row>
    <row r="518" ht="14.4" spans="2:3">
      <c r="B518" s="1"/>
      <c r="C518" s="2"/>
    </row>
    <row r="519" ht="14.4" spans="2:3">
      <c r="B519" s="1"/>
      <c r="C519" s="2"/>
    </row>
    <row r="520" ht="14.4" spans="2:3">
      <c r="B520" s="1"/>
      <c r="C520" s="2"/>
    </row>
    <row r="521" ht="14.4" spans="2:3">
      <c r="B521" s="1"/>
      <c r="C521" s="2"/>
    </row>
    <row r="522" ht="14.4" spans="2:3">
      <c r="B522" s="1"/>
      <c r="C522" s="2"/>
    </row>
    <row r="523" ht="14.4" spans="2:3">
      <c r="B523" s="1"/>
      <c r="C523" s="2"/>
    </row>
    <row r="524" ht="14.4" spans="2:3">
      <c r="B524" s="1"/>
      <c r="C524" s="2"/>
    </row>
    <row r="525" ht="14.4" spans="2:3">
      <c r="B525" s="1"/>
      <c r="C525" s="2"/>
    </row>
    <row r="526" ht="14.4" spans="2:3">
      <c r="B526" s="1"/>
      <c r="C526" s="2"/>
    </row>
    <row r="527" ht="14.4" spans="2:3">
      <c r="B527" s="1"/>
      <c r="C527" s="2"/>
    </row>
    <row r="528" ht="14.4" spans="2:3">
      <c r="B528" s="1"/>
      <c r="C528" s="2"/>
    </row>
    <row r="529" ht="14.4" spans="2:3">
      <c r="B529" s="1"/>
      <c r="C529" s="2"/>
    </row>
    <row r="530" ht="14.4" spans="2:3">
      <c r="B530" s="1"/>
      <c r="C530" s="2"/>
    </row>
    <row r="531" ht="14.4" spans="2:3">
      <c r="B531" s="1"/>
      <c r="C531" s="2"/>
    </row>
    <row r="532" ht="14.4" spans="2:3">
      <c r="B532" s="1"/>
      <c r="C532" s="2"/>
    </row>
    <row r="533" ht="14.4" spans="2:3">
      <c r="B533" s="1"/>
      <c r="C533" s="2"/>
    </row>
    <row r="534" ht="14.4" spans="2:3">
      <c r="B534" s="1"/>
      <c r="C534" s="2"/>
    </row>
    <row r="535" ht="14.4" spans="2:3">
      <c r="B535" s="1"/>
      <c r="C535" s="2"/>
    </row>
    <row r="536" ht="14.4" spans="2:3">
      <c r="B536" s="1"/>
      <c r="C536" s="2"/>
    </row>
    <row r="537" ht="14.4" spans="2:3">
      <c r="B537" s="1"/>
      <c r="C537" s="2"/>
    </row>
    <row r="538" ht="14.4" spans="2:3">
      <c r="B538" s="1"/>
      <c r="C538" s="2"/>
    </row>
    <row r="539" ht="14.4" spans="2:3">
      <c r="B539" s="1"/>
      <c r="C539" s="2"/>
    </row>
    <row r="540" ht="14.4" spans="2:3">
      <c r="B540" s="1"/>
      <c r="C540" s="2"/>
    </row>
    <row r="541" ht="14.4" spans="2:3">
      <c r="B541" s="1"/>
      <c r="C541" s="2"/>
    </row>
    <row r="542" ht="14.4" spans="2:3">
      <c r="B542" s="1"/>
      <c r="C542" s="2"/>
    </row>
    <row r="543" ht="14.4" spans="2:3">
      <c r="B543" s="1"/>
      <c r="C543" s="2"/>
    </row>
    <row r="544" ht="14.4" spans="2:3">
      <c r="B544" s="1"/>
      <c r="C544" s="2"/>
    </row>
    <row r="545" ht="14.4" spans="2:3">
      <c r="B545" s="1"/>
      <c r="C545" s="2"/>
    </row>
    <row r="546" ht="14.4" spans="2:3">
      <c r="B546" s="1"/>
      <c r="C546" s="2"/>
    </row>
    <row r="547" ht="14.4" spans="2:3">
      <c r="B547" s="1"/>
      <c r="C547" s="2"/>
    </row>
    <row r="548" ht="14.4" spans="2:3">
      <c r="B548" s="1"/>
      <c r="C548" s="2"/>
    </row>
    <row r="549" ht="14.4" spans="2:3">
      <c r="B549" s="1"/>
      <c r="C549" s="2"/>
    </row>
    <row r="550" ht="14.4" spans="2:3">
      <c r="B550" s="1"/>
      <c r="C550" s="2"/>
    </row>
    <row r="551" ht="14.4" spans="2:3">
      <c r="B551" s="1"/>
      <c r="C551" s="2"/>
    </row>
    <row r="552" ht="14.4" spans="2:3">
      <c r="B552" s="1"/>
      <c r="C552" s="2"/>
    </row>
    <row r="553" ht="14.4" spans="2:3">
      <c r="B553" s="1"/>
      <c r="C553" s="2"/>
    </row>
    <row r="554" ht="14.4" spans="2:3">
      <c r="B554" s="1"/>
      <c r="C554" s="2"/>
    </row>
    <row r="555" ht="14.4" spans="2:3">
      <c r="B555" s="1"/>
      <c r="C555" s="2"/>
    </row>
    <row r="556" ht="14.4" spans="2:3">
      <c r="B556" s="1"/>
      <c r="C556" s="2"/>
    </row>
    <row r="557" ht="14.4" spans="2:3">
      <c r="B557" s="1"/>
      <c r="C557" s="2"/>
    </row>
    <row r="558" ht="14.4" spans="2:3">
      <c r="B558" s="1"/>
      <c r="C558" s="2"/>
    </row>
    <row r="559" ht="14.4" spans="2:3">
      <c r="B559" s="1"/>
      <c r="C559" s="2"/>
    </row>
    <row r="560" ht="14.4" spans="2:3">
      <c r="B560" s="1"/>
      <c r="C560" s="2"/>
    </row>
    <row r="561" ht="14.4" spans="2:3">
      <c r="B561" s="1"/>
      <c r="C561" s="2"/>
    </row>
    <row r="562" ht="14.4" spans="2:3">
      <c r="B562" s="1"/>
      <c r="C562" s="2"/>
    </row>
    <row r="563" ht="14.4" spans="2:3">
      <c r="B563" s="1"/>
      <c r="C563" s="2"/>
    </row>
    <row r="564" ht="14.4" spans="2:3">
      <c r="B564" s="1"/>
      <c r="C564" s="2"/>
    </row>
    <row r="565" ht="14.4" spans="2:3">
      <c r="B565" s="1"/>
      <c r="C565" s="2"/>
    </row>
    <row r="566" ht="14.4" spans="2:3">
      <c r="B566" s="1"/>
      <c r="C566" s="2"/>
    </row>
    <row r="567" ht="14.4" spans="2:3">
      <c r="B567" s="1"/>
      <c r="C567" s="2"/>
    </row>
    <row r="568" ht="14.4" spans="2:3">
      <c r="B568" s="1"/>
      <c r="C568" s="2"/>
    </row>
    <row r="569" ht="14.4" spans="2:3">
      <c r="B569" s="1"/>
      <c r="C569" s="2"/>
    </row>
    <row r="570" ht="14.4" spans="2:3">
      <c r="B570" s="1"/>
      <c r="C570" s="2"/>
    </row>
    <row r="571" ht="14.4" spans="2:3">
      <c r="B571" s="1"/>
      <c r="C571" s="2"/>
    </row>
    <row r="572" ht="14.4" spans="2:3">
      <c r="B572" s="1"/>
      <c r="C572" s="2"/>
    </row>
    <row r="573" ht="14.4" spans="2:3">
      <c r="B573" s="1"/>
      <c r="C573" s="2"/>
    </row>
    <row r="574" ht="14.4" spans="2:3">
      <c r="B574" s="1"/>
      <c r="C574" s="2"/>
    </row>
    <row r="575" ht="14.4" spans="2:3">
      <c r="B575" s="1"/>
      <c r="C575" s="2"/>
    </row>
    <row r="576" ht="14.4" spans="2:3">
      <c r="B576" s="1"/>
      <c r="C576" s="2"/>
    </row>
    <row r="577" ht="14.4" spans="2:3">
      <c r="B577" s="1"/>
      <c r="C577" s="2"/>
    </row>
    <row r="578" ht="14.4" spans="2:3">
      <c r="B578" s="1"/>
      <c r="C578" s="2"/>
    </row>
    <row r="579" ht="14.4" spans="2:3">
      <c r="B579" s="1"/>
      <c r="C579" s="2"/>
    </row>
    <row r="580" ht="14.4" spans="2:3">
      <c r="B580" s="1"/>
      <c r="C580" s="2"/>
    </row>
    <row r="581" ht="14.4" spans="2:3">
      <c r="B581" s="1"/>
      <c r="C581" s="2"/>
    </row>
    <row r="582" ht="14.4" spans="2:3">
      <c r="B582" s="1"/>
      <c r="C582" s="2"/>
    </row>
    <row r="583" ht="14.4" spans="2:3">
      <c r="B583" s="1"/>
      <c r="C583" s="2"/>
    </row>
    <row r="584" ht="14.4" spans="2:3">
      <c r="B584" s="1"/>
      <c r="C584" s="2"/>
    </row>
    <row r="585" ht="14.4" spans="2:3">
      <c r="B585" s="1"/>
      <c r="C585" s="2"/>
    </row>
    <row r="586" ht="14.4" spans="2:3">
      <c r="B586" s="1"/>
      <c r="C586" s="2"/>
    </row>
    <row r="587" ht="14.4" spans="2:3">
      <c r="B587" s="1"/>
      <c r="C587" s="2"/>
    </row>
    <row r="588" ht="14.4" spans="2:3">
      <c r="B588" s="1"/>
      <c r="C588" s="2"/>
    </row>
    <row r="589" ht="14.4" spans="2:3">
      <c r="B589" s="1"/>
      <c r="C589" s="2"/>
    </row>
    <row r="590" ht="14.4" spans="2:3">
      <c r="B590" s="1"/>
      <c r="C590" s="2"/>
    </row>
    <row r="591" ht="14.4" spans="2:3">
      <c r="B591" s="1"/>
      <c r="C591" s="2"/>
    </row>
    <row r="592" ht="14.4" spans="2:3">
      <c r="B592" s="1"/>
      <c r="C592" s="2"/>
    </row>
    <row r="593" ht="14.4" spans="2:3">
      <c r="B593" s="1"/>
      <c r="C593" s="2"/>
    </row>
    <row r="594" ht="14.4" spans="2:3">
      <c r="B594" s="1"/>
      <c r="C594" s="2"/>
    </row>
    <row r="595" ht="14.4" spans="2:3">
      <c r="B595" s="1"/>
      <c r="C595" s="2"/>
    </row>
    <row r="596" ht="14.4" spans="2:3">
      <c r="B596" s="1"/>
      <c r="C596" s="2"/>
    </row>
    <row r="597" ht="14.4" spans="2:3">
      <c r="B597" s="1"/>
      <c r="C597" s="2"/>
    </row>
    <row r="598" ht="14.4" spans="2:3">
      <c r="B598" s="1"/>
      <c r="C598" s="2"/>
    </row>
    <row r="599" ht="14.4" spans="2:3">
      <c r="B599" s="1"/>
      <c r="C599" s="2"/>
    </row>
    <row r="600" ht="14.4" spans="2:3">
      <c r="B600" s="1"/>
      <c r="C600" s="2"/>
    </row>
    <row r="601" ht="14.4" spans="2:3">
      <c r="B601" s="1"/>
      <c r="C601" s="2"/>
    </row>
    <row r="602" ht="14.4" spans="2:3">
      <c r="B602" s="1"/>
      <c r="C602" s="2"/>
    </row>
    <row r="603" ht="14.4" spans="2:3">
      <c r="B603" s="1"/>
      <c r="C603" s="2"/>
    </row>
    <row r="604" ht="14.4" spans="2:3">
      <c r="B604" s="1"/>
      <c r="C604" s="2"/>
    </row>
    <row r="605" ht="14.4" spans="2:3">
      <c r="B605" s="1"/>
      <c r="C605" s="2"/>
    </row>
    <row r="606" ht="14.4" spans="2:3">
      <c r="B606" s="1"/>
      <c r="C606" s="2"/>
    </row>
    <row r="607" ht="14.4" spans="2:3">
      <c r="B607" s="1"/>
      <c r="C607" s="2"/>
    </row>
    <row r="608" ht="14.4" spans="2:3">
      <c r="B608" s="1"/>
      <c r="C608" s="2"/>
    </row>
    <row r="609" ht="14.4" spans="2:3">
      <c r="B609" s="1"/>
      <c r="C609" s="2"/>
    </row>
    <row r="610" ht="14.4" spans="2:3">
      <c r="B610" s="1"/>
      <c r="C610" s="2"/>
    </row>
    <row r="611" ht="14.4" spans="2:3">
      <c r="B611" s="1"/>
      <c r="C611" s="2"/>
    </row>
    <row r="612" ht="14.4" spans="2:3">
      <c r="B612" s="1"/>
      <c r="C612" s="2"/>
    </row>
    <row r="613" ht="14.4" spans="2:3">
      <c r="B613" s="1"/>
      <c r="C613" s="2"/>
    </row>
    <row r="614" ht="14.4" spans="2:3">
      <c r="B614" s="1"/>
      <c r="C614" s="2"/>
    </row>
    <row r="615" ht="14.4" spans="2:3">
      <c r="B615" s="1"/>
      <c r="C615" s="2"/>
    </row>
    <row r="616" ht="14.4" spans="2:3">
      <c r="B616" s="1"/>
      <c r="C616" s="2"/>
    </row>
    <row r="617" ht="14.4" spans="2:3">
      <c r="B617" s="1"/>
      <c r="C617" s="2"/>
    </row>
    <row r="618" ht="14.4" spans="2:3">
      <c r="B618" s="1"/>
      <c r="C618" s="2"/>
    </row>
    <row r="619" ht="14.4" spans="2:3">
      <c r="B619" s="1"/>
      <c r="C619" s="2"/>
    </row>
    <row r="620" ht="14.4" spans="2:3">
      <c r="B620" s="1"/>
      <c r="C620" s="2"/>
    </row>
    <row r="621" ht="14.4" spans="2:3">
      <c r="B621" s="1"/>
      <c r="C621" s="2"/>
    </row>
    <row r="622" ht="14.4" spans="2:3">
      <c r="B622" s="1"/>
      <c r="C622" s="2"/>
    </row>
    <row r="623" ht="14.4" spans="2:3">
      <c r="B623" s="1"/>
      <c r="C623" s="2"/>
    </row>
    <row r="624" ht="14.4" spans="2:3">
      <c r="B624" s="1"/>
      <c r="C624" s="2"/>
    </row>
    <row r="625" ht="14.4" spans="2:3">
      <c r="B625" s="1"/>
      <c r="C625" s="2"/>
    </row>
    <row r="626" ht="14.4" spans="2:3">
      <c r="B626" s="1"/>
      <c r="C626" s="2"/>
    </row>
    <row r="627" ht="14.4" spans="2:3">
      <c r="B627" s="1"/>
      <c r="C627" s="2"/>
    </row>
    <row r="628" ht="14.4" spans="2:3">
      <c r="B628" s="1"/>
      <c r="C628" s="2"/>
    </row>
    <row r="629" ht="14.4" spans="2:3">
      <c r="B629" s="1"/>
      <c r="C629" s="2"/>
    </row>
    <row r="630" ht="14.4" spans="2:3">
      <c r="B630" s="1"/>
      <c r="C630" s="2"/>
    </row>
    <row r="631" ht="14.4" spans="2:3">
      <c r="B631" s="1"/>
      <c r="C631" s="2"/>
    </row>
    <row r="632" ht="14.4" spans="2:3">
      <c r="B632" s="1"/>
      <c r="C632" s="2"/>
    </row>
    <row r="633" ht="14.4" spans="2:3">
      <c r="B633" s="1"/>
      <c r="C633" s="2"/>
    </row>
    <row r="634" ht="14.4" spans="2:3">
      <c r="B634" s="1"/>
      <c r="C634" s="2"/>
    </row>
    <row r="635" ht="14.4" spans="2:3">
      <c r="B635" s="1"/>
      <c r="C635" s="2"/>
    </row>
    <row r="636" ht="14.4" spans="2:3">
      <c r="B636" s="1"/>
      <c r="C636" s="2"/>
    </row>
    <row r="637" ht="14.4" spans="2:3">
      <c r="B637" s="1"/>
      <c r="C637" s="2"/>
    </row>
    <row r="638" ht="14.4" spans="2:3">
      <c r="B638" s="1"/>
      <c r="C638" s="2"/>
    </row>
    <row r="639" ht="14.4" spans="2:3">
      <c r="B639" s="1"/>
      <c r="C639" s="2"/>
    </row>
    <row r="640" ht="14.4" spans="2:3">
      <c r="B640" s="1"/>
      <c r="C640" s="2"/>
    </row>
    <row r="641" ht="14.4" spans="2:3">
      <c r="B641" s="1"/>
      <c r="C641" s="2"/>
    </row>
    <row r="642" ht="14.4" spans="2:3">
      <c r="B642" s="1"/>
      <c r="C642" s="2"/>
    </row>
    <row r="643" ht="14.4" spans="2:3">
      <c r="B643" s="1"/>
      <c r="C643" s="2"/>
    </row>
    <row r="644" ht="14.4" spans="2:3">
      <c r="B644" s="1"/>
      <c r="C644" s="2"/>
    </row>
    <row r="645" ht="14.4" spans="2:3">
      <c r="B645" s="1"/>
      <c r="C645" s="2"/>
    </row>
    <row r="646" ht="14.4" spans="2:3">
      <c r="B646" s="1"/>
      <c r="C646" s="2"/>
    </row>
    <row r="647" ht="14.4" spans="2:3">
      <c r="B647" s="1"/>
      <c r="C647" s="2"/>
    </row>
    <row r="648" ht="14.4" spans="2:3">
      <c r="B648" s="1"/>
      <c r="C648" s="2"/>
    </row>
    <row r="649" ht="14.4" spans="2:3">
      <c r="B649" s="1"/>
      <c r="C649" s="2"/>
    </row>
    <row r="650" ht="14.4" spans="2:3">
      <c r="B650" s="1"/>
      <c r="C650" s="2"/>
    </row>
    <row r="651" ht="14.4" spans="2:3">
      <c r="B651" s="1"/>
      <c r="C651" s="2"/>
    </row>
    <row r="652" ht="14.4" spans="2:3">
      <c r="B652" s="1"/>
      <c r="C652" s="2"/>
    </row>
    <row r="653" ht="14.4" spans="2:3">
      <c r="B653" s="1"/>
      <c r="C653" s="2"/>
    </row>
    <row r="654" ht="14.4" spans="2:3">
      <c r="B654" s="1"/>
      <c r="C654" s="2"/>
    </row>
    <row r="655" ht="14.4" spans="2:3">
      <c r="B655" s="1"/>
      <c r="C655" s="2"/>
    </row>
    <row r="656" ht="14.4" spans="2:3">
      <c r="B656" s="1"/>
      <c r="C656" s="2"/>
    </row>
    <row r="657" ht="14.4" spans="2:3">
      <c r="B657" s="1"/>
      <c r="C657" s="2"/>
    </row>
    <row r="658" ht="14.4" spans="2:3">
      <c r="B658" s="1"/>
      <c r="C658" s="2"/>
    </row>
    <row r="659" ht="14.4" spans="2:3">
      <c r="B659" s="1"/>
      <c r="C659" s="2"/>
    </row>
    <row r="660" ht="14.4" spans="2:3">
      <c r="B660" s="1"/>
      <c r="C660" s="2"/>
    </row>
    <row r="661" ht="14.4" spans="2:3">
      <c r="B661" s="1"/>
      <c r="C661" s="2"/>
    </row>
    <row r="662" ht="14.4" spans="2:3">
      <c r="B662" s="1"/>
      <c r="C662" s="2"/>
    </row>
    <row r="663" ht="14.4" spans="2:3">
      <c r="B663" s="1"/>
      <c r="C663" s="2"/>
    </row>
    <row r="664" ht="14.4" spans="2:3">
      <c r="B664" s="1"/>
      <c r="C664" s="2"/>
    </row>
    <row r="665" ht="14.4" spans="2:3">
      <c r="B665" s="1"/>
      <c r="C665" s="2"/>
    </row>
    <row r="666" ht="14.4" spans="2:3">
      <c r="B666" s="1"/>
      <c r="C666" s="2"/>
    </row>
    <row r="667" ht="14.4" spans="2:3">
      <c r="B667" s="1"/>
      <c r="C667" s="2"/>
    </row>
    <row r="668" ht="14.4" spans="2:3">
      <c r="B668" s="1"/>
      <c r="C668" s="2"/>
    </row>
    <row r="669" ht="14.4" spans="2:3">
      <c r="B669" s="1"/>
      <c r="C669" s="2"/>
    </row>
    <row r="670" ht="14.4" spans="2:3">
      <c r="B670" s="1"/>
      <c r="C670" s="2"/>
    </row>
    <row r="671" ht="14.4" spans="2:3">
      <c r="B671" s="1"/>
      <c r="C671" s="2"/>
    </row>
    <row r="672" ht="14.4" spans="2:3">
      <c r="B672" s="1"/>
      <c r="C672" s="2"/>
    </row>
    <row r="673" ht="14.4" spans="2:3">
      <c r="B673" s="1"/>
      <c r="C673" s="2"/>
    </row>
    <row r="674" ht="14.4" spans="2:3">
      <c r="B674" s="1"/>
      <c r="C674" s="2"/>
    </row>
    <row r="675" ht="14.4" spans="2:3">
      <c r="B675" s="1"/>
      <c r="C675" s="2"/>
    </row>
    <row r="676" ht="14.4" spans="2:3">
      <c r="B676" s="1"/>
      <c r="C676" s="2"/>
    </row>
    <row r="677" ht="14.4" spans="2:3">
      <c r="B677" s="1"/>
      <c r="C677" s="2"/>
    </row>
    <row r="678" ht="14.4" spans="2:3">
      <c r="B678" s="1"/>
      <c r="C678" s="2"/>
    </row>
    <row r="679" ht="14.4" spans="2:3">
      <c r="B679" s="1"/>
      <c r="C679" s="2"/>
    </row>
    <row r="680" ht="14.4" spans="2:3">
      <c r="B680" s="1"/>
      <c r="C680" s="2"/>
    </row>
    <row r="681" ht="14.4" spans="2:3">
      <c r="B681" s="1"/>
      <c r="C681" s="2"/>
    </row>
    <row r="682" ht="14.4" spans="2:3">
      <c r="B682" s="1"/>
      <c r="C682" s="2"/>
    </row>
    <row r="683" ht="14.4" spans="2:3">
      <c r="B683" s="1"/>
      <c r="C683" s="2"/>
    </row>
    <row r="684" ht="14.4" spans="2:3">
      <c r="B684" s="1"/>
      <c r="C684" s="2"/>
    </row>
    <row r="685" ht="14.4" spans="2:3">
      <c r="B685" s="1"/>
      <c r="C685" s="2"/>
    </row>
    <row r="686" ht="14.4" spans="2:3">
      <c r="B686" s="1"/>
      <c r="C686" s="2"/>
    </row>
    <row r="687" ht="14.4" spans="2:3">
      <c r="B687" s="1"/>
      <c r="C687" s="2"/>
    </row>
    <row r="688" ht="14.4" spans="2:3">
      <c r="B688" s="1"/>
      <c r="C688" s="2"/>
    </row>
    <row r="689" ht="14.4" spans="2:3">
      <c r="B689" s="1"/>
      <c r="C689" s="2"/>
    </row>
    <row r="690" ht="14.4" spans="2:3">
      <c r="B690" s="1"/>
      <c r="C690" s="2"/>
    </row>
    <row r="691" ht="14.4" spans="2:3">
      <c r="B691" s="1"/>
      <c r="C691" s="2"/>
    </row>
    <row r="692" ht="14.4" spans="2:3">
      <c r="B692" s="1"/>
      <c r="C692" s="2"/>
    </row>
    <row r="693" ht="14.4" spans="2:3">
      <c r="B693" s="1"/>
      <c r="C693" s="2"/>
    </row>
    <row r="694" ht="14.4" spans="2:3">
      <c r="B694" s="1"/>
      <c r="C694" s="2"/>
    </row>
    <row r="695" ht="14.4" spans="2:3">
      <c r="B695" s="1"/>
      <c r="C695" s="2"/>
    </row>
    <row r="696" ht="14.4" spans="2:3">
      <c r="B696" s="1"/>
      <c r="C696" s="2"/>
    </row>
    <row r="697" ht="14.4" spans="2:3">
      <c r="B697" s="1"/>
      <c r="C697" s="2"/>
    </row>
    <row r="698" ht="14.4" spans="2:3">
      <c r="B698" s="1"/>
      <c r="C698" s="2"/>
    </row>
    <row r="699" ht="14.4" spans="2:3">
      <c r="B699" s="1"/>
      <c r="C699" s="2"/>
    </row>
    <row r="700" ht="14.4" spans="2:3">
      <c r="B700" s="1"/>
      <c r="C700" s="2"/>
    </row>
    <row r="701" ht="14.4" spans="2:3">
      <c r="B701" s="1"/>
      <c r="C701" s="2"/>
    </row>
    <row r="702" ht="14.4" spans="2:3">
      <c r="B702" s="1"/>
      <c r="C702" s="2"/>
    </row>
    <row r="703" ht="14.4" spans="2:3">
      <c r="B703" s="1"/>
      <c r="C703" s="2"/>
    </row>
    <row r="704" ht="14.4" spans="2:3">
      <c r="B704" s="1"/>
      <c r="C704" s="2"/>
    </row>
    <row r="705" ht="14.4" spans="2:3">
      <c r="B705" s="1"/>
      <c r="C705" s="2"/>
    </row>
    <row r="706" ht="14.4" spans="2:3">
      <c r="B706" s="1"/>
      <c r="C706" s="2"/>
    </row>
    <row r="707" ht="14.4" spans="2:3">
      <c r="B707" s="1"/>
      <c r="C707" s="2"/>
    </row>
    <row r="708" ht="14.4" spans="2:3">
      <c r="B708" s="1"/>
      <c r="C708" s="2"/>
    </row>
    <row r="709" ht="14.4" spans="2:3">
      <c r="B709" s="1"/>
      <c r="C709" s="2"/>
    </row>
    <row r="710" ht="14.4" spans="2:3">
      <c r="B710" s="1"/>
      <c r="C710" s="2"/>
    </row>
    <row r="711" ht="14.4" spans="2:3">
      <c r="B711" s="1"/>
      <c r="C711" s="2"/>
    </row>
    <row r="712" ht="14.4" spans="2:3">
      <c r="B712" s="1"/>
      <c r="C712" s="2"/>
    </row>
    <row r="713" ht="14.4" spans="2:3">
      <c r="B713" s="1"/>
      <c r="C713" s="2"/>
    </row>
    <row r="714" ht="14.4" spans="2:3">
      <c r="B714" s="1"/>
      <c r="C714" s="2"/>
    </row>
    <row r="715" ht="14.4" spans="2:3">
      <c r="B715" s="1"/>
      <c r="C715" s="2"/>
    </row>
    <row r="716" ht="14.4" spans="2:3">
      <c r="B716" s="1"/>
      <c r="C716" s="2"/>
    </row>
    <row r="717" ht="14.4" spans="2:3">
      <c r="B717" s="1"/>
      <c r="C717" s="2"/>
    </row>
    <row r="718" ht="14.4" spans="2:3">
      <c r="B718" s="1"/>
      <c r="C718" s="2"/>
    </row>
    <row r="719" ht="14.4" spans="2:3">
      <c r="B719" s="1"/>
      <c r="C719" s="2"/>
    </row>
    <row r="720" ht="14.4" spans="2:3">
      <c r="B720" s="1"/>
      <c r="C720" s="2"/>
    </row>
    <row r="721" ht="14.4" spans="2:3">
      <c r="B721" s="1"/>
      <c r="C721" s="2"/>
    </row>
    <row r="722" ht="14.4" spans="2:3">
      <c r="B722" s="1"/>
      <c r="C722" s="2"/>
    </row>
    <row r="723" ht="14.4" spans="2:3">
      <c r="B723" s="1"/>
      <c r="C723" s="2"/>
    </row>
    <row r="724" ht="14.4" spans="2:3">
      <c r="B724" s="1"/>
      <c r="C724" s="2"/>
    </row>
    <row r="725" ht="14.4" spans="2:3">
      <c r="B725" s="1"/>
      <c r="C725" s="2"/>
    </row>
    <row r="726" ht="14.4" spans="2:3">
      <c r="B726" s="1"/>
      <c r="C726" s="2"/>
    </row>
    <row r="727" ht="14.4" spans="2:3">
      <c r="B727" s="1"/>
      <c r="C727" s="2"/>
    </row>
    <row r="728" ht="14.4" spans="2:3">
      <c r="B728" s="1"/>
      <c r="C728" s="2"/>
    </row>
    <row r="729" ht="14.4" spans="2:3">
      <c r="B729" s="1"/>
      <c r="C729" s="2"/>
    </row>
    <row r="730" ht="14.4" spans="2:3">
      <c r="B730" s="1"/>
      <c r="C730" s="2"/>
    </row>
    <row r="731" ht="14.4" spans="2:3">
      <c r="B731" s="1"/>
      <c r="C731" s="2"/>
    </row>
    <row r="732" ht="14.4" spans="2:3">
      <c r="B732" s="1"/>
      <c r="C732" s="2"/>
    </row>
    <row r="733" ht="14.4" spans="2:3">
      <c r="B733" s="1"/>
      <c r="C733" s="2"/>
    </row>
    <row r="734" ht="14.4" spans="2:3">
      <c r="B734" s="1"/>
      <c r="C734" s="2"/>
    </row>
    <row r="735" ht="14.4" spans="2:3">
      <c r="B735" s="1"/>
      <c r="C735" s="2"/>
    </row>
    <row r="736" ht="14.4" spans="2:3">
      <c r="B736" s="1"/>
      <c r="C736" s="2"/>
    </row>
    <row r="737" ht="14.4" spans="2:3">
      <c r="B737" s="1"/>
      <c r="C737" s="2"/>
    </row>
    <row r="738" ht="14.4" spans="2:3">
      <c r="B738" s="1"/>
      <c r="C738" s="2"/>
    </row>
    <row r="739" ht="14.4" spans="2:3">
      <c r="B739" s="1"/>
      <c r="C739" s="2"/>
    </row>
    <row r="740" ht="14.4" spans="2:3">
      <c r="B740" s="1"/>
      <c r="C740" s="2"/>
    </row>
    <row r="741" ht="14.4" spans="2:3">
      <c r="B741" s="1"/>
      <c r="C741" s="2"/>
    </row>
    <row r="742" ht="14.4" spans="2:3">
      <c r="B742" s="1"/>
      <c r="C742" s="2"/>
    </row>
    <row r="743" ht="14.4" spans="2:3">
      <c r="B743" s="1"/>
      <c r="C743" s="2"/>
    </row>
    <row r="744" ht="14.4" spans="2:3">
      <c r="B744" s="1"/>
      <c r="C744" s="2"/>
    </row>
    <row r="745" ht="14.4" spans="2:3">
      <c r="B745" s="1"/>
      <c r="C745" s="2"/>
    </row>
    <row r="746" ht="14.4" spans="2:3">
      <c r="B746" s="1"/>
      <c r="C746" s="2"/>
    </row>
    <row r="747" ht="14.4" spans="2:3">
      <c r="B747" s="1"/>
      <c r="C747" s="2"/>
    </row>
    <row r="748" ht="14.4" spans="2:3">
      <c r="B748" s="1"/>
      <c r="C748" s="2"/>
    </row>
    <row r="749" ht="14.4" spans="2:3">
      <c r="B749" s="1"/>
      <c r="C749" s="2"/>
    </row>
    <row r="750" ht="14.4" spans="2:3">
      <c r="B750" s="1"/>
      <c r="C750" s="2"/>
    </row>
    <row r="751" ht="14.4" spans="2:3">
      <c r="B751" s="1"/>
      <c r="C751" s="2"/>
    </row>
    <row r="752" ht="14.4" spans="2:3">
      <c r="B752" s="1"/>
      <c r="C752" s="2"/>
    </row>
    <row r="753" ht="14.4" spans="2:3">
      <c r="B753" s="1"/>
      <c r="C753" s="2"/>
    </row>
    <row r="754" ht="14.4" spans="2:3">
      <c r="B754" s="1"/>
      <c r="C754" s="2"/>
    </row>
    <row r="755" ht="14.4" spans="2:3">
      <c r="B755" s="1"/>
      <c r="C755" s="2"/>
    </row>
    <row r="756" ht="14.4" spans="2:3">
      <c r="B756" s="1"/>
      <c r="C756" s="2"/>
    </row>
    <row r="757" ht="14.4" spans="2:3">
      <c r="B757" s="1"/>
      <c r="C757" s="2"/>
    </row>
    <row r="758" ht="14.4" spans="2:3">
      <c r="B758" s="1"/>
      <c r="C758" s="2"/>
    </row>
    <row r="759" ht="14.4" spans="2:3">
      <c r="B759" s="1"/>
      <c r="C759" s="2"/>
    </row>
    <row r="760" ht="14.4" spans="2:3">
      <c r="B760" s="1"/>
      <c r="C760" s="2"/>
    </row>
    <row r="761" ht="14.4" spans="2:3">
      <c r="B761" s="1"/>
      <c r="C761" s="2"/>
    </row>
    <row r="762" ht="14.4" spans="2:3">
      <c r="B762" s="1"/>
      <c r="C762" s="2"/>
    </row>
    <row r="763" ht="14.4" spans="2:3">
      <c r="B763" s="1"/>
      <c r="C763" s="2"/>
    </row>
    <row r="764" ht="14.4" spans="2:3">
      <c r="B764" s="1"/>
      <c r="C764" s="2"/>
    </row>
    <row r="765" ht="14.4" spans="2:3">
      <c r="B765" s="1"/>
      <c r="C765" s="2"/>
    </row>
    <row r="766" ht="14.4" spans="2:3">
      <c r="B766" s="1"/>
      <c r="C766" s="2"/>
    </row>
    <row r="767" ht="14.4" spans="2:3">
      <c r="B767" s="1"/>
      <c r="C767" s="2"/>
    </row>
    <row r="768" ht="14.4" spans="2:3">
      <c r="B768" s="1"/>
      <c r="C768" s="2"/>
    </row>
    <row r="769" ht="14.4" spans="2:3">
      <c r="B769" s="1"/>
      <c r="C769" s="2"/>
    </row>
    <row r="770" ht="14.4" spans="2:3">
      <c r="B770" s="1"/>
      <c r="C770" s="2"/>
    </row>
    <row r="771" ht="14.4" spans="2:3">
      <c r="B771" s="1"/>
      <c r="C771" s="2"/>
    </row>
    <row r="772" ht="14.4" spans="2:3">
      <c r="B772" s="1"/>
      <c r="C772" s="2"/>
    </row>
    <row r="773" ht="14.4" spans="2:3">
      <c r="B773" s="1"/>
      <c r="C773" s="2"/>
    </row>
    <row r="774" ht="14.4" spans="2:3">
      <c r="B774" s="1"/>
      <c r="C774" s="2"/>
    </row>
    <row r="775" ht="14.4" spans="2:3">
      <c r="B775" s="1"/>
      <c r="C775" s="2"/>
    </row>
    <row r="776" ht="14.4" spans="2:3">
      <c r="B776" s="1"/>
      <c r="C776" s="2"/>
    </row>
    <row r="777" ht="14.4" spans="2:3">
      <c r="B777" s="1"/>
      <c r="C777" s="2"/>
    </row>
    <row r="778" ht="14.4" spans="2:3">
      <c r="B778" s="1"/>
      <c r="C778" s="2"/>
    </row>
    <row r="779" ht="14.4" spans="2:3">
      <c r="B779" s="1"/>
      <c r="C779" s="2"/>
    </row>
    <row r="780" ht="14.4" spans="2:3">
      <c r="B780" s="1"/>
      <c r="C780" s="2"/>
    </row>
    <row r="781" ht="14.4" spans="2:3">
      <c r="B781" s="1"/>
      <c r="C781" s="2"/>
    </row>
    <row r="782" ht="14.4" spans="2:3">
      <c r="B782" s="1"/>
      <c r="C782" s="2"/>
    </row>
    <row r="783" ht="14.4" spans="2:3">
      <c r="B783" s="1"/>
      <c r="C783" s="2"/>
    </row>
    <row r="784" ht="14.4" spans="2:3">
      <c r="B784" s="1"/>
      <c r="C784" s="2"/>
    </row>
    <row r="785" ht="14.4" spans="2:3">
      <c r="B785" s="1"/>
      <c r="C785" s="2"/>
    </row>
    <row r="786" ht="14.4" spans="2:3">
      <c r="B786" s="1"/>
      <c r="C786" s="2"/>
    </row>
    <row r="787" ht="14.4" spans="2:3">
      <c r="B787" s="1"/>
      <c r="C787" s="2"/>
    </row>
    <row r="788" ht="14.4" spans="2:3">
      <c r="B788" s="1"/>
      <c r="C788" s="2"/>
    </row>
    <row r="789" ht="14.4" spans="2:3">
      <c r="B789" s="1"/>
      <c r="C789" s="2"/>
    </row>
    <row r="790" ht="14.4" spans="2:3">
      <c r="B790" s="1"/>
      <c r="C790" s="2"/>
    </row>
    <row r="791" ht="14.4" spans="2:3">
      <c r="B791" s="1"/>
      <c r="C791" s="2"/>
    </row>
    <row r="792" ht="14.4" spans="2:3">
      <c r="B792" s="1"/>
      <c r="C792" s="2"/>
    </row>
    <row r="793" ht="14.4" spans="2:3">
      <c r="B793" s="1"/>
      <c r="C793" s="2"/>
    </row>
    <row r="794" ht="14.4" spans="2:3">
      <c r="B794" s="1"/>
      <c r="C794" s="2"/>
    </row>
    <row r="795" ht="14.4" spans="2:3">
      <c r="B795" s="1"/>
      <c r="C795" s="2"/>
    </row>
    <row r="796" ht="14.4" spans="2:3">
      <c r="B796" s="1"/>
      <c r="C796" s="2"/>
    </row>
    <row r="797" ht="14.4" spans="2:3">
      <c r="B797" s="1"/>
      <c r="C797" s="2"/>
    </row>
    <row r="798" ht="14.4" spans="2:3">
      <c r="B798" s="1"/>
      <c r="C798" s="2"/>
    </row>
    <row r="799" ht="14.4" spans="2:3">
      <c r="B799" s="1"/>
      <c r="C799" s="2"/>
    </row>
    <row r="800" ht="14.4" spans="2:3">
      <c r="B800" s="1"/>
      <c r="C800" s="2"/>
    </row>
    <row r="801" ht="14.4" spans="2:3">
      <c r="B801" s="1"/>
      <c r="C801" s="2"/>
    </row>
    <row r="802" ht="14.4" spans="2:3">
      <c r="B802" s="1"/>
      <c r="C802" s="2"/>
    </row>
    <row r="803" ht="14.4" spans="2:3">
      <c r="B803" s="1"/>
      <c r="C803" s="2"/>
    </row>
    <row r="804" ht="14.4" spans="2:3">
      <c r="B804" s="1"/>
      <c r="C804" s="2"/>
    </row>
    <row r="805" ht="14.4" spans="2:3">
      <c r="B805" s="1"/>
      <c r="C805" s="2"/>
    </row>
    <row r="806" ht="14.4" spans="2:3">
      <c r="B806" s="1"/>
      <c r="C806" s="2"/>
    </row>
    <row r="807" ht="14.4" spans="2:3">
      <c r="B807" s="1"/>
      <c r="C807" s="2"/>
    </row>
    <row r="808" ht="14.4" spans="2:3">
      <c r="B808" s="1"/>
      <c r="C808" s="2"/>
    </row>
    <row r="809" ht="14.4" spans="2:3">
      <c r="B809" s="1"/>
      <c r="C809" s="2"/>
    </row>
    <row r="810" ht="14.4" spans="2:3">
      <c r="B810" s="1"/>
      <c r="C810" s="2"/>
    </row>
    <row r="811" ht="14.4" spans="2:3">
      <c r="B811" s="1"/>
      <c r="C811" s="2"/>
    </row>
    <row r="812" ht="14.4" spans="2:3">
      <c r="B812" s="1"/>
      <c r="C812" s="2"/>
    </row>
    <row r="813" ht="14.4" spans="2:3">
      <c r="B813" s="1"/>
      <c r="C813" s="2"/>
    </row>
    <row r="814" ht="14.4" spans="2:3">
      <c r="B814" s="1"/>
      <c r="C814" s="2"/>
    </row>
    <row r="815" ht="14.4" spans="2:3">
      <c r="B815" s="1"/>
      <c r="C815" s="2"/>
    </row>
    <row r="816" ht="14.4" spans="2:3">
      <c r="B816" s="1"/>
      <c r="C816" s="2"/>
    </row>
    <row r="817" ht="14.4" spans="2:3">
      <c r="B817" s="1"/>
      <c r="C817" s="2"/>
    </row>
    <row r="818" ht="14.4" spans="2:3">
      <c r="B818" s="1"/>
      <c r="C818" s="2"/>
    </row>
    <row r="819" ht="14.4" spans="2:3">
      <c r="B819" s="1"/>
      <c r="C819" s="2"/>
    </row>
    <row r="820" ht="14.4" spans="2:3">
      <c r="B820" s="1"/>
      <c r="C820" s="2"/>
    </row>
    <row r="821" ht="14.4" spans="2:3">
      <c r="B821" s="1"/>
      <c r="C821" s="2"/>
    </row>
    <row r="822" ht="14.4" spans="2:3">
      <c r="B822" s="1"/>
      <c r="C822" s="2"/>
    </row>
    <row r="823" ht="14.4" spans="2:3">
      <c r="B823" s="1"/>
      <c r="C823" s="2"/>
    </row>
    <row r="824" ht="14.4" spans="2:3">
      <c r="B824" s="1"/>
      <c r="C824" s="2"/>
    </row>
    <row r="825" ht="14.4" spans="2:3">
      <c r="B825" s="1"/>
      <c r="C825" s="2"/>
    </row>
    <row r="826" ht="14.4" spans="2:3">
      <c r="B826" s="1"/>
      <c r="C826" s="2"/>
    </row>
    <row r="827" ht="14.4" spans="2:3">
      <c r="B827" s="1"/>
      <c r="C827" s="2"/>
    </row>
    <row r="828" ht="14.4" spans="2:3">
      <c r="B828" s="1"/>
      <c r="C828" s="2"/>
    </row>
    <row r="829" ht="14.4" spans="2:3">
      <c r="B829" s="1"/>
      <c r="C829" s="2"/>
    </row>
    <row r="830" ht="14.4" spans="2:3">
      <c r="B830" s="1"/>
      <c r="C830" s="2"/>
    </row>
    <row r="831" ht="14.4" spans="2:3">
      <c r="B831" s="1"/>
      <c r="C831" s="2"/>
    </row>
    <row r="832" ht="14.4" spans="2:3">
      <c r="B832" s="1"/>
      <c r="C832" s="2"/>
    </row>
    <row r="833" ht="14.4" spans="2:3">
      <c r="B833" s="1"/>
      <c r="C833" s="2"/>
    </row>
    <row r="834" ht="14.4" spans="2:3">
      <c r="B834" s="1"/>
      <c r="C834" s="2"/>
    </row>
    <row r="835" ht="14.4" spans="2:3">
      <c r="B835" s="1"/>
      <c r="C835" s="2"/>
    </row>
    <row r="836" ht="14.4" spans="2:3">
      <c r="B836" s="1"/>
      <c r="C836" s="2"/>
    </row>
    <row r="837" ht="14.4" spans="2:3">
      <c r="B837" s="1"/>
      <c r="C837" s="2"/>
    </row>
    <row r="838" ht="14.4" spans="2:3">
      <c r="B838" s="1"/>
      <c r="C838" s="2"/>
    </row>
    <row r="839" ht="14.4" spans="2:3">
      <c r="B839" s="1"/>
      <c r="C839" s="2"/>
    </row>
    <row r="840" ht="14.4" spans="2:3">
      <c r="B840" s="1"/>
      <c r="C840" s="2"/>
    </row>
    <row r="841" ht="14.4" spans="2:3">
      <c r="B841" s="1"/>
      <c r="C841" s="2"/>
    </row>
    <row r="842" ht="14.4" spans="2:3">
      <c r="B842" s="1"/>
      <c r="C842" s="2"/>
    </row>
    <row r="843" ht="14.4" spans="2:3">
      <c r="B843" s="1"/>
      <c r="C843" s="2"/>
    </row>
    <row r="844" ht="14.4" spans="2:3">
      <c r="B844" s="1"/>
      <c r="C844" s="2"/>
    </row>
    <row r="845" ht="14.4" spans="2:3">
      <c r="B845" s="1"/>
      <c r="C845" s="2"/>
    </row>
    <row r="846" ht="14.4" spans="2:3">
      <c r="B846" s="1"/>
      <c r="C846" s="2"/>
    </row>
    <row r="847" ht="14.4" spans="2:3">
      <c r="B847" s="1"/>
      <c r="C847" s="2"/>
    </row>
    <row r="848" ht="14.4" spans="2:3">
      <c r="B848" s="1"/>
      <c r="C848" s="2"/>
    </row>
    <row r="849" ht="14.4" spans="2:3">
      <c r="B849" s="1"/>
      <c r="C849" s="2"/>
    </row>
    <row r="850" ht="14.4" spans="2:3">
      <c r="B850" s="1"/>
      <c r="C850" s="2"/>
    </row>
    <row r="851" ht="14.4" spans="2:3">
      <c r="B851" s="1"/>
      <c r="C851" s="2"/>
    </row>
    <row r="852" ht="14.4" spans="2:3">
      <c r="B852" s="1"/>
      <c r="C852" s="2"/>
    </row>
    <row r="853" ht="14.4" spans="2:3">
      <c r="B853" s="1"/>
      <c r="C853" s="2"/>
    </row>
    <row r="854" ht="14.4" spans="2:3">
      <c r="B854" s="1"/>
      <c r="C854" s="2"/>
    </row>
    <row r="855" ht="14.4" spans="2:3">
      <c r="B855" s="1"/>
      <c r="C855" s="2"/>
    </row>
    <row r="856" ht="14.4" spans="2:3">
      <c r="B856" s="1"/>
      <c r="C856" s="2"/>
    </row>
    <row r="857" ht="14.4" spans="2:3">
      <c r="B857" s="1"/>
      <c r="C857" s="2"/>
    </row>
    <row r="858" ht="14.4" spans="2:3">
      <c r="B858" s="1"/>
      <c r="C858" s="2"/>
    </row>
    <row r="859" ht="14.4" spans="2:3">
      <c r="B859" s="1"/>
      <c r="C859" s="2"/>
    </row>
    <row r="860" ht="14.4" spans="2:3">
      <c r="B860" s="1"/>
      <c r="C860" s="2"/>
    </row>
    <row r="861" ht="14.4" spans="2:3">
      <c r="B861" s="1"/>
      <c r="C861" s="2"/>
    </row>
    <row r="862" ht="14.4" spans="2:3">
      <c r="B862" s="1"/>
      <c r="C862" s="2"/>
    </row>
    <row r="863" ht="14.4" spans="2:3">
      <c r="B863" s="1"/>
      <c r="C863" s="2"/>
    </row>
    <row r="864" ht="14.4" spans="2:3">
      <c r="B864" s="1"/>
      <c r="C864" s="2"/>
    </row>
    <row r="865" ht="14.4" spans="2:3">
      <c r="B865" s="1"/>
      <c r="C865" s="2"/>
    </row>
    <row r="866" ht="14.4" spans="2:3">
      <c r="B866" s="1"/>
      <c r="C866" s="2"/>
    </row>
    <row r="867" ht="14.4" spans="2:3">
      <c r="B867" s="1"/>
      <c r="C867" s="2"/>
    </row>
    <row r="868" ht="14.4" spans="2:3">
      <c r="B868" s="1"/>
      <c r="C868" s="2"/>
    </row>
    <row r="869" ht="14.4" spans="2:3">
      <c r="B869" s="1"/>
      <c r="C869" s="2"/>
    </row>
    <row r="870" ht="14.4" spans="2:3">
      <c r="B870" s="1"/>
      <c r="C870" s="2"/>
    </row>
    <row r="871" ht="14.4" spans="2:3">
      <c r="B871" s="1"/>
      <c r="C871" s="2"/>
    </row>
    <row r="872" ht="14.4" spans="2:3">
      <c r="B872" s="1"/>
      <c r="C872" s="2"/>
    </row>
    <row r="873" ht="14.4" spans="2:3">
      <c r="B873" s="1"/>
      <c r="C873" s="2"/>
    </row>
    <row r="874" ht="14.4" spans="2:3">
      <c r="B874" s="1"/>
      <c r="C874" s="2"/>
    </row>
    <row r="875" ht="14.4" spans="2:3">
      <c r="B875" s="1"/>
      <c r="C875" s="2"/>
    </row>
    <row r="876" ht="14.4" spans="2:3">
      <c r="B876" s="1"/>
      <c r="C876" s="2"/>
    </row>
    <row r="877" ht="14.4" spans="2:3">
      <c r="B877" s="1"/>
      <c r="C877" s="2"/>
    </row>
    <row r="878" ht="14.4" spans="2:3">
      <c r="B878" s="1"/>
      <c r="C878" s="2"/>
    </row>
    <row r="879" ht="14.4" spans="2:3">
      <c r="B879" s="1"/>
      <c r="C879" s="2"/>
    </row>
    <row r="880" ht="14.4" spans="2:3">
      <c r="B880" s="1"/>
      <c r="C880" s="2"/>
    </row>
    <row r="881" ht="14.4" spans="2:3">
      <c r="B881" s="1"/>
      <c r="C881" s="2"/>
    </row>
    <row r="882" ht="14.4" spans="2:3">
      <c r="B882" s="1"/>
      <c r="C882" s="2"/>
    </row>
    <row r="883" ht="14.4" spans="2:3">
      <c r="B883" s="1"/>
      <c r="C883" s="2"/>
    </row>
    <row r="884" ht="14.4" spans="2:3">
      <c r="B884" s="1"/>
      <c r="C884" s="2"/>
    </row>
    <row r="885" ht="14.4" spans="2:3">
      <c r="B885" s="1"/>
      <c r="C885" s="2"/>
    </row>
    <row r="886" ht="14.4" spans="2:3">
      <c r="B886" s="1"/>
      <c r="C886" s="2"/>
    </row>
    <row r="887" ht="14.4" spans="2:3">
      <c r="B887" s="1"/>
      <c r="C887" s="2"/>
    </row>
    <row r="888" ht="14.4" spans="2:3">
      <c r="B888" s="1"/>
      <c r="C888" s="2"/>
    </row>
    <row r="889" ht="14.4" spans="2:3">
      <c r="B889" s="1"/>
      <c r="C889" s="2"/>
    </row>
    <row r="890" ht="14.4" spans="2:3">
      <c r="B890" s="1"/>
      <c r="C890" s="2"/>
    </row>
    <row r="891" ht="14.4" spans="2:3">
      <c r="B891" s="1"/>
      <c r="C891" s="2"/>
    </row>
    <row r="892" ht="14.4" spans="2:3">
      <c r="B892" s="1"/>
      <c r="C892" s="2"/>
    </row>
    <row r="893" ht="14.4" spans="2:3">
      <c r="B893" s="1"/>
      <c r="C893" s="2"/>
    </row>
    <row r="894" ht="14.4" spans="2:3">
      <c r="B894" s="1"/>
      <c r="C894" s="2"/>
    </row>
    <row r="895" ht="14.4" spans="2:3">
      <c r="B895" s="1"/>
      <c r="C895" s="2"/>
    </row>
    <row r="896" ht="14.4" spans="2:3">
      <c r="B896" s="1"/>
      <c r="C896" s="2"/>
    </row>
    <row r="897" ht="14.4" spans="2:3">
      <c r="B897" s="1"/>
      <c r="C897" s="2"/>
    </row>
    <row r="898" ht="14.4" spans="2:3">
      <c r="B898" s="1"/>
      <c r="C898" s="2"/>
    </row>
    <row r="899" ht="14.4" spans="2:3">
      <c r="B899" s="1"/>
      <c r="C899" s="2"/>
    </row>
    <row r="900" ht="14.4" spans="2:3">
      <c r="B900" s="1"/>
      <c r="C900" s="2"/>
    </row>
    <row r="901" ht="14.4" spans="2:3">
      <c r="B901" s="1"/>
      <c r="C901" s="2"/>
    </row>
    <row r="902" ht="14.4" spans="2:3">
      <c r="B902" s="1"/>
      <c r="C902" s="2"/>
    </row>
    <row r="903" ht="14.4" spans="2:3">
      <c r="B903" s="1"/>
      <c r="C903" s="2"/>
    </row>
    <row r="904" ht="14.4" spans="2:3">
      <c r="B904" s="1"/>
      <c r="C904" s="2"/>
    </row>
    <row r="905" ht="14.4" spans="2:3">
      <c r="B905" s="1"/>
      <c r="C905" s="2"/>
    </row>
    <row r="906" ht="14.4" spans="2:3">
      <c r="B906" s="1"/>
      <c r="C906" s="2"/>
    </row>
    <row r="907" ht="14.4" spans="2:3">
      <c r="B907" s="1"/>
      <c r="C907" s="2"/>
    </row>
    <row r="908" ht="14.4" spans="2:3">
      <c r="B908" s="1"/>
      <c r="C908" s="2"/>
    </row>
    <row r="909" ht="14.4" spans="2:3">
      <c r="B909" s="1"/>
      <c r="C909" s="2"/>
    </row>
    <row r="910" ht="14.4" spans="2:3">
      <c r="B910" s="1"/>
      <c r="C910" s="2"/>
    </row>
    <row r="911" ht="14.4" spans="2:3">
      <c r="B911" s="1"/>
      <c r="C911" s="2"/>
    </row>
    <row r="912" ht="14.4" spans="2:3">
      <c r="B912" s="1"/>
      <c r="C912" s="2"/>
    </row>
    <row r="913" ht="14.4" spans="2:3">
      <c r="B913" s="1"/>
      <c r="C913" s="2"/>
    </row>
    <row r="914" ht="14.4" spans="2:3">
      <c r="B914" s="1"/>
      <c r="C914" s="2"/>
    </row>
    <row r="915" ht="14.4" spans="2:3">
      <c r="B915" s="1"/>
      <c r="C915" s="2"/>
    </row>
    <row r="916" ht="14.4" spans="2:3">
      <c r="B916" s="1"/>
      <c r="C916" s="2"/>
    </row>
    <row r="917" ht="14.4" spans="2:3">
      <c r="B917" s="1"/>
      <c r="C917" s="2"/>
    </row>
    <row r="918" ht="14.4" spans="2:3">
      <c r="B918" s="1"/>
      <c r="C918" s="2"/>
    </row>
    <row r="919" ht="14.4" spans="2:3">
      <c r="B919" s="1"/>
      <c r="C919" s="2"/>
    </row>
    <row r="920" ht="14.4" spans="2:3">
      <c r="B920" s="1"/>
      <c r="C920" s="2"/>
    </row>
    <row r="921" ht="14.4" spans="2:3">
      <c r="B921" s="1"/>
      <c r="C921" s="2"/>
    </row>
    <row r="922" ht="14.4" spans="2:3">
      <c r="B922" s="1"/>
      <c r="C922" s="2"/>
    </row>
    <row r="923" ht="14.4" spans="2:3">
      <c r="B923" s="1"/>
      <c r="C923" s="2"/>
    </row>
    <row r="924" ht="14.4" spans="2:3">
      <c r="B924" s="1"/>
      <c r="C924" s="2"/>
    </row>
    <row r="925" ht="14.4" spans="2:3">
      <c r="B925" s="1"/>
      <c r="C925" s="2"/>
    </row>
    <row r="926" ht="14.4" spans="2:3">
      <c r="B926" s="1"/>
      <c r="C926" s="2"/>
    </row>
    <row r="927" ht="14.4" spans="2:3">
      <c r="B927" s="1"/>
      <c r="C927" s="2"/>
    </row>
    <row r="928" ht="14.4" spans="2:3">
      <c r="B928" s="1"/>
      <c r="C928" s="2"/>
    </row>
    <row r="929" ht="14.4" spans="2:3">
      <c r="B929" s="1"/>
      <c r="C929" s="2"/>
    </row>
    <row r="930" ht="14.4" spans="2:3">
      <c r="B930" s="1"/>
      <c r="C930" s="2"/>
    </row>
    <row r="931" ht="14.4" spans="2:3">
      <c r="B931" s="1"/>
      <c r="C931" s="2"/>
    </row>
    <row r="932" ht="14.4" spans="2:3">
      <c r="B932" s="1"/>
      <c r="C932" s="2"/>
    </row>
    <row r="933" ht="14.4" spans="2:3">
      <c r="B933" s="1"/>
      <c r="C933" s="2"/>
    </row>
    <row r="934" ht="14.4" spans="2:3">
      <c r="B934" s="1"/>
      <c r="C934" s="2"/>
    </row>
    <row r="935" ht="14.4" spans="2:3">
      <c r="B935" s="1"/>
      <c r="C935" s="2"/>
    </row>
    <row r="936" ht="14.4" spans="2:3">
      <c r="B936" s="1"/>
      <c r="C936" s="2"/>
    </row>
    <row r="937" ht="14.4" spans="2:3">
      <c r="B937" s="1"/>
      <c r="C937" s="2"/>
    </row>
    <row r="938" ht="14.4" spans="2:3">
      <c r="B938" s="1"/>
      <c r="C938" s="2"/>
    </row>
    <row r="939" ht="14.4" spans="2:3">
      <c r="B939" s="1"/>
      <c r="C939" s="2"/>
    </row>
    <row r="940" ht="14.4" spans="2:3">
      <c r="B940" s="1"/>
      <c r="C940" s="2"/>
    </row>
    <row r="941" ht="14.4" spans="2:3">
      <c r="B941" s="1"/>
      <c r="C941" s="2"/>
    </row>
    <row r="942" ht="14.4" spans="2:3">
      <c r="B942" s="1"/>
      <c r="C942" s="2"/>
    </row>
    <row r="943" ht="14.4" spans="2:3">
      <c r="B943" s="1"/>
      <c r="C943" s="2"/>
    </row>
    <row r="944" ht="14.4" spans="2:3">
      <c r="B944" s="1"/>
      <c r="C944" s="2"/>
    </row>
    <row r="945" ht="14.4" spans="2:3">
      <c r="B945" s="1"/>
      <c r="C945" s="2"/>
    </row>
    <row r="946" ht="14.4" spans="2:3">
      <c r="B946" s="1"/>
      <c r="C946" s="2"/>
    </row>
    <row r="947" ht="14.4" spans="2:3">
      <c r="B947" s="1"/>
      <c r="C947" s="2"/>
    </row>
    <row r="948" ht="14.4" spans="2:3">
      <c r="B948" s="1"/>
      <c r="C948" s="2"/>
    </row>
    <row r="949" ht="14.4" spans="2:3">
      <c r="B949" s="1"/>
      <c r="C949" s="2"/>
    </row>
    <row r="950" ht="14.4" spans="2:3">
      <c r="B950" s="1"/>
      <c r="C950" s="2"/>
    </row>
    <row r="951" ht="14.4" spans="2:3">
      <c r="B951" s="1"/>
      <c r="C951" s="2"/>
    </row>
    <row r="952" ht="14.4" spans="2:3">
      <c r="B952" s="1"/>
      <c r="C952" s="2"/>
    </row>
    <row r="953" ht="14.4" spans="2:3">
      <c r="B953" s="1"/>
      <c r="C953" s="2"/>
    </row>
    <row r="954" ht="14.4" spans="2:3">
      <c r="B954" s="1"/>
      <c r="C954" s="2"/>
    </row>
    <row r="955" ht="14.4" spans="2:3">
      <c r="B955" s="1"/>
      <c r="C955" s="2"/>
    </row>
    <row r="956" ht="14.4" spans="2:3">
      <c r="B956" s="1"/>
      <c r="C956" s="2"/>
    </row>
    <row r="957" ht="14.4" spans="2:3">
      <c r="B957" s="1"/>
      <c r="C957" s="2"/>
    </row>
    <row r="958" ht="14.4" spans="2:3">
      <c r="B958" s="1"/>
      <c r="C958" s="2"/>
    </row>
    <row r="959" ht="14.4" spans="2:3">
      <c r="B959" s="1"/>
      <c r="C959" s="2"/>
    </row>
    <row r="960" ht="14.4" spans="2:3">
      <c r="B960" s="1"/>
      <c r="C960" s="2"/>
    </row>
    <row r="961" ht="14.4" spans="2:3">
      <c r="B961" s="1"/>
      <c r="C961" s="2"/>
    </row>
    <row r="962" ht="14.4" spans="2:3">
      <c r="B962" s="1"/>
      <c r="C962" s="2"/>
    </row>
    <row r="963" ht="14.4" spans="2:3">
      <c r="B963" s="1"/>
      <c r="C963" s="2"/>
    </row>
    <row r="964" ht="14.4" spans="2:3">
      <c r="B964" s="1"/>
      <c r="C964" s="2"/>
    </row>
    <row r="965" ht="14.4" spans="2:3">
      <c r="B965" s="1"/>
      <c r="C965" s="2"/>
    </row>
    <row r="966" ht="14.4" spans="2:3">
      <c r="B966" s="1"/>
      <c r="C966" s="2"/>
    </row>
    <row r="967" ht="14.4" spans="2:3">
      <c r="B967" s="1"/>
      <c r="C967" s="2"/>
    </row>
    <row r="968" ht="14.4" spans="2:3">
      <c r="B968" s="1"/>
      <c r="C968" s="2"/>
    </row>
    <row r="969" ht="14.4" spans="2:3">
      <c r="B969" s="1"/>
      <c r="C969" s="2"/>
    </row>
    <row r="970" ht="14.4" spans="2:3">
      <c r="B970" s="1"/>
      <c r="C970" s="2"/>
    </row>
    <row r="971" ht="14.4" spans="2:3">
      <c r="B971" s="1"/>
      <c r="C971" s="2"/>
    </row>
    <row r="972" ht="14.4" spans="2:3">
      <c r="B972" s="1"/>
      <c r="C972" s="2"/>
    </row>
    <row r="973" ht="14.4" spans="2:3">
      <c r="B973" s="1"/>
      <c r="C973" s="2"/>
    </row>
    <row r="974" ht="14.4" spans="2:3">
      <c r="B974" s="1"/>
      <c r="C974" s="2"/>
    </row>
    <row r="975" ht="14.4" spans="2:3">
      <c r="B975" s="1"/>
      <c r="C975" s="2"/>
    </row>
    <row r="976" ht="14.4" spans="2:3">
      <c r="B976" s="1"/>
      <c r="C976" s="2"/>
    </row>
    <row r="977" ht="14.4" spans="2:3">
      <c r="B977" s="1"/>
      <c r="C977" s="2"/>
    </row>
    <row r="978" ht="14.4" spans="2:3">
      <c r="B978" s="1"/>
      <c r="C978" s="2"/>
    </row>
    <row r="979" ht="14.4" spans="2:3">
      <c r="B979" s="1"/>
      <c r="C979" s="2"/>
    </row>
    <row r="980" ht="14.4" spans="2:3">
      <c r="B980" s="1"/>
      <c r="C980" s="2"/>
    </row>
    <row r="981" ht="14.4" spans="2:3">
      <c r="B981" s="1"/>
      <c r="C981" s="2"/>
    </row>
    <row r="982" ht="14.4" spans="2:3">
      <c r="B982" s="1"/>
      <c r="C982" s="2"/>
    </row>
    <row r="983" ht="14.4" spans="2:3">
      <c r="B983" s="1"/>
      <c r="C983" s="2"/>
    </row>
    <row r="984" ht="14.4" spans="2:3">
      <c r="B984" s="1"/>
      <c r="C984" s="2"/>
    </row>
    <row r="985" ht="14.4" spans="2:3">
      <c r="B985" s="1"/>
      <c r="C985" s="2"/>
    </row>
    <row r="986" ht="14.4" spans="2:3">
      <c r="B986" s="1"/>
      <c r="C986" s="2"/>
    </row>
    <row r="987" ht="14.4" spans="2:3">
      <c r="B987" s="1"/>
      <c r="C987" s="2"/>
    </row>
    <row r="988" ht="14.4" spans="2:3">
      <c r="B988" s="1"/>
      <c r="C988" s="2"/>
    </row>
    <row r="989" ht="14.4" spans="2:3">
      <c r="B989" s="1"/>
      <c r="C989" s="2"/>
    </row>
    <row r="990" ht="14.4" spans="2:3">
      <c r="B990" s="1"/>
      <c r="C990" s="2"/>
    </row>
    <row r="991" ht="14.4" spans="2:3">
      <c r="B991" s="1"/>
      <c r="C991" s="2"/>
    </row>
    <row r="992" ht="14.4" spans="2:3">
      <c r="B992" s="1"/>
      <c r="C992" s="2"/>
    </row>
    <row r="993" ht="14.4" spans="2:3">
      <c r="B993" s="1"/>
      <c r="C993" s="2"/>
    </row>
    <row r="994" ht="14.4" spans="2:3">
      <c r="B994" s="1"/>
      <c r="C994" s="2"/>
    </row>
    <row r="995" ht="14.4" spans="2:3">
      <c r="B995" s="1"/>
      <c r="C995" s="2"/>
    </row>
    <row r="996" ht="14.4" spans="2:3">
      <c r="B996" s="1"/>
      <c r="C996" s="2"/>
    </row>
    <row r="997" ht="14.4" spans="2:3">
      <c r="B997" s="1"/>
      <c r="C997" s="2"/>
    </row>
    <row r="998" ht="14.4" spans="2:3">
      <c r="B998" s="1"/>
      <c r="C998" s="2"/>
    </row>
    <row r="999" ht="14.4" spans="2:3">
      <c r="B999" s="1"/>
      <c r="C999" s="2"/>
    </row>
    <row r="1000" ht="14.4" spans="2:3">
      <c r="B1000" s="1"/>
      <c r="C1000" s="2"/>
    </row>
    <row r="1001" ht="14.4" spans="2:3">
      <c r="B1001" s="1"/>
      <c r="C1001" s="2"/>
    </row>
    <row r="1002" ht="14.4" spans="2:3">
      <c r="B1002" s="1"/>
      <c r="C1002" s="2"/>
    </row>
    <row r="1003" ht="14.4" spans="2:3">
      <c r="B1003" s="1"/>
      <c r="C1003" s="2"/>
    </row>
    <row r="1004" ht="14.4" spans="2:3">
      <c r="B1004" s="1"/>
      <c r="C100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Query - Base SGRC</vt:lpstr>
      <vt:lpstr>Nova árvore - Salesforce</vt:lpstr>
      <vt:lpstr>Resumo - Pareamento Formulário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Ribeiro</cp:lastModifiedBy>
  <dcterms:created xsi:type="dcterms:W3CDTF">2026-04-14T06:28:18Z</dcterms:created>
  <dcterms:modified xsi:type="dcterms:W3CDTF">2026-04-14T06:28:59Z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85573B7D6E8942CBB7D6018C39C12CBF_12</vt:lpwstr>
  </property>
  <property fmtid="{D5CDD505-2E9C-101B-9397-08002B2CF9AE}" pid="3" name="KSOProductBuildVer">
    <vt:lpwstr>1033-12.2.0.23196</vt:lpwstr>
  </property>
</Properties>
</file>